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355" documentId="11_0EFA1A3A6E3B2F26C3603EB9680E5446AAE7FEE4" xr6:coauthVersionLast="47" xr6:coauthVersionMax="47" xr10:uidLastSave="{7AEDA7B8-3548-41C8-94AF-D332D7285ED5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Cierres'!$A$1:$S$992</definedName>
    <definedName name="_xlnm._FilterDatabase" localSheetId="0" hidden="1">'Consolidado Historico'!$A$1:$S$2653</definedName>
    <definedName name="_xlnm._FilterDatabase" localSheetId="1" hidden="1">'Consolidado Semestral'!$A$1:$S$1680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13" i="1" l="1"/>
  <c r="M2653" i="1"/>
  <c r="L2653" i="1"/>
  <c r="M2647" i="1"/>
  <c r="L2647" i="1"/>
  <c r="M2652" i="1"/>
  <c r="L2652" i="1"/>
  <c r="M2651" i="1"/>
  <c r="L2651" i="1"/>
  <c r="M2650" i="1"/>
  <c r="L2650" i="1"/>
  <c r="M2649" i="1"/>
  <c r="L2649" i="1"/>
  <c r="M2648" i="1"/>
  <c r="L2648" i="1"/>
  <c r="L2150" i="1"/>
  <c r="M2150" i="1"/>
  <c r="L2151" i="1"/>
  <c r="M2151" i="1"/>
  <c r="L2152" i="1"/>
  <c r="M2152" i="1"/>
  <c r="L2153" i="1"/>
  <c r="M2153" i="1"/>
  <c r="L2304" i="1"/>
  <c r="L2303" i="1"/>
  <c r="M442" i="3"/>
  <c r="L442" i="3"/>
  <c r="M441" i="3"/>
  <c r="L441" i="3"/>
  <c r="M440" i="3"/>
  <c r="L440" i="3"/>
  <c r="M439" i="3"/>
  <c r="L439" i="3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4" i="2"/>
  <c r="L1644" i="2"/>
  <c r="M1643" i="2"/>
  <c r="L1643" i="2"/>
  <c r="M1642" i="2"/>
  <c r="L1642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3" i="2"/>
  <c r="L1603" i="2"/>
  <c r="M1602" i="2"/>
  <c r="L1602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6" i="2"/>
  <c r="L1556" i="2"/>
  <c r="M1555" i="2"/>
  <c r="L1555" i="2"/>
  <c r="M1553" i="2"/>
  <c r="L1553" i="2"/>
  <c r="M1552" i="2"/>
  <c r="L1552" i="2"/>
  <c r="M1551" i="2"/>
  <c r="L1551" i="2"/>
  <c r="M1549" i="2"/>
  <c r="L1549" i="2"/>
  <c r="M1548" i="2"/>
  <c r="L1548" i="2"/>
  <c r="M1545" i="2"/>
  <c r="L1545" i="2"/>
  <c r="M1544" i="2"/>
  <c r="L1544" i="2"/>
  <c r="M1543" i="2"/>
  <c r="L1543" i="2"/>
  <c r="M1542" i="2"/>
  <c r="L1542" i="2"/>
  <c r="M1541" i="2"/>
  <c r="L1541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2" i="2"/>
  <c r="L1532" i="2"/>
  <c r="M1531" i="2"/>
  <c r="L1531" i="2"/>
  <c r="M1530" i="2"/>
  <c r="L1530" i="2"/>
  <c r="M1529" i="2"/>
  <c r="L1529" i="2"/>
  <c r="M1528" i="2"/>
  <c r="L1528" i="2"/>
  <c r="M1526" i="2"/>
  <c r="L1526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2" i="2"/>
  <c r="L1462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7" i="2"/>
  <c r="L1277" i="2"/>
  <c r="M1276" i="2"/>
  <c r="L1276" i="2"/>
  <c r="M1274" i="2"/>
  <c r="L1274" i="2"/>
  <c r="M1273" i="2"/>
  <c r="L1273" i="2"/>
  <c r="M1272" i="2"/>
  <c r="L1272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3" i="2"/>
  <c r="L1263" i="2"/>
  <c r="M1262" i="2"/>
  <c r="L1262" i="2"/>
  <c r="M1260" i="2"/>
  <c r="L1260" i="2"/>
  <c r="M1257" i="2"/>
  <c r="L1257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38" i="2"/>
  <c r="L1238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2" i="2"/>
  <c r="L1192" i="2"/>
  <c r="M1191" i="2"/>
  <c r="L1191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0" i="1"/>
  <c r="L2610" i="1"/>
  <c r="M2609" i="1"/>
  <c r="L2609" i="1"/>
  <c r="M2608" i="1"/>
  <c r="L2608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6" i="1"/>
  <c r="L2486" i="1"/>
  <c r="M2485" i="1"/>
  <c r="L2485" i="1"/>
  <c r="M2484" i="1"/>
  <c r="L2484" i="1"/>
  <c r="M2483" i="1"/>
  <c r="L2483" i="1"/>
  <c r="M2482" i="1"/>
  <c r="L2482" i="1"/>
  <c r="M2472" i="1"/>
  <c r="L2472" i="1"/>
  <c r="M2471" i="1"/>
  <c r="L2471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4" i="1"/>
  <c r="L2434" i="1"/>
  <c r="M2432" i="1"/>
  <c r="L2432" i="1"/>
  <c r="M2430" i="1"/>
  <c r="L2430" i="1"/>
  <c r="M2429" i="1"/>
  <c r="L2429" i="1"/>
  <c r="M2427" i="1"/>
  <c r="L2427" i="1"/>
  <c r="M2426" i="1"/>
  <c r="L2426" i="1"/>
  <c r="M2423" i="1"/>
  <c r="L2423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M2303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78" i="1"/>
  <c r="L2278" i="1"/>
  <c r="M2277" i="1"/>
  <c r="L2277" i="1"/>
  <c r="M2276" i="1"/>
  <c r="L2276" i="1"/>
  <c r="M2275" i="1"/>
  <c r="L2275" i="1"/>
  <c r="M2274" i="1"/>
  <c r="L2274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0" i="1"/>
  <c r="L2230" i="1"/>
  <c r="M2229" i="1"/>
  <c r="L2229" i="1"/>
  <c r="M2228" i="1"/>
  <c r="L2228" i="1"/>
  <c r="M2227" i="1"/>
  <c r="L2227" i="1"/>
  <c r="M2226" i="1"/>
  <c r="L2226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1" i="1"/>
  <c r="L2041" i="1"/>
  <c r="M2039" i="1"/>
  <c r="L2039" i="1"/>
  <c r="M2038" i="1"/>
  <c r="L2038" i="1"/>
  <c r="M2037" i="1"/>
  <c r="L2037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6" i="1"/>
  <c r="L2026" i="1"/>
  <c r="M2025" i="1"/>
  <c r="L2025" i="1"/>
  <c r="M2024" i="1"/>
  <c r="L2024" i="1"/>
  <c r="M2022" i="1"/>
  <c r="L2022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2" i="1"/>
  <c r="L2002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K1874" i="1"/>
  <c r="J1874" i="1"/>
  <c r="K1873" i="1"/>
  <c r="J1873" i="1"/>
  <c r="K1872" i="1"/>
  <c r="J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2" i="1"/>
  <c r="L1762" i="1"/>
  <c r="M1759" i="1"/>
  <c r="L1759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7" i="1"/>
  <c r="L1677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8" i="1"/>
  <c r="L1648" i="1"/>
  <c r="M1646" i="1"/>
  <c r="L1646" i="1"/>
  <c r="M1642" i="1"/>
  <c r="L1642" i="1"/>
  <c r="M1641" i="1"/>
  <c r="L1641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3" i="1"/>
  <c r="L1623" i="1"/>
  <c r="M1622" i="1"/>
  <c r="L1622" i="1"/>
  <c r="M1621" i="1"/>
  <c r="L1621" i="1"/>
  <c r="M1620" i="1"/>
  <c r="L1620" i="1"/>
  <c r="M1618" i="1"/>
  <c r="L1618" i="1"/>
  <c r="M1617" i="1"/>
  <c r="L1617" i="1"/>
  <c r="M1616" i="1"/>
  <c r="L1616" i="1"/>
  <c r="M1615" i="1"/>
  <c r="L1615" i="1"/>
  <c r="M1614" i="1"/>
  <c r="L1614" i="1"/>
  <c r="M1611" i="1"/>
  <c r="L1611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29" i="1"/>
  <c r="L1429" i="1"/>
  <c r="M1428" i="1"/>
  <c r="L1428" i="1"/>
  <c r="M1425" i="1"/>
  <c r="L1425" i="1"/>
  <c r="M1424" i="1"/>
  <c r="L1424" i="1"/>
  <c r="M1423" i="1"/>
  <c r="L1423" i="1"/>
  <c r="M1422" i="1"/>
  <c r="L1422" i="1"/>
  <c r="M1421" i="1"/>
  <c r="L1421" i="1"/>
  <c r="M1420" i="1"/>
  <c r="L1420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3" i="1"/>
  <c r="L1403" i="1"/>
  <c r="M1398" i="1"/>
  <c r="L1398" i="1"/>
  <c r="M1397" i="1"/>
  <c r="L1397" i="1"/>
  <c r="M1396" i="1"/>
  <c r="L1396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8" i="1"/>
  <c r="L1378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6" i="1"/>
  <c r="L1366" i="1"/>
  <c r="M1362" i="1"/>
  <c r="L1362" i="1"/>
  <c r="M1361" i="1"/>
  <c r="L1361" i="1"/>
  <c r="M1360" i="1"/>
  <c r="L1360" i="1"/>
  <c r="M1357" i="1"/>
  <c r="L1357" i="1"/>
  <c r="M1356" i="1"/>
  <c r="L1356" i="1"/>
  <c r="M1355" i="1"/>
  <c r="L1355" i="1"/>
  <c r="M1354" i="1"/>
  <c r="L1354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4" i="1" l="1"/>
  <c r="M1874" i="1"/>
  <c r="M1873" i="1"/>
  <c r="L1873" i="1"/>
  <c r="M1872" i="1"/>
  <c r="L1872" i="1"/>
</calcChain>
</file>

<file path=xl/sharedStrings.xml><?xml version="1.0" encoding="utf-8"?>
<sst xmlns="http://schemas.openxmlformats.org/spreadsheetml/2006/main" count="76495" uniqueCount="4394">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</sst>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2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53"/>
  <sheetViews>
    <sheetView showGridLines="0" zoomScale="75" zoomScaleNormal="75" workbookViewId="0">
      <selection activeCell="A2639" sqref="A2639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hidden="1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hidden="1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hidden="1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hidden="1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hidden="1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hidden="1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hidden="1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hidden="1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hidden="1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hidden="1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hidden="1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hidden="1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hidden="1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hidden="1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hidden="1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hidden="1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hidden="1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hidden="1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hidden="1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hidden="1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hidden="1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hidden="1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hidden="1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hidden="1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hidden="1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hidden="1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hidden="1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hidden="1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hidden="1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hidden="1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hidden="1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hidden="1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hidden="1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hidden="1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hidden="1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hidden="1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hidden="1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hidden="1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hidden="1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hidden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hidden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hidden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hidden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hidden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hidden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hidden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hidden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hidden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hidden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hidden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hidden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hidden="1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hidden="1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hidden="1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hidden="1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hidden="1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hidden="1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hidden="1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hidden="1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hidden="1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hidden="1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hidden="1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hidden="1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hidden="1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hidden="1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hidden="1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hidden="1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hidden="1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hidden="1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hidden="1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hidden="1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hidden="1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hidden="1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hidden="1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hidden="1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hidden="1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hidden="1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hidden="1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hidden="1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hidden="1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hidden="1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hidden="1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hidden="1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hidden="1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hidden="1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hidden="1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hidden="1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hidden="1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hidden="1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hidden="1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hidden="1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hidden="1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hidden="1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hidden="1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hidden="1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hidden="1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hidden="1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hidden="1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hidden="1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hidden="1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hidden="1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hidden="1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hidden="1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hidden="1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hidden="1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hidden="1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hidden="1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hidden="1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hidden="1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hidden="1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hidden="1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hidden="1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hidden="1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hidden="1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hidden="1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hidden="1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hidden="1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hidden="1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hidden="1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hidden="1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hidden="1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hidden="1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hidden="1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hidden="1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hidden="1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hidden="1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hidden="1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hidden="1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hidden="1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hidden="1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hidden="1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hidden="1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hidden="1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hidden="1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hidden="1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hidden="1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hidden="1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hidden="1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hidden="1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hidden="1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hidden="1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hidden="1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hidden="1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hidden="1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hidden="1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hidden="1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hidden="1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hidden="1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hidden="1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hidden="1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hidden="1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hidden="1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hidden="1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hidden="1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hidden="1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hidden="1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hidden="1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hidden="1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hidden="1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hidden="1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hidden="1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hidden="1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hidden="1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hidden="1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hidden="1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hidden="1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hidden="1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hidden="1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hidden="1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hidden="1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hidden="1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hidden="1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hidden="1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hidden="1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hidden="1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hidden="1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hidden="1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hidden="1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hidden="1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hidden="1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hidden="1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hidden="1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hidden="1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hidden="1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hidden="1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hidden="1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hidden="1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hidden="1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hidden="1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hidden="1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hidden="1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hidden="1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hidden="1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hidden="1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hidden="1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hidden="1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hidden="1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hidden="1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hidden="1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hidden="1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hidden="1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hidden="1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hidden="1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hidden="1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hidden="1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hidden="1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hidden="1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hidden="1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hidden="1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hidden="1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hidden="1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hidden="1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hidden="1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hidden="1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hidden="1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hidden="1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hidden="1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hidden="1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hidden="1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hidden="1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hidden="1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hidden="1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hidden="1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hidden="1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hidden="1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hidden="1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hidden="1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hidden="1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hidden="1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hidden="1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hidden="1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hidden="1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hidden="1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hidden="1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hidden="1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hidden="1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hidden="1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hidden="1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hidden="1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hidden="1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hidden="1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hidden="1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hidden="1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hidden="1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hidden="1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hidden="1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hidden="1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hidden="1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hidden="1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hidden="1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hidden="1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hidden="1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hidden="1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hidden="1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hidden="1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hidden="1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hidden="1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hidden="1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hidden="1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hidden="1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hidden="1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hidden="1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hidden="1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hidden="1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hidden="1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hidden="1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hidden="1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hidden="1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hidden="1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hidden="1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hidden="1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hidden="1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hidden="1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hidden="1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hidden="1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hidden="1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hidden="1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hidden="1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hidden="1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hidden="1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hidden="1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hidden="1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hidden="1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hidden="1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hidden="1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hidden="1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hidden="1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hidden="1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hidden="1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hidden="1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hidden="1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hidden="1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hidden="1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hidden="1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hidden="1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hidden="1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hidden="1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hidden="1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hidden="1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hidden="1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hidden="1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hidden="1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hidden="1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hidden="1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hidden="1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hidden="1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hidden="1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hidden="1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hidden="1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hidden="1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hidden="1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hidden="1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hidden="1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hidden="1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hidden="1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hidden="1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hidden="1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hidden="1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hidden="1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hidden="1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hidden="1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hidden="1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hidden="1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hidden="1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hidden="1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hidden="1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hidden="1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hidden="1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hidden="1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hidden="1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hidden="1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hidden="1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hidden="1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hidden="1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hidden="1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hidden="1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hidden="1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hidden="1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hidden="1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hidden="1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hidden="1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hidden="1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hidden="1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hidden="1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hidden="1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hidden="1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hidden="1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hidden="1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hidden="1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hidden="1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hidden="1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hidden="1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hidden="1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hidden="1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hidden="1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hidden="1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hidden="1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hidden="1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hidden="1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hidden="1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hidden="1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hidden="1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hidden="1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hidden="1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hidden="1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hidden="1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hidden="1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hidden="1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hidden="1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hidden="1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hidden="1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hidden="1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hidden="1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hidden="1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hidden="1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hidden="1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hidden="1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hidden="1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hidden="1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hidden="1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hidden="1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hidden="1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hidden="1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hidden="1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hidden="1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hidden="1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hidden="1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hidden="1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hidden="1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hidden="1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hidden="1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hidden="1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hidden="1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hidden="1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hidden="1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hidden="1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hidden="1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hidden="1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hidden="1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hidden="1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hidden="1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hidden="1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hidden="1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hidden="1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hidden="1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hidden="1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hidden="1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hidden="1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hidden="1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hidden="1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hidden="1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hidden="1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hidden="1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hidden="1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hidden="1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hidden="1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hidden="1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hidden="1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hidden="1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hidden="1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hidden="1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hidden="1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hidden="1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hidden="1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hidden="1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hidden="1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hidden="1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hidden="1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hidden="1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hidden="1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hidden="1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hidden="1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hidden="1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hidden="1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hidden="1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hidden="1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hidden="1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hidden="1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hidden="1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hidden="1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hidden="1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hidden="1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hidden="1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hidden="1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hidden="1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hidden="1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hidden="1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hidden="1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hidden="1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hidden="1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hidden="1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hidden="1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hidden="1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hidden="1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hidden="1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hidden="1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hidden="1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hidden="1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hidden="1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hidden="1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hidden="1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hidden="1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hidden="1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hidden="1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hidden="1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hidden="1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hidden="1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hidden="1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hidden="1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hidden="1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hidden="1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hidden="1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hidden="1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hidden="1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hidden="1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hidden="1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hidden="1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hidden="1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hidden="1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hidden="1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hidden="1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hidden="1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hidden="1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hidden="1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hidden="1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hidden="1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hidden="1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hidden="1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hidden="1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hidden="1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hidden="1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hidden="1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hidden="1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hidden="1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hidden="1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hidden="1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hidden="1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hidden="1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hidden="1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hidden="1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hidden="1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hidden="1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hidden="1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hidden="1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hidden="1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hidden="1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hidden="1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hidden="1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hidden="1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hidden="1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hidden="1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hidden="1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hidden="1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hidden="1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hidden="1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hidden="1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hidden="1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hidden="1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hidden="1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hidden="1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hidden="1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hidden="1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hidden="1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hidden="1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hidden="1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hidden="1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hidden="1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hidden="1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hidden="1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hidden="1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hidden="1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hidden="1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hidden="1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hidden="1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hidden="1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hidden="1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hidden="1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hidden="1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hidden="1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hidden="1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hidden="1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hidden="1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hidden="1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hidden="1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hidden="1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hidden="1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hidden="1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hidden="1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hidden="1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hidden="1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hidden="1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hidden="1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hidden="1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hidden="1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hidden="1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hidden="1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hidden="1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hidden="1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hidden="1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hidden="1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hidden="1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hidden="1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hidden="1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hidden="1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hidden="1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hidden="1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hidden="1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hidden="1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hidden="1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hidden="1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hidden="1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hidden="1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hidden="1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hidden="1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hidden="1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hidden="1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hidden="1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hidden="1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hidden="1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hidden="1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hidden="1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9" hidden="1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9" hidden="1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9" hidden="1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9" hidden="1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9" hidden="1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9" hidden="1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9" hidden="1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9" hidden="1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9" hidden="1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79" si="71">IFERROR(IF(OR(J1241=0,K1241=""),"",IF(E1241="Positivo",MIN(MAX(K1241/J1241,0),1.3),MIN(MAX(J1241/K1241,0),1.3))),"")</f>
        <v>1</v>
      </c>
      <c r="M1241" s="14">
        <f t="shared" ref="M1241:M1279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9" hidden="1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9" hidden="1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9" hidden="1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9" hidden="1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9" hidden="1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9" hidden="1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9" hidden="1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/>
      <c r="K1248" s="9">
        <v>0</v>
      </c>
      <c r="L1248" s="14" t="str">
        <f t="shared" si="71"/>
        <v/>
      </c>
      <c r="M1248" s="14" t="str">
        <f t="shared" si="72"/>
        <v/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  <c r="S1248" s="87" t="s">
        <v>302</v>
      </c>
    </row>
    <row r="1249" spans="1:19" hidden="1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9" hidden="1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9" hidden="1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9" hidden="1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/>
      <c r="K1252" s="9">
        <v>0</v>
      </c>
      <c r="L1252" s="14" t="str">
        <f t="shared" si="71"/>
        <v/>
      </c>
      <c r="M1252" s="14" t="str">
        <f t="shared" si="72"/>
        <v/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  <c r="S1252" s="87" t="s">
        <v>302</v>
      </c>
    </row>
    <row r="1253" spans="1:19" hidden="1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9" hidden="1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9" hidden="1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9" hidden="1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9" hidden="1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9" hidden="1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9" hidden="1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9" hidden="1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9" hidden="1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9" hidden="1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9" hidden="1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9" hidden="1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hidden="1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hidden="1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hidden="1" x14ac:dyDescent="0.3">
      <c r="A1267" s="21">
        <v>254</v>
      </c>
      <c r="B1267" s="5" t="s">
        <v>566</v>
      </c>
      <c r="C1267" s="5" t="s">
        <v>567</v>
      </c>
      <c r="D1267" s="5" t="s">
        <v>2430</v>
      </c>
      <c r="E1267" s="5" t="s">
        <v>22</v>
      </c>
      <c r="F1267" s="71">
        <v>45107</v>
      </c>
      <c r="G1267" s="5">
        <v>2023</v>
      </c>
      <c r="H1267" s="5" t="s">
        <v>699</v>
      </c>
      <c r="I1267" s="6" t="s">
        <v>1512</v>
      </c>
      <c r="J1267" s="5">
        <v>55</v>
      </c>
      <c r="K1267" s="10">
        <v>55</v>
      </c>
      <c r="L1267" s="14">
        <f t="shared" si="71"/>
        <v>1</v>
      </c>
      <c r="M1267" s="14">
        <f t="shared" si="72"/>
        <v>1</v>
      </c>
      <c r="N1267" s="5" t="s">
        <v>128</v>
      </c>
      <c r="O1267" s="5" t="s">
        <v>128</v>
      </c>
      <c r="P1267" s="15">
        <v>0</v>
      </c>
      <c r="Q1267" s="15">
        <v>0</v>
      </c>
      <c r="R1267" s="5" t="s">
        <v>2431</v>
      </c>
    </row>
    <row r="1268" spans="1:18" hidden="1" x14ac:dyDescent="0.3">
      <c r="A1268" s="21">
        <v>254</v>
      </c>
      <c r="B1268" s="5" t="s">
        <v>566</v>
      </c>
      <c r="C1268" s="5" t="s">
        <v>567</v>
      </c>
      <c r="D1268" s="5" t="s">
        <v>21</v>
      </c>
      <c r="E1268" s="5" t="s">
        <v>22</v>
      </c>
      <c r="F1268" s="70">
        <v>45199</v>
      </c>
      <c r="G1268" s="5">
        <v>2023</v>
      </c>
      <c r="H1268" s="5" t="s">
        <v>162</v>
      </c>
      <c r="I1268" s="6" t="s">
        <v>28</v>
      </c>
      <c r="J1268" s="23">
        <v>55</v>
      </c>
      <c r="K1268" s="9">
        <v>54</v>
      </c>
      <c r="L1268" s="14">
        <f t="shared" si="71"/>
        <v>0.98181818181818181</v>
      </c>
      <c r="M1268" s="14">
        <f t="shared" si="72"/>
        <v>0.98181818181818181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hidden="1" x14ac:dyDescent="0.3">
      <c r="A1269" s="26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1">
        <v>45291</v>
      </c>
      <c r="G1269" s="5">
        <v>2023</v>
      </c>
      <c r="H1269" s="5" t="s">
        <v>23</v>
      </c>
      <c r="I1269" s="6" t="s">
        <v>28</v>
      </c>
      <c r="J1269" s="5">
        <v>55</v>
      </c>
      <c r="K1269" s="9">
        <v>55</v>
      </c>
      <c r="L1269" s="14">
        <f t="shared" si="71"/>
        <v>1</v>
      </c>
      <c r="M1269" s="14">
        <f t="shared" si="72"/>
        <v>1</v>
      </c>
      <c r="N1269" s="5" t="s">
        <v>128</v>
      </c>
      <c r="O1269" s="5" t="s">
        <v>128</v>
      </c>
      <c r="P1269" s="15">
        <v>0</v>
      </c>
      <c r="Q1269" s="15">
        <v>0</v>
      </c>
      <c r="R1269" s="5" t="s">
        <v>568</v>
      </c>
    </row>
    <row r="1270" spans="1:18" hidden="1" x14ac:dyDescent="0.3">
      <c r="A1270" s="5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9">
        <v>45382</v>
      </c>
      <c r="G1270" s="5">
        <v>2024</v>
      </c>
      <c r="H1270" s="5" t="s">
        <v>1516</v>
      </c>
      <c r="I1270" s="6" t="s">
        <v>729</v>
      </c>
      <c r="J1270" s="5">
        <v>73</v>
      </c>
      <c r="K1270" s="5">
        <v>73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2433</v>
      </c>
    </row>
    <row r="1271" spans="1:18" hidden="1" x14ac:dyDescent="0.3">
      <c r="A1271" s="21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45473</v>
      </c>
      <c r="G1271" s="5">
        <v>2024</v>
      </c>
      <c r="H1271" s="5" t="s">
        <v>699</v>
      </c>
      <c r="I1271" s="6" t="s">
        <v>729</v>
      </c>
      <c r="J1271" s="5">
        <v>73</v>
      </c>
      <c r="K1271" s="5">
        <v>73</v>
      </c>
      <c r="L1271" s="14">
        <f t="shared" si="71"/>
        <v>1</v>
      </c>
      <c r="M1271" s="14">
        <f t="shared" si="72"/>
        <v>1</v>
      </c>
      <c r="N1271" s="5" t="s">
        <v>128</v>
      </c>
      <c r="O1271" s="5" t="s">
        <v>128</v>
      </c>
      <c r="P1271" s="15">
        <v>0</v>
      </c>
      <c r="Q1271" s="15">
        <v>0</v>
      </c>
      <c r="R1271" s="5" t="s">
        <v>2434</v>
      </c>
    </row>
    <row r="1272" spans="1:18" hidden="1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80">
        <v>45565</v>
      </c>
      <c r="G1272" s="5">
        <v>2024</v>
      </c>
      <c r="H1272" s="5" t="s">
        <v>162</v>
      </c>
      <c r="I1272" s="6" t="s">
        <v>30</v>
      </c>
      <c r="J1272" s="5">
        <v>73</v>
      </c>
      <c r="K1272" s="5">
        <v>73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hidden="1" x14ac:dyDescent="0.3">
      <c r="A1273" s="26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79">
        <v>45657</v>
      </c>
      <c r="G1273" s="5">
        <v>2024</v>
      </c>
      <c r="H1273" s="5" t="s">
        <v>23</v>
      </c>
      <c r="I1273" s="6" t="s">
        <v>30</v>
      </c>
      <c r="J1273" s="5">
        <v>73</v>
      </c>
      <c r="K1273" s="5">
        <v>73</v>
      </c>
      <c r="L1273" s="14">
        <f t="shared" si="71"/>
        <v>1</v>
      </c>
      <c r="M1273" s="14">
        <f t="shared" si="72"/>
        <v>1</v>
      </c>
      <c r="N1273" s="5" t="s">
        <v>128</v>
      </c>
      <c r="O1273" s="5" t="s">
        <v>128</v>
      </c>
      <c r="P1273" s="15">
        <v>0</v>
      </c>
      <c r="Q1273" s="15">
        <v>0</v>
      </c>
      <c r="R1273" s="5" t="s">
        <v>569</v>
      </c>
    </row>
    <row r="1274" spans="1:18" hidden="1" x14ac:dyDescent="0.3">
      <c r="A1274" s="5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45747</v>
      </c>
      <c r="G1274" s="5">
        <v>2025</v>
      </c>
      <c r="H1274" s="5" t="s">
        <v>1516</v>
      </c>
      <c r="I1274" s="6" t="s">
        <v>700</v>
      </c>
      <c r="J1274" s="5">
        <v>84</v>
      </c>
      <c r="K1274" s="5">
        <v>84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2436</v>
      </c>
    </row>
    <row r="1275" spans="1:18" hidden="1" x14ac:dyDescent="0.3">
      <c r="A1275" s="21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45838</v>
      </c>
      <c r="G1275" s="5">
        <v>2025</v>
      </c>
      <c r="H1275" s="5" t="s">
        <v>699</v>
      </c>
      <c r="I1275" s="6" t="s">
        <v>700</v>
      </c>
      <c r="J1275" s="5">
        <v>84</v>
      </c>
      <c r="K1275" s="5">
        <v>84</v>
      </c>
      <c r="L1275" s="14">
        <f t="shared" si="71"/>
        <v>1</v>
      </c>
      <c r="M1275" s="14">
        <f t="shared" si="72"/>
        <v>1</v>
      </c>
      <c r="N1275" s="5" t="s">
        <v>128</v>
      </c>
      <c r="O1275" s="5" t="s">
        <v>128</v>
      </c>
      <c r="P1275" s="15">
        <v>0</v>
      </c>
      <c r="Q1275" s="15">
        <v>0</v>
      </c>
      <c r="R1275" s="5" t="s">
        <v>2437</v>
      </c>
    </row>
    <row r="1276" spans="1:18" hidden="1" x14ac:dyDescent="0.3">
      <c r="A1276" s="26">
        <v>254</v>
      </c>
      <c r="B1276" s="5" t="s">
        <v>566</v>
      </c>
      <c r="C1276" s="5" t="s">
        <v>567</v>
      </c>
      <c r="D1276" s="5" t="s">
        <v>27</v>
      </c>
      <c r="E1276" s="5" t="s">
        <v>22</v>
      </c>
      <c r="F1276" s="79">
        <v>45930</v>
      </c>
      <c r="G1276" s="5">
        <v>2025</v>
      </c>
      <c r="H1276" s="5" t="s">
        <v>162</v>
      </c>
      <c r="I1276" s="6" t="s">
        <v>32</v>
      </c>
      <c r="J1276" s="5">
        <v>84</v>
      </c>
      <c r="K1276" s="5">
        <v>84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hidden="1" x14ac:dyDescent="0.3">
      <c r="A1277" s="5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46022</v>
      </c>
      <c r="G1277" s="5">
        <v>2025</v>
      </c>
      <c r="H1277" s="5" t="s">
        <v>23</v>
      </c>
      <c r="I1277" s="6" t="s">
        <v>32</v>
      </c>
      <c r="J1277" s="5">
        <v>84</v>
      </c>
      <c r="K1277" s="5">
        <v>84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5">
        <v>0</v>
      </c>
      <c r="Q1277" s="5">
        <v>0</v>
      </c>
      <c r="R1277" s="5" t="s">
        <v>570</v>
      </c>
    </row>
    <row r="1278" spans="1:18" hidden="1" x14ac:dyDescent="0.3">
      <c r="A1278" s="26">
        <v>255</v>
      </c>
      <c r="B1278" s="5" t="s">
        <v>571</v>
      </c>
      <c r="C1278" s="5" t="s">
        <v>308</v>
      </c>
      <c r="D1278" s="5" t="s">
        <v>71</v>
      </c>
      <c r="E1278" s="5" t="s">
        <v>22</v>
      </c>
      <c r="F1278" s="79">
        <v>45291</v>
      </c>
      <c r="G1278" s="5">
        <v>2023</v>
      </c>
      <c r="H1278" s="5" t="s">
        <v>23</v>
      </c>
      <c r="I1278" s="6" t="s">
        <v>28</v>
      </c>
      <c r="J1278" s="5">
        <v>100</v>
      </c>
      <c r="K1278" s="9">
        <v>18</v>
      </c>
      <c r="L1278" s="14">
        <f t="shared" si="71"/>
        <v>0.18</v>
      </c>
      <c r="M1278" s="14">
        <f t="shared" si="72"/>
        <v>0.18</v>
      </c>
      <c r="N1278" s="5" t="s">
        <v>25</v>
      </c>
      <c r="O1278" s="5" t="s">
        <v>25</v>
      </c>
      <c r="P1278" s="15">
        <v>0</v>
      </c>
      <c r="Q1278" s="15">
        <v>0</v>
      </c>
      <c r="R1278" s="5" t="s">
        <v>572</v>
      </c>
    </row>
    <row r="1279" spans="1:18" hidden="1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100</v>
      </c>
      <c r="K1279" s="9">
        <v>15</v>
      </c>
      <c r="L1279" s="14">
        <f t="shared" si="71"/>
        <v>0.15</v>
      </c>
      <c r="M1279" s="14">
        <f t="shared" si="72"/>
        <v>0.15</v>
      </c>
      <c r="N1279" s="5"/>
      <c r="O1279" s="5"/>
      <c r="P1279" s="15">
        <v>0</v>
      </c>
      <c r="Q1279" s="15">
        <v>0</v>
      </c>
      <c r="R1279" s="5" t="s">
        <v>573</v>
      </c>
    </row>
    <row r="1280" spans="1:18" hidden="1" x14ac:dyDescent="0.3">
      <c r="A1280" s="21">
        <v>255</v>
      </c>
      <c r="B1280" s="5" t="s">
        <v>574</v>
      </c>
      <c r="C1280" s="5" t="s">
        <v>308</v>
      </c>
      <c r="D1280" s="5" t="s">
        <v>71</v>
      </c>
      <c r="E1280" s="5" t="s">
        <v>22</v>
      </c>
      <c r="F1280" s="71">
        <v>46022</v>
      </c>
      <c r="G1280" s="5">
        <v>2025</v>
      </c>
      <c r="H1280" s="5" t="s">
        <v>23</v>
      </c>
      <c r="I1280" s="6" t="s">
        <v>32</v>
      </c>
      <c r="J1280" s="5"/>
      <c r="K1280" s="10">
        <v>17.5</v>
      </c>
      <c r="L1280" s="14"/>
      <c r="M1280" s="14"/>
      <c r="N1280" s="5" t="s">
        <v>128</v>
      </c>
      <c r="O1280" s="5" t="s">
        <v>128</v>
      </c>
      <c r="P1280" s="15">
        <v>0</v>
      </c>
      <c r="Q1280" s="15">
        <v>0</v>
      </c>
      <c r="R1280" s="5" t="s">
        <v>575</v>
      </c>
    </row>
    <row r="1281" spans="1:18" hidden="1" x14ac:dyDescent="0.3">
      <c r="A1281" s="28">
        <v>256</v>
      </c>
      <c r="B1281" s="5" t="s">
        <v>576</v>
      </c>
      <c r="C1281" s="5" t="s">
        <v>308</v>
      </c>
      <c r="D1281" s="5" t="s">
        <v>27</v>
      </c>
      <c r="E1281" s="5" t="s">
        <v>22</v>
      </c>
      <c r="F1281" s="71">
        <v>45107</v>
      </c>
      <c r="G1281" s="5">
        <v>2023</v>
      </c>
      <c r="H1281" s="5" t="s">
        <v>699</v>
      </c>
      <c r="I1281" s="6" t="s">
        <v>1512</v>
      </c>
      <c r="J1281" s="5">
        <v>100</v>
      </c>
      <c r="K1281" s="9">
        <v>123.52941176471001</v>
      </c>
      <c r="L1281" s="14">
        <f t="shared" ref="L1281:L1312" si="73">IFERROR(IF(OR(J1281=0,K1281=""),"",IF(E1281="Positivo",MIN(MAX(K1281/J1281,0),1.3),MIN(MAX(J1281/K1281,0),1.3))),"")</f>
        <v>1.2352941176471</v>
      </c>
      <c r="M1281" s="14">
        <f t="shared" ref="M1281:M1312" si="74">IFERROR(IF(OR(J1281=0,K1281=""),"",IF(E1281="Positivo",MAX(K1281/J1281,0),MAX(J1281/K1281,0))),"")</f>
        <v>1.2352941176471</v>
      </c>
      <c r="N1281" s="5" t="s">
        <v>128</v>
      </c>
      <c r="O1281" s="5" t="s">
        <v>128</v>
      </c>
      <c r="P1281" s="15">
        <v>0</v>
      </c>
      <c r="Q1281" s="15">
        <v>0</v>
      </c>
      <c r="R1281" s="5" t="s">
        <v>2439</v>
      </c>
    </row>
    <row r="1282" spans="1:18" hidden="1" x14ac:dyDescent="0.3">
      <c r="A1282" s="26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45291</v>
      </c>
      <c r="G1282" s="5">
        <v>2023</v>
      </c>
      <c r="H1282" s="5" t="s">
        <v>23</v>
      </c>
      <c r="I1282" s="6" t="s">
        <v>28</v>
      </c>
      <c r="J1282" s="5">
        <v>100</v>
      </c>
      <c r="K1282" s="9">
        <v>123.53</v>
      </c>
      <c r="L1282" s="14">
        <f t="shared" si="73"/>
        <v>1.2353000000000001</v>
      </c>
      <c r="M1282" s="14">
        <f t="shared" si="74"/>
        <v>1.2353000000000001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577</v>
      </c>
    </row>
    <row r="1283" spans="1:18" hidden="1" x14ac:dyDescent="0.3">
      <c r="A1283" s="21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45473</v>
      </c>
      <c r="G1283" s="5">
        <v>2024</v>
      </c>
      <c r="H1283" s="5" t="s">
        <v>699</v>
      </c>
      <c r="I1283" s="6" t="s">
        <v>729</v>
      </c>
      <c r="J1283" s="5">
        <v>100</v>
      </c>
      <c r="K1283" s="10">
        <v>117.65</v>
      </c>
      <c r="L1283" s="14">
        <f t="shared" si="73"/>
        <v>1.1765000000000001</v>
      </c>
      <c r="M1283" s="14">
        <f t="shared" si="74"/>
        <v>1.1765000000000001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2440</v>
      </c>
    </row>
    <row r="1284" spans="1:18" hidden="1" x14ac:dyDescent="0.3">
      <c r="A1284" s="5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45657</v>
      </c>
      <c r="G1284" s="5">
        <v>2024</v>
      </c>
      <c r="H1284" s="5" t="s">
        <v>23</v>
      </c>
      <c r="I1284" s="6" t="s">
        <v>30</v>
      </c>
      <c r="J1284" s="5">
        <v>100</v>
      </c>
      <c r="K1284" s="5">
        <v>152.94</v>
      </c>
      <c r="L1284" s="14">
        <f t="shared" si="73"/>
        <v>1.3</v>
      </c>
      <c r="M1284" s="14">
        <f t="shared" si="74"/>
        <v>1.5293999999999999</v>
      </c>
      <c r="N1284" s="5" t="s">
        <v>128</v>
      </c>
      <c r="O1284" s="5" t="s">
        <v>128</v>
      </c>
      <c r="P1284" s="5">
        <v>0</v>
      </c>
      <c r="Q1284" s="5">
        <v>0</v>
      </c>
      <c r="R1284" s="5" t="s">
        <v>578</v>
      </c>
    </row>
    <row r="1285" spans="1:18" hidden="1" x14ac:dyDescent="0.3">
      <c r="A1285" s="21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45838</v>
      </c>
      <c r="G1285" s="5">
        <v>2025</v>
      </c>
      <c r="H1285" s="5" t="s">
        <v>699</v>
      </c>
      <c r="I1285" s="6" t="s">
        <v>700</v>
      </c>
      <c r="J1285" s="5">
        <v>100</v>
      </c>
      <c r="K1285" s="10">
        <v>100</v>
      </c>
      <c r="L1285" s="14">
        <f t="shared" si="73"/>
        <v>1</v>
      </c>
      <c r="M1285" s="14">
        <f t="shared" si="74"/>
        <v>1</v>
      </c>
      <c r="N1285" s="5" t="s">
        <v>128</v>
      </c>
      <c r="O1285" s="5" t="s">
        <v>128</v>
      </c>
      <c r="P1285" s="15">
        <v>0</v>
      </c>
      <c r="Q1285" s="15">
        <v>0</v>
      </c>
      <c r="R1285" s="5" t="s">
        <v>2441</v>
      </c>
    </row>
    <row r="1286" spans="1:18" hidden="1" x14ac:dyDescent="0.3">
      <c r="A1286" s="21">
        <v>256</v>
      </c>
      <c r="B1286" s="5" t="s">
        <v>576</v>
      </c>
      <c r="C1286" s="5" t="s">
        <v>308</v>
      </c>
      <c r="D1286" s="5" t="s">
        <v>21</v>
      </c>
      <c r="E1286" s="5" t="s">
        <v>22</v>
      </c>
      <c r="F1286" s="71">
        <v>46022</v>
      </c>
      <c r="G1286" s="5">
        <v>2025</v>
      </c>
      <c r="H1286" s="5" t="s">
        <v>23</v>
      </c>
      <c r="I1286" s="6" t="s">
        <v>32</v>
      </c>
      <c r="J1286" s="5">
        <v>100</v>
      </c>
      <c r="K1286" s="10">
        <v>170.59</v>
      </c>
      <c r="L1286" s="14">
        <f t="shared" si="73"/>
        <v>1.3</v>
      </c>
      <c r="M1286" s="14">
        <f t="shared" si="74"/>
        <v>1.7059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579</v>
      </c>
    </row>
    <row r="1287" spans="1:18" hidden="1" x14ac:dyDescent="0.3">
      <c r="A1287" s="28">
        <v>257</v>
      </c>
      <c r="B1287" s="5" t="s">
        <v>580</v>
      </c>
      <c r="C1287" s="5" t="s">
        <v>308</v>
      </c>
      <c r="D1287" s="5" t="s">
        <v>27</v>
      </c>
      <c r="E1287" s="5" t="s">
        <v>22</v>
      </c>
      <c r="F1287" s="71">
        <v>45107</v>
      </c>
      <c r="G1287" s="5">
        <v>2023</v>
      </c>
      <c r="H1287" s="5" t="s">
        <v>699</v>
      </c>
      <c r="I1287" s="6" t="s">
        <v>1512</v>
      </c>
      <c r="J1287" s="5">
        <v>18</v>
      </c>
      <c r="K1287" s="9">
        <v>15</v>
      </c>
      <c r="L1287" s="14">
        <f t="shared" si="73"/>
        <v>0.83333333333333337</v>
      </c>
      <c r="M1287" s="14">
        <f t="shared" si="74"/>
        <v>0.83333333333333337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2442</v>
      </c>
    </row>
    <row r="1288" spans="1:18" hidden="1" x14ac:dyDescent="0.3">
      <c r="A1288" s="26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45291</v>
      </c>
      <c r="G1288" s="5">
        <v>2023</v>
      </c>
      <c r="H1288" s="5" t="s">
        <v>23</v>
      </c>
      <c r="I1288" s="6" t="s">
        <v>28</v>
      </c>
      <c r="J1288" s="5">
        <v>24</v>
      </c>
      <c r="K1288" s="9">
        <v>24</v>
      </c>
      <c r="L1288" s="14">
        <f t="shared" si="73"/>
        <v>1</v>
      </c>
      <c r="M1288" s="14">
        <f t="shared" si="74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581</v>
      </c>
    </row>
    <row r="1289" spans="1:18" hidden="1" x14ac:dyDescent="0.3">
      <c r="A1289" s="26">
        <v>259</v>
      </c>
      <c r="B1289" s="5" t="s">
        <v>582</v>
      </c>
      <c r="C1289" s="5" t="s">
        <v>554</v>
      </c>
      <c r="D1289" s="5" t="s">
        <v>21</v>
      </c>
      <c r="E1289" s="5" t="s">
        <v>22</v>
      </c>
      <c r="F1289" s="71">
        <v>45107</v>
      </c>
      <c r="G1289" s="5">
        <v>2023</v>
      </c>
      <c r="H1289" s="5" t="s">
        <v>699</v>
      </c>
      <c r="I1289" s="6" t="s">
        <v>1512</v>
      </c>
      <c r="J1289" s="5">
        <v>100</v>
      </c>
      <c r="K1289" s="9">
        <v>60.526315789473998</v>
      </c>
      <c r="L1289" s="14">
        <f t="shared" si="73"/>
        <v>0.60526315789473994</v>
      </c>
      <c r="M1289" s="14">
        <f t="shared" si="74"/>
        <v>0.60526315789473994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2443</v>
      </c>
    </row>
    <row r="1290" spans="1:18" hidden="1" x14ac:dyDescent="0.3">
      <c r="A1290" s="21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45199</v>
      </c>
      <c r="G1290" s="5">
        <v>2023</v>
      </c>
      <c r="H1290" s="5" t="s">
        <v>162</v>
      </c>
      <c r="I1290" s="6" t="s">
        <v>28</v>
      </c>
      <c r="J1290" s="5">
        <v>100</v>
      </c>
      <c r="K1290" s="10">
        <v>68.75</v>
      </c>
      <c r="L1290" s="14">
        <f t="shared" si="73"/>
        <v>0.6875</v>
      </c>
      <c r="M1290" s="14">
        <f t="shared" si="74"/>
        <v>0.6875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hidden="1" x14ac:dyDescent="0.3">
      <c r="A1291" s="26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45473</v>
      </c>
      <c r="G1291" s="5">
        <v>2024</v>
      </c>
      <c r="H1291" s="5" t="s">
        <v>699</v>
      </c>
      <c r="I1291" s="6" t="s">
        <v>729</v>
      </c>
      <c r="J1291" s="5">
        <v>90</v>
      </c>
      <c r="K1291" s="9">
        <v>34.69</v>
      </c>
      <c r="L1291" s="14">
        <f t="shared" si="73"/>
        <v>0.38544444444444442</v>
      </c>
      <c r="M1291" s="14">
        <f t="shared" si="74"/>
        <v>0.38544444444444442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hidden="1" x14ac:dyDescent="0.3">
      <c r="A1292" s="21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45565</v>
      </c>
      <c r="G1292" s="5">
        <v>2024</v>
      </c>
      <c r="H1292" s="5" t="s">
        <v>162</v>
      </c>
      <c r="I1292" s="6" t="s">
        <v>30</v>
      </c>
      <c r="J1292" s="5">
        <v>90</v>
      </c>
      <c r="K1292" s="10">
        <v>83.33</v>
      </c>
      <c r="L1292" s="14">
        <f t="shared" si="73"/>
        <v>0.92588888888888887</v>
      </c>
      <c r="M1292" s="14">
        <f t="shared" si="74"/>
        <v>0.92588888888888887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hidden="1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45657</v>
      </c>
      <c r="G1293" s="5">
        <v>2024</v>
      </c>
      <c r="H1293" s="5" t="s">
        <v>23</v>
      </c>
      <c r="I1293" s="6" t="s">
        <v>30</v>
      </c>
      <c r="J1293" s="5">
        <v>90</v>
      </c>
      <c r="K1293" s="9">
        <v>78.430000000000007</v>
      </c>
      <c r="L1293" s="14">
        <f t="shared" si="73"/>
        <v>0.87144444444444447</v>
      </c>
      <c r="M1293" s="14">
        <f t="shared" si="74"/>
        <v>0.87144444444444447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584</v>
      </c>
    </row>
    <row r="1294" spans="1:18" hidden="1" x14ac:dyDescent="0.3">
      <c r="A1294" s="21">
        <v>260</v>
      </c>
      <c r="B1294" s="5" t="s">
        <v>585</v>
      </c>
      <c r="C1294" s="5" t="s">
        <v>586</v>
      </c>
      <c r="D1294" s="5" t="s">
        <v>27</v>
      </c>
      <c r="E1294" s="5" t="s">
        <v>41</v>
      </c>
      <c r="F1294" s="71">
        <v>45107</v>
      </c>
      <c r="G1294" s="5">
        <v>2023</v>
      </c>
      <c r="H1294" s="5" t="s">
        <v>699</v>
      </c>
      <c r="I1294" s="6" t="s">
        <v>1512</v>
      </c>
      <c r="J1294" s="5">
        <v>3</v>
      </c>
      <c r="K1294" s="9">
        <v>2.8</v>
      </c>
      <c r="L1294" s="14">
        <f t="shared" si="73"/>
        <v>1.0714285714285714</v>
      </c>
      <c r="M1294" s="14">
        <f t="shared" si="74"/>
        <v>1.0714285714285714</v>
      </c>
      <c r="N1294" s="5" t="s">
        <v>136</v>
      </c>
      <c r="O1294" s="5" t="s">
        <v>136</v>
      </c>
      <c r="P1294" s="15">
        <v>0</v>
      </c>
      <c r="Q1294" s="15">
        <v>1</v>
      </c>
      <c r="R1294" s="5" t="s">
        <v>2447</v>
      </c>
    </row>
    <row r="1295" spans="1:18" hidden="1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45291</v>
      </c>
      <c r="G1295" s="5">
        <v>2023</v>
      </c>
      <c r="H1295" s="5" t="s">
        <v>23</v>
      </c>
      <c r="I1295" s="6" t="s">
        <v>28</v>
      </c>
      <c r="J1295" s="5">
        <v>3</v>
      </c>
      <c r="K1295" s="9">
        <v>2.9</v>
      </c>
      <c r="L1295" s="14">
        <f t="shared" si="73"/>
        <v>1.0344827586206897</v>
      </c>
      <c r="M1295" s="14">
        <f t="shared" si="74"/>
        <v>1.0344827586206897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587</v>
      </c>
    </row>
    <row r="1296" spans="1:18" hidden="1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45473</v>
      </c>
      <c r="G1296" s="5">
        <v>2024</v>
      </c>
      <c r="H1296" s="5" t="s">
        <v>699</v>
      </c>
      <c r="I1296" s="6" t="s">
        <v>729</v>
      </c>
      <c r="J1296" s="5">
        <v>2.8</v>
      </c>
      <c r="K1296" s="10">
        <v>2.5099999999999998</v>
      </c>
      <c r="L1296" s="14">
        <f t="shared" si="73"/>
        <v>1.1155378486055778</v>
      </c>
      <c r="M1296" s="14">
        <f t="shared" si="74"/>
        <v>1.1155378486055778</v>
      </c>
      <c r="N1296" s="5" t="s">
        <v>136</v>
      </c>
      <c r="O1296" s="5" t="s">
        <v>136</v>
      </c>
      <c r="P1296" s="15">
        <v>1</v>
      </c>
      <c r="Q1296" s="15">
        <v>1</v>
      </c>
      <c r="R1296" s="5" t="s">
        <v>2448</v>
      </c>
    </row>
    <row r="1297" spans="1:18" hidden="1" x14ac:dyDescent="0.3">
      <c r="A1297" s="5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45657</v>
      </c>
      <c r="G1297" s="5">
        <v>2024</v>
      </c>
      <c r="H1297" s="5" t="s">
        <v>23</v>
      </c>
      <c r="I1297" s="6" t="s">
        <v>30</v>
      </c>
      <c r="J1297" s="5">
        <v>2.8</v>
      </c>
      <c r="K1297" s="5">
        <v>2.1</v>
      </c>
      <c r="L1297" s="14">
        <f t="shared" si="73"/>
        <v>1.3</v>
      </c>
      <c r="M1297" s="14">
        <f t="shared" si="74"/>
        <v>1.3333333333333333</v>
      </c>
      <c r="N1297" s="5" t="s">
        <v>136</v>
      </c>
      <c r="O1297" s="5" t="s">
        <v>136</v>
      </c>
      <c r="P1297" s="5">
        <v>1</v>
      </c>
      <c r="Q1297" s="5">
        <v>1</v>
      </c>
      <c r="R1297" s="5" t="s">
        <v>588</v>
      </c>
    </row>
    <row r="1298" spans="1:18" hidden="1" x14ac:dyDescent="0.3">
      <c r="A1298" s="21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45838</v>
      </c>
      <c r="G1298" s="5">
        <v>2025</v>
      </c>
      <c r="H1298" s="5" t="s">
        <v>699</v>
      </c>
      <c r="I1298" s="6" t="s">
        <v>700</v>
      </c>
      <c r="J1298" s="5">
        <v>2.2000000000000002</v>
      </c>
      <c r="K1298" s="10">
        <v>1.9</v>
      </c>
      <c r="L1298" s="14">
        <f t="shared" si="73"/>
        <v>1.1578947368421053</v>
      </c>
      <c r="M1298" s="14">
        <f t="shared" si="74"/>
        <v>1.1578947368421053</v>
      </c>
      <c r="N1298" s="5" t="s">
        <v>136</v>
      </c>
      <c r="O1298" s="5" t="s">
        <v>136</v>
      </c>
      <c r="P1298" s="15">
        <v>1</v>
      </c>
      <c r="Q1298" s="15">
        <v>1</v>
      </c>
      <c r="R1298" s="5" t="s">
        <v>2449</v>
      </c>
    </row>
    <row r="1299" spans="1:18" hidden="1" x14ac:dyDescent="0.3">
      <c r="A1299" s="21">
        <v>260</v>
      </c>
      <c r="B1299" s="5" t="s">
        <v>585</v>
      </c>
      <c r="C1299" s="5" t="s">
        <v>586</v>
      </c>
      <c r="D1299" s="5" t="s">
        <v>21</v>
      </c>
      <c r="E1299" s="5" t="s">
        <v>41</v>
      </c>
      <c r="F1299" s="71">
        <v>46022</v>
      </c>
      <c r="G1299" s="5">
        <v>2025</v>
      </c>
      <c r="H1299" s="5" t="s">
        <v>23</v>
      </c>
      <c r="I1299" s="6" t="s">
        <v>32</v>
      </c>
      <c r="J1299" s="5">
        <v>2.1</v>
      </c>
      <c r="K1299" s="10">
        <v>1.9</v>
      </c>
      <c r="L1299" s="14">
        <f t="shared" si="73"/>
        <v>1.1052631578947369</v>
      </c>
      <c r="M1299" s="14">
        <f t="shared" si="74"/>
        <v>1.1052631578947369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589</v>
      </c>
    </row>
    <row r="1300" spans="1:18" hidden="1" x14ac:dyDescent="0.3">
      <c r="A1300" s="21">
        <v>261</v>
      </c>
      <c r="B1300" s="5" t="s">
        <v>590</v>
      </c>
      <c r="C1300" s="5" t="s">
        <v>333</v>
      </c>
      <c r="D1300" s="5" t="s">
        <v>27</v>
      </c>
      <c r="E1300" s="5" t="s">
        <v>41</v>
      </c>
      <c r="F1300" s="71">
        <v>45107</v>
      </c>
      <c r="G1300" s="5">
        <v>2023</v>
      </c>
      <c r="H1300" s="5" t="s">
        <v>699</v>
      </c>
      <c r="I1300" s="6" t="s">
        <v>1512</v>
      </c>
      <c r="J1300" s="5">
        <v>3</v>
      </c>
      <c r="K1300" s="9">
        <v>1.98</v>
      </c>
      <c r="L1300" s="14">
        <f t="shared" si="73"/>
        <v>1.3</v>
      </c>
      <c r="M1300" s="14">
        <f t="shared" si="74"/>
        <v>1.5151515151515151</v>
      </c>
      <c r="N1300" s="5" t="s">
        <v>136</v>
      </c>
      <c r="O1300" s="5" t="s">
        <v>136</v>
      </c>
      <c r="P1300" s="15">
        <v>2</v>
      </c>
      <c r="Q1300" s="15">
        <v>2</v>
      </c>
      <c r="R1300" s="5" t="s">
        <v>2450</v>
      </c>
    </row>
    <row r="1301" spans="1:18" hidden="1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45291</v>
      </c>
      <c r="G1301" s="5">
        <v>2023</v>
      </c>
      <c r="H1301" s="5" t="s">
        <v>23</v>
      </c>
      <c r="I1301" s="6" t="s">
        <v>28</v>
      </c>
      <c r="J1301" s="5">
        <v>3</v>
      </c>
      <c r="K1301" s="9">
        <v>2.06</v>
      </c>
      <c r="L1301" s="14">
        <f t="shared" si="73"/>
        <v>1.3</v>
      </c>
      <c r="M1301" s="14">
        <f t="shared" si="74"/>
        <v>1.4563106796116505</v>
      </c>
      <c r="N1301" s="5" t="s">
        <v>136</v>
      </c>
      <c r="O1301" s="5" t="s">
        <v>136</v>
      </c>
      <c r="P1301" s="15">
        <v>0</v>
      </c>
      <c r="Q1301" s="15">
        <v>0</v>
      </c>
      <c r="R1301" s="5" t="s">
        <v>591</v>
      </c>
    </row>
    <row r="1302" spans="1:18" hidden="1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45473</v>
      </c>
      <c r="G1302" s="5">
        <v>2024</v>
      </c>
      <c r="H1302" s="5" t="s">
        <v>699</v>
      </c>
      <c r="I1302" s="6" t="s">
        <v>729</v>
      </c>
      <c r="J1302" s="5">
        <v>3</v>
      </c>
      <c r="K1302" s="9">
        <v>2.2000000000000002</v>
      </c>
      <c r="L1302" s="14">
        <f t="shared" si="73"/>
        <v>1.3</v>
      </c>
      <c r="M1302" s="14">
        <f t="shared" si="74"/>
        <v>1.3636363636363635</v>
      </c>
      <c r="N1302" s="5" t="s">
        <v>136</v>
      </c>
      <c r="O1302" s="5" t="s">
        <v>136</v>
      </c>
      <c r="P1302" s="15">
        <v>1</v>
      </c>
      <c r="Q1302" s="15">
        <v>1</v>
      </c>
      <c r="R1302" s="5" t="s">
        <v>2451</v>
      </c>
    </row>
    <row r="1303" spans="1:18" hidden="1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45657</v>
      </c>
      <c r="G1303" s="5">
        <v>2024</v>
      </c>
      <c r="H1303" s="5" t="s">
        <v>23</v>
      </c>
      <c r="I1303" s="6" t="s">
        <v>30</v>
      </c>
      <c r="J1303" s="5">
        <v>3</v>
      </c>
      <c r="K1303" s="10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592</v>
      </c>
    </row>
    <row r="1304" spans="1:18" hidden="1" x14ac:dyDescent="0.3">
      <c r="A1304" s="5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45838</v>
      </c>
      <c r="G1304" s="5">
        <v>2025</v>
      </c>
      <c r="H1304" s="5" t="s">
        <v>699</v>
      </c>
      <c r="I1304" s="6" t="s">
        <v>700</v>
      </c>
      <c r="J1304" s="5">
        <v>3</v>
      </c>
      <c r="K1304" s="5">
        <v>2.2999999999999998</v>
      </c>
      <c r="L1304" s="14">
        <f t="shared" si="73"/>
        <v>1.3</v>
      </c>
      <c r="M1304" s="14">
        <f t="shared" si="74"/>
        <v>1.3043478260869565</v>
      </c>
      <c r="N1304" s="5" t="s">
        <v>136</v>
      </c>
      <c r="O1304" s="5" t="s">
        <v>136</v>
      </c>
      <c r="P1304" s="5">
        <v>1</v>
      </c>
      <c r="Q1304" s="5">
        <v>1</v>
      </c>
      <c r="R1304" s="5" t="s">
        <v>2452</v>
      </c>
    </row>
    <row r="1305" spans="1:18" hidden="1" x14ac:dyDescent="0.3">
      <c r="A1305" s="21">
        <v>261</v>
      </c>
      <c r="B1305" s="5" t="s">
        <v>590</v>
      </c>
      <c r="C1305" s="5" t="s">
        <v>333</v>
      </c>
      <c r="D1305" s="5" t="s">
        <v>21</v>
      </c>
      <c r="E1305" s="5" t="s">
        <v>41</v>
      </c>
      <c r="F1305" s="71">
        <v>46022</v>
      </c>
      <c r="G1305" s="5">
        <v>2025</v>
      </c>
      <c r="H1305" s="5" t="s">
        <v>23</v>
      </c>
      <c r="I1305" s="6" t="s">
        <v>32</v>
      </c>
      <c r="J1305" s="5">
        <v>3</v>
      </c>
      <c r="K1305" s="10">
        <v>2.1</v>
      </c>
      <c r="L1305" s="14">
        <f t="shared" si="73"/>
        <v>1.3</v>
      </c>
      <c r="M1305" s="14">
        <f t="shared" si="74"/>
        <v>1.4285714285714286</v>
      </c>
      <c r="N1305" s="5" t="s">
        <v>128</v>
      </c>
      <c r="O1305" s="5" t="s">
        <v>136</v>
      </c>
      <c r="P1305" s="15">
        <v>1</v>
      </c>
      <c r="Q1305" s="15">
        <v>1</v>
      </c>
      <c r="R1305" s="5" t="s">
        <v>593</v>
      </c>
    </row>
    <row r="1306" spans="1:18" hidden="1" x14ac:dyDescent="0.3">
      <c r="A1306" s="21">
        <v>262</v>
      </c>
      <c r="B1306" s="5" t="s">
        <v>2453</v>
      </c>
      <c r="C1306" s="5" t="s">
        <v>595</v>
      </c>
      <c r="D1306" s="5" t="s">
        <v>27</v>
      </c>
      <c r="E1306" s="5" t="s">
        <v>41</v>
      </c>
      <c r="F1306" s="71">
        <v>45107</v>
      </c>
      <c r="G1306" s="5">
        <v>2023</v>
      </c>
      <c r="H1306" s="5" t="s">
        <v>699</v>
      </c>
      <c r="I1306" s="6" t="s">
        <v>1512</v>
      </c>
      <c r="J1306" s="5">
        <v>20</v>
      </c>
      <c r="K1306" s="10">
        <v>0</v>
      </c>
      <c r="L1306" s="14" t="str">
        <f t="shared" si="73"/>
        <v/>
      </c>
      <c r="M1306" s="14" t="str">
        <f t="shared" si="74"/>
        <v/>
      </c>
      <c r="N1306" s="5" t="s">
        <v>25</v>
      </c>
      <c r="O1306" s="5" t="s">
        <v>25</v>
      </c>
      <c r="P1306" s="15">
        <v>0</v>
      </c>
      <c r="Q1306" s="15">
        <v>0</v>
      </c>
      <c r="R1306" s="5" t="s">
        <v>2454</v>
      </c>
    </row>
    <row r="1307" spans="1:18" hidden="1" x14ac:dyDescent="0.3">
      <c r="A1307" s="21">
        <v>262</v>
      </c>
      <c r="B1307" s="5" t="s">
        <v>2453</v>
      </c>
      <c r="C1307" s="5" t="s">
        <v>595</v>
      </c>
      <c r="D1307" s="5" t="s">
        <v>27</v>
      </c>
      <c r="E1307" s="5" t="s">
        <v>41</v>
      </c>
      <c r="F1307" s="71">
        <v>45291</v>
      </c>
      <c r="G1307" s="5">
        <v>2023</v>
      </c>
      <c r="H1307" s="5" t="s">
        <v>23</v>
      </c>
      <c r="I1307" s="6" t="s">
        <v>28</v>
      </c>
      <c r="J1307" s="5">
        <v>20</v>
      </c>
      <c r="K1307" s="9">
        <v>11.11</v>
      </c>
      <c r="L1307" s="14">
        <f t="shared" si="73"/>
        <v>1.3</v>
      </c>
      <c r="M1307" s="14">
        <f t="shared" si="74"/>
        <v>1.8001800180018002</v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596</v>
      </c>
    </row>
    <row r="1308" spans="1:18" hidden="1" x14ac:dyDescent="0.3">
      <c r="A1308" s="21">
        <v>262</v>
      </c>
      <c r="B1308" s="5" t="s">
        <v>594</v>
      </c>
      <c r="C1308" s="5" t="s">
        <v>595</v>
      </c>
      <c r="D1308" s="5" t="s">
        <v>27</v>
      </c>
      <c r="E1308" s="5" t="s">
        <v>41</v>
      </c>
      <c r="F1308" s="71">
        <v>45473</v>
      </c>
      <c r="G1308" s="5">
        <v>2024</v>
      </c>
      <c r="H1308" s="5" t="s">
        <v>699</v>
      </c>
      <c r="I1308" s="6" t="s">
        <v>729</v>
      </c>
      <c r="J1308" s="5">
        <v>20</v>
      </c>
      <c r="K1308" s="9">
        <v>0</v>
      </c>
      <c r="L1308" s="14" t="str">
        <f t="shared" si="73"/>
        <v/>
      </c>
      <c r="M1308" s="14" t="str">
        <f t="shared" si="74"/>
        <v/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2455</v>
      </c>
    </row>
    <row r="1309" spans="1:18" hidden="1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45657</v>
      </c>
      <c r="G1309" s="5">
        <v>2024</v>
      </c>
      <c r="H1309" s="5" t="s">
        <v>23</v>
      </c>
      <c r="I1309" s="6" t="s">
        <v>30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597</v>
      </c>
    </row>
    <row r="1310" spans="1:18" hidden="1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45838</v>
      </c>
      <c r="G1310" s="5">
        <v>2025</v>
      </c>
      <c r="H1310" s="5" t="s">
        <v>699</v>
      </c>
      <c r="I1310" s="6" t="s">
        <v>700</v>
      </c>
      <c r="J1310" s="5">
        <v>10</v>
      </c>
      <c r="K1310" s="10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2456</v>
      </c>
    </row>
    <row r="1311" spans="1:18" hidden="1" x14ac:dyDescent="0.3">
      <c r="A1311" s="5">
        <v>262</v>
      </c>
      <c r="B1311" s="5" t="s">
        <v>594</v>
      </c>
      <c r="C1311" s="5" t="s">
        <v>595</v>
      </c>
      <c r="D1311" s="5" t="s">
        <v>21</v>
      </c>
      <c r="E1311" s="5" t="s">
        <v>41</v>
      </c>
      <c r="F1311" s="71">
        <v>46022</v>
      </c>
      <c r="G1311" s="5">
        <v>2025</v>
      </c>
      <c r="H1311" s="5" t="s">
        <v>23</v>
      </c>
      <c r="I1311" s="6" t="s">
        <v>32</v>
      </c>
      <c r="J1311" s="5">
        <v>10</v>
      </c>
      <c r="K1311" s="5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598</v>
      </c>
    </row>
    <row r="1312" spans="1:18" hidden="1" x14ac:dyDescent="0.3">
      <c r="A1312" s="21">
        <v>263</v>
      </c>
      <c r="B1312" s="5" t="s">
        <v>599</v>
      </c>
      <c r="C1312" s="5" t="s">
        <v>595</v>
      </c>
      <c r="D1312" s="5" t="s">
        <v>21</v>
      </c>
      <c r="E1312" s="5" t="s">
        <v>22</v>
      </c>
      <c r="F1312" s="71">
        <v>45016</v>
      </c>
      <c r="G1312" s="5">
        <v>2023</v>
      </c>
      <c r="H1312" s="5" t="s">
        <v>1516</v>
      </c>
      <c r="I1312" s="6" t="s">
        <v>1512</v>
      </c>
      <c r="J1312" s="5">
        <v>100</v>
      </c>
      <c r="K1312" s="10">
        <v>100</v>
      </c>
      <c r="L1312" s="14">
        <f t="shared" si="73"/>
        <v>1</v>
      </c>
      <c r="M1312" s="14">
        <f t="shared" si="74"/>
        <v>1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2457</v>
      </c>
    </row>
    <row r="1313" spans="1:18" hidden="1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45107</v>
      </c>
      <c r="G1313" s="5">
        <v>2023</v>
      </c>
      <c r="H1313" s="5" t="s">
        <v>699</v>
      </c>
      <c r="I1313" s="6" t="s">
        <v>1512</v>
      </c>
      <c r="J1313" s="5">
        <v>100</v>
      </c>
      <c r="K1313" s="10">
        <v>100</v>
      </c>
      <c r="L1313" s="14">
        <f t="shared" ref="L1313:L1344" si="75">IFERROR(IF(OR(J1313=0,K1313=""),"",IF(E1313="Positivo",MIN(MAX(K1313/J1313,0),1.3),MIN(MAX(J1313/K1313,0),1.3))),"")</f>
        <v>1</v>
      </c>
      <c r="M1313" s="14">
        <f t="shared" ref="M1313:M1345" si="76">IFERROR(IF(OR(J1313=0,K1313=""),"",IF(E1313="Positivo",MAX(K1313/J1313,0),MAX(J1313/K1313,0))),"")</f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hidden="1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45199</v>
      </c>
      <c r="G1314" s="5">
        <v>2023</v>
      </c>
      <c r="H1314" s="5" t="s">
        <v>162</v>
      </c>
      <c r="I1314" s="6" t="s">
        <v>28</v>
      </c>
      <c r="J1314" s="5">
        <v>100</v>
      </c>
      <c r="K1314" s="9">
        <v>100</v>
      </c>
      <c r="L1314" s="14">
        <f t="shared" si="75"/>
        <v>1</v>
      </c>
      <c r="M1314" s="14">
        <f t="shared" si="76"/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hidden="1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45291</v>
      </c>
      <c r="G1315" s="5">
        <v>2023</v>
      </c>
      <c r="H1315" s="5" t="s">
        <v>23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600</v>
      </c>
    </row>
    <row r="1316" spans="1:18" hidden="1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45382</v>
      </c>
      <c r="G1316" s="5">
        <v>2024</v>
      </c>
      <c r="H1316" s="5" t="s">
        <v>1516</v>
      </c>
      <c r="I1316" s="6" t="s">
        <v>729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2460</v>
      </c>
    </row>
    <row r="1317" spans="1:18" hidden="1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100</v>
      </c>
      <c r="K1317" s="10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hidden="1" x14ac:dyDescent="0.3">
      <c r="A1318" s="5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45565</v>
      </c>
      <c r="G1318" s="5">
        <v>2024</v>
      </c>
      <c r="H1318" s="5" t="s">
        <v>162</v>
      </c>
      <c r="I1318" s="6" t="s">
        <v>30</v>
      </c>
      <c r="J1318" s="5">
        <v>100</v>
      </c>
      <c r="K1318" s="5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5">
        <v>0</v>
      </c>
      <c r="Q1318" s="5">
        <v>0</v>
      </c>
      <c r="R1318" s="5" t="s">
        <v>2462</v>
      </c>
    </row>
    <row r="1319" spans="1:18" hidden="1" x14ac:dyDescent="0.3">
      <c r="A1319" s="21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45657</v>
      </c>
      <c r="G1319" s="5">
        <v>2024</v>
      </c>
      <c r="H1319" s="5" t="s">
        <v>23</v>
      </c>
      <c r="I1319" s="6" t="s">
        <v>30</v>
      </c>
      <c r="J1319" s="5">
        <v>100</v>
      </c>
      <c r="K1319" s="10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15">
        <v>0</v>
      </c>
      <c r="Q1319" s="15">
        <v>0</v>
      </c>
      <c r="R1319" s="5" t="s">
        <v>601</v>
      </c>
    </row>
    <row r="1320" spans="1:18" hidden="1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45747</v>
      </c>
      <c r="G1320" s="5">
        <v>2025</v>
      </c>
      <c r="H1320" s="5" t="s">
        <v>1516</v>
      </c>
      <c r="I1320" s="6" t="s">
        <v>700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2463</v>
      </c>
    </row>
    <row r="1321" spans="1:18" hidden="1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45838</v>
      </c>
      <c r="G1321" s="5">
        <v>2025</v>
      </c>
      <c r="H1321" s="5" t="s">
        <v>699</v>
      </c>
      <c r="I1321" s="6" t="s">
        <v>700</v>
      </c>
      <c r="J1321" s="5">
        <v>100</v>
      </c>
      <c r="K1321" s="9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hidden="1" x14ac:dyDescent="0.3">
      <c r="A1322" s="21">
        <v>263</v>
      </c>
      <c r="B1322" s="5" t="s">
        <v>599</v>
      </c>
      <c r="C1322" s="5" t="s">
        <v>595</v>
      </c>
      <c r="D1322" s="5" t="s">
        <v>27</v>
      </c>
      <c r="E1322" s="5" t="s">
        <v>22</v>
      </c>
      <c r="F1322" s="71">
        <v>45930</v>
      </c>
      <c r="G1322" s="5">
        <v>2025</v>
      </c>
      <c r="H1322" s="5" t="s">
        <v>162</v>
      </c>
      <c r="I1322" s="6" t="s">
        <v>32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hidden="1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46022</v>
      </c>
      <c r="G1323" s="5">
        <v>2025</v>
      </c>
      <c r="H1323" s="5" t="s">
        <v>23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602</v>
      </c>
    </row>
    <row r="1324" spans="1:18" hidden="1" x14ac:dyDescent="0.3">
      <c r="A1324" s="21">
        <v>264</v>
      </c>
      <c r="B1324" s="5" t="s">
        <v>603</v>
      </c>
      <c r="C1324" s="5" t="s">
        <v>595</v>
      </c>
      <c r="D1324" s="5" t="s">
        <v>27</v>
      </c>
      <c r="E1324" s="5" t="s">
        <v>22</v>
      </c>
      <c r="F1324" s="71">
        <v>45107</v>
      </c>
      <c r="G1324" s="5">
        <v>2023</v>
      </c>
      <c r="H1324" s="5" t="s">
        <v>699</v>
      </c>
      <c r="I1324" s="6" t="s">
        <v>1512</v>
      </c>
      <c r="J1324" s="5">
        <v>100</v>
      </c>
      <c r="K1324" s="10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2466</v>
      </c>
    </row>
    <row r="1325" spans="1:18" hidden="1" x14ac:dyDescent="0.3">
      <c r="A1325" s="5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45291</v>
      </c>
      <c r="G1325" s="5">
        <v>2023</v>
      </c>
      <c r="H1325" s="5" t="s">
        <v>23</v>
      </c>
      <c r="I1325" s="6" t="s">
        <v>28</v>
      </c>
      <c r="J1325" s="5">
        <v>100</v>
      </c>
      <c r="K1325" s="5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5">
        <v>0</v>
      </c>
      <c r="Q1325" s="5">
        <v>0</v>
      </c>
      <c r="R1325" s="5" t="s">
        <v>604</v>
      </c>
    </row>
    <row r="1326" spans="1:18" hidden="1" x14ac:dyDescent="0.3">
      <c r="A1326" s="21">
        <v>264</v>
      </c>
      <c r="B1326" s="5" t="s">
        <v>605</v>
      </c>
      <c r="C1326" s="5" t="s">
        <v>595</v>
      </c>
      <c r="D1326" s="5" t="s">
        <v>27</v>
      </c>
      <c r="E1326" s="5" t="s">
        <v>22</v>
      </c>
      <c r="F1326" s="71">
        <v>45473</v>
      </c>
      <c r="G1326" s="5">
        <v>2024</v>
      </c>
      <c r="H1326" s="5" t="s">
        <v>699</v>
      </c>
      <c r="I1326" s="6" t="s">
        <v>729</v>
      </c>
      <c r="J1326" s="5">
        <v>100</v>
      </c>
      <c r="K1326" s="10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15">
        <v>0</v>
      </c>
      <c r="Q1326" s="15">
        <v>0</v>
      </c>
      <c r="R1326" s="5" t="s">
        <v>2467</v>
      </c>
    </row>
    <row r="1327" spans="1:18" hidden="1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45657</v>
      </c>
      <c r="G1327" s="5">
        <v>2024</v>
      </c>
      <c r="H1327" s="5" t="s">
        <v>23</v>
      </c>
      <c r="I1327" s="6" t="s">
        <v>30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606</v>
      </c>
    </row>
    <row r="1328" spans="1:18" hidden="1" x14ac:dyDescent="0.3">
      <c r="A1328" s="21">
        <v>265</v>
      </c>
      <c r="B1328" s="5" t="s">
        <v>607</v>
      </c>
      <c r="C1328" s="5" t="s">
        <v>595</v>
      </c>
      <c r="D1328" s="5" t="s">
        <v>27</v>
      </c>
      <c r="E1328" s="5" t="s">
        <v>22</v>
      </c>
      <c r="F1328" s="71">
        <v>45107</v>
      </c>
      <c r="G1328" s="5">
        <v>2023</v>
      </c>
      <c r="H1328" s="5" t="s">
        <v>699</v>
      </c>
      <c r="I1328" s="6" t="s">
        <v>1512</v>
      </c>
      <c r="J1328" s="5">
        <v>100</v>
      </c>
      <c r="K1328" s="9">
        <v>80</v>
      </c>
      <c r="L1328" s="14">
        <f t="shared" si="75"/>
        <v>0.8</v>
      </c>
      <c r="M1328" s="14">
        <f t="shared" si="76"/>
        <v>0.8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2468</v>
      </c>
    </row>
    <row r="1329" spans="1:18" hidden="1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45291</v>
      </c>
      <c r="G1329" s="5">
        <v>2023</v>
      </c>
      <c r="H1329" s="5" t="s">
        <v>23</v>
      </c>
      <c r="I1329" s="6" t="s">
        <v>28</v>
      </c>
      <c r="J1329" s="5">
        <v>100</v>
      </c>
      <c r="K1329" s="9">
        <v>97.13</v>
      </c>
      <c r="L1329" s="14">
        <f t="shared" si="75"/>
        <v>0.97129999999999994</v>
      </c>
      <c r="M1329" s="14">
        <f t="shared" si="76"/>
        <v>0.97129999999999994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608</v>
      </c>
    </row>
    <row r="1330" spans="1:18" hidden="1" x14ac:dyDescent="0.3">
      <c r="A1330" s="21">
        <v>265</v>
      </c>
      <c r="B1330" s="5" t="s">
        <v>609</v>
      </c>
      <c r="C1330" s="5" t="s">
        <v>595</v>
      </c>
      <c r="D1330" s="5" t="s">
        <v>27</v>
      </c>
      <c r="E1330" s="5" t="s">
        <v>22</v>
      </c>
      <c r="F1330" s="71">
        <v>45473</v>
      </c>
      <c r="G1330" s="5">
        <v>2024</v>
      </c>
      <c r="H1330" s="5" t="s">
        <v>699</v>
      </c>
      <c r="I1330" s="6" t="s">
        <v>729</v>
      </c>
      <c r="J1330" s="5">
        <v>95</v>
      </c>
      <c r="K1330" s="9">
        <v>100</v>
      </c>
      <c r="L1330" s="14">
        <f t="shared" si="75"/>
        <v>1.0526315789473684</v>
      </c>
      <c r="M1330" s="14">
        <f t="shared" si="76"/>
        <v>1.0526315789473684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2469</v>
      </c>
    </row>
    <row r="1331" spans="1:18" hidden="1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45657</v>
      </c>
      <c r="G1331" s="5">
        <v>2024</v>
      </c>
      <c r="H1331" s="5" t="s">
        <v>23</v>
      </c>
      <c r="I1331" s="6" t="s">
        <v>30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610</v>
      </c>
    </row>
    <row r="1332" spans="1:18" hidden="1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45838</v>
      </c>
      <c r="G1332" s="5">
        <v>2025</v>
      </c>
      <c r="H1332" s="5" t="s">
        <v>699</v>
      </c>
      <c r="I1332" s="6" t="s">
        <v>700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2470</v>
      </c>
    </row>
    <row r="1333" spans="1:18" hidden="1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45930</v>
      </c>
      <c r="G1333" s="5">
        <v>2025</v>
      </c>
      <c r="H1333" s="5" t="s">
        <v>162</v>
      </c>
      <c r="I1333" s="6" t="s">
        <v>32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hidden="1" x14ac:dyDescent="0.3">
      <c r="A1334" s="5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46022</v>
      </c>
      <c r="G1334" s="5">
        <v>2025</v>
      </c>
      <c r="H1334" s="5" t="s">
        <v>23</v>
      </c>
      <c r="I1334" s="6" t="s">
        <v>32</v>
      </c>
      <c r="J1334" s="5">
        <v>95</v>
      </c>
      <c r="K1334" s="5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611</v>
      </c>
    </row>
    <row r="1335" spans="1:18" hidden="1" x14ac:dyDescent="0.3">
      <c r="A1335" s="21">
        <v>266</v>
      </c>
      <c r="B1335" s="5" t="s">
        <v>612</v>
      </c>
      <c r="C1335" s="5" t="s">
        <v>595</v>
      </c>
      <c r="D1335" s="5" t="s">
        <v>27</v>
      </c>
      <c r="E1335" s="5" t="s">
        <v>22</v>
      </c>
      <c r="F1335" s="71">
        <v>45107</v>
      </c>
      <c r="G1335" s="5">
        <v>2023</v>
      </c>
      <c r="H1335" s="5" t="s">
        <v>699</v>
      </c>
      <c r="I1335" s="6" t="s">
        <v>1512</v>
      </c>
      <c r="J1335" s="5">
        <v>95</v>
      </c>
      <c r="K1335" s="10">
        <v>89.907038512615998</v>
      </c>
      <c r="L1335" s="14">
        <f t="shared" si="75"/>
        <v>0.94638987908016836</v>
      </c>
      <c r="M1335" s="14">
        <f t="shared" si="76"/>
        <v>0.94638987908016836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2472</v>
      </c>
    </row>
    <row r="1336" spans="1:18" hidden="1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95</v>
      </c>
      <c r="K1336" s="10">
        <v>97.07</v>
      </c>
      <c r="L1336" s="14">
        <f t="shared" si="75"/>
        <v>1.0217894736842104</v>
      </c>
      <c r="M1336" s="14">
        <f t="shared" si="76"/>
        <v>1.0217894736842104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613</v>
      </c>
    </row>
    <row r="1337" spans="1:18" hidden="1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0">
        <v>45473</v>
      </c>
      <c r="G1337" s="5">
        <v>2024</v>
      </c>
      <c r="H1337" s="5" t="s">
        <v>699</v>
      </c>
      <c r="I1337" s="6" t="s">
        <v>729</v>
      </c>
      <c r="J1337" s="5">
        <v>95</v>
      </c>
      <c r="K1337" s="9">
        <v>95.02</v>
      </c>
      <c r="L1337" s="14">
        <f t="shared" si="75"/>
        <v>1.0002105263157894</v>
      </c>
      <c r="M1337" s="14">
        <f t="shared" si="76"/>
        <v>1.0002105263157894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2473</v>
      </c>
    </row>
    <row r="1338" spans="1:18" hidden="1" x14ac:dyDescent="0.3">
      <c r="A1338" s="26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1">
        <v>45657</v>
      </c>
      <c r="G1338" s="5">
        <v>2024</v>
      </c>
      <c r="H1338" s="5" t="s">
        <v>23</v>
      </c>
      <c r="I1338" s="6" t="s">
        <v>30</v>
      </c>
      <c r="J1338" s="5">
        <v>95</v>
      </c>
      <c r="K1338" s="9">
        <v>81.93</v>
      </c>
      <c r="L1338" s="14">
        <f t="shared" si="75"/>
        <v>0.86242105263157898</v>
      </c>
      <c r="M1338" s="14">
        <f t="shared" si="76"/>
        <v>0.86242105263157898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614</v>
      </c>
    </row>
    <row r="1339" spans="1:18" hidden="1" x14ac:dyDescent="0.3">
      <c r="A1339" s="21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0">
        <v>45838</v>
      </c>
      <c r="G1339" s="5">
        <v>2025</v>
      </c>
      <c r="H1339" s="5" t="s">
        <v>699</v>
      </c>
      <c r="I1339" s="6" t="s">
        <v>700</v>
      </c>
      <c r="J1339" s="5">
        <v>95</v>
      </c>
      <c r="K1339" s="9">
        <v>53.15</v>
      </c>
      <c r="L1339" s="14">
        <f t="shared" si="75"/>
        <v>0.55947368421052635</v>
      </c>
      <c r="M1339" s="14">
        <f t="shared" si="76"/>
        <v>0.55947368421052635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2474</v>
      </c>
    </row>
    <row r="1340" spans="1:18" hidden="1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1">
        <v>45930</v>
      </c>
      <c r="G1340" s="5">
        <v>2025</v>
      </c>
      <c r="H1340" s="5" t="s">
        <v>162</v>
      </c>
      <c r="I1340" s="6" t="s">
        <v>32</v>
      </c>
      <c r="J1340" s="5">
        <v>95</v>
      </c>
      <c r="K1340" s="10">
        <v>80</v>
      </c>
      <c r="L1340" s="14">
        <f t="shared" si="75"/>
        <v>0.84210526315789469</v>
      </c>
      <c r="M1340" s="14">
        <f t="shared" si="76"/>
        <v>0.84210526315789469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hidden="1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0">
        <v>46022</v>
      </c>
      <c r="G1341" s="5">
        <v>2025</v>
      </c>
      <c r="H1341" s="5" t="s">
        <v>23</v>
      </c>
      <c r="I1341" s="6" t="s">
        <v>32</v>
      </c>
      <c r="J1341" s="11">
        <v>95</v>
      </c>
      <c r="K1341" s="9">
        <v>96.2</v>
      </c>
      <c r="L1341" s="14">
        <f t="shared" si="75"/>
        <v>1.0126315789473685</v>
      </c>
      <c r="M1341" s="14">
        <f t="shared" si="76"/>
        <v>1.0126315789473685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615</v>
      </c>
    </row>
    <row r="1342" spans="1:18" hidden="1" x14ac:dyDescent="0.3">
      <c r="A1342" s="26">
        <v>268</v>
      </c>
      <c r="B1342" s="5" t="s">
        <v>618</v>
      </c>
      <c r="C1342" s="5" t="s">
        <v>619</v>
      </c>
      <c r="D1342" s="5" t="s">
        <v>27</v>
      </c>
      <c r="E1342" s="5" t="s">
        <v>22</v>
      </c>
      <c r="F1342" s="71">
        <v>45107</v>
      </c>
      <c r="G1342" s="5">
        <v>2023</v>
      </c>
      <c r="H1342" s="5" t="s">
        <v>699</v>
      </c>
      <c r="I1342" s="6" t="s">
        <v>1512</v>
      </c>
      <c r="J1342" s="5">
        <v>0</v>
      </c>
      <c r="K1342" s="9">
        <v>661</v>
      </c>
      <c r="L1342" s="14" t="str">
        <f t="shared" si="75"/>
        <v/>
      </c>
      <c r="M1342" s="14" t="str">
        <f t="shared" si="76"/>
        <v/>
      </c>
      <c r="N1342" s="11"/>
      <c r="O1342" s="11" t="s">
        <v>128</v>
      </c>
      <c r="P1342" s="15">
        <v>0</v>
      </c>
      <c r="Q1342" s="15">
        <v>0</v>
      </c>
      <c r="R1342" s="5" t="s">
        <v>2476</v>
      </c>
    </row>
    <row r="1343" spans="1:18" hidden="1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45291</v>
      </c>
      <c r="G1343" s="5">
        <v>2023</v>
      </c>
      <c r="H1343" s="5" t="s">
        <v>23</v>
      </c>
      <c r="I1343" s="6" t="s">
        <v>28</v>
      </c>
      <c r="J1343" s="5">
        <v>0</v>
      </c>
      <c r="K1343" s="9">
        <v>727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620</v>
      </c>
    </row>
    <row r="1344" spans="1:18" hidden="1" x14ac:dyDescent="0.3">
      <c r="A1344" s="21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45473</v>
      </c>
      <c r="G1344" s="5">
        <v>2024</v>
      </c>
      <c r="H1344" s="5" t="s">
        <v>699</v>
      </c>
      <c r="I1344" s="6" t="s">
        <v>729</v>
      </c>
      <c r="J1344" s="5">
        <v>0</v>
      </c>
      <c r="K1344" s="10">
        <v>743</v>
      </c>
      <c r="L1344" s="14" t="str">
        <f t="shared" si="75"/>
        <v/>
      </c>
      <c r="M1344" s="14" t="str">
        <f t="shared" si="76"/>
        <v/>
      </c>
      <c r="N1344" s="5"/>
      <c r="O1344" s="5" t="s">
        <v>128</v>
      </c>
      <c r="P1344" s="15">
        <v>0</v>
      </c>
      <c r="Q1344" s="15">
        <v>0</v>
      </c>
      <c r="R1344" s="5" t="s">
        <v>2477</v>
      </c>
    </row>
    <row r="1345" spans="1:19" hidden="1" x14ac:dyDescent="0.3">
      <c r="A1345" s="26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45657</v>
      </c>
      <c r="G1345" s="5">
        <v>2024</v>
      </c>
      <c r="H1345" s="5" t="s">
        <v>23</v>
      </c>
      <c r="I1345" s="6" t="s">
        <v>30</v>
      </c>
      <c r="J1345" s="5">
        <v>0</v>
      </c>
      <c r="K1345" s="9">
        <v>732</v>
      </c>
      <c r="L1345" s="14" t="str">
        <f t="shared" ref="L1345" si="77">IFERROR(IF(OR(J1345=0,K1345=""),"",IF(E1345="Positivo",MIN(MAX(K1345/J1345,0),1.3),MIN(MAX(J1345/K1345,0),1.3))),"")</f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621</v>
      </c>
    </row>
    <row r="1346" spans="1:19" hidden="1" x14ac:dyDescent="0.3">
      <c r="A1346" s="21">
        <v>268</v>
      </c>
      <c r="B1346" s="5" t="s">
        <v>622</v>
      </c>
      <c r="C1346" s="5" t="s">
        <v>619</v>
      </c>
      <c r="D1346" s="5" t="s">
        <v>21</v>
      </c>
      <c r="E1346" s="5" t="s">
        <v>22</v>
      </c>
      <c r="F1346" s="71">
        <v>45838</v>
      </c>
      <c r="G1346" s="5">
        <v>2025</v>
      </c>
      <c r="H1346" s="5" t="s">
        <v>699</v>
      </c>
      <c r="I1346" s="6" t="s">
        <v>700</v>
      </c>
      <c r="J1346" s="5"/>
      <c r="K1346" s="10">
        <v>765</v>
      </c>
      <c r="L1346" s="14"/>
      <c r="M1346" s="14"/>
      <c r="N1346" s="5" t="s">
        <v>25</v>
      </c>
      <c r="O1346" s="5" t="s">
        <v>128</v>
      </c>
      <c r="P1346" s="15">
        <v>0</v>
      </c>
      <c r="Q1346" s="15">
        <v>0</v>
      </c>
      <c r="R1346" s="5" t="s">
        <v>2478</v>
      </c>
      <c r="S1346" t="s">
        <v>263</v>
      </c>
    </row>
    <row r="1347" spans="1:19" hidden="1" x14ac:dyDescent="0.3">
      <c r="A1347" s="26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46022</v>
      </c>
      <c r="G1347" s="5">
        <v>2025</v>
      </c>
      <c r="H1347" s="5" t="s">
        <v>23</v>
      </c>
      <c r="I1347" s="6" t="s">
        <v>32</v>
      </c>
      <c r="J1347" s="5"/>
      <c r="K1347" s="9">
        <v>877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623</v>
      </c>
      <c r="S1347" t="s">
        <v>263</v>
      </c>
    </row>
    <row r="1348" spans="1:19" hidden="1" x14ac:dyDescent="0.3">
      <c r="A1348" s="21">
        <v>269</v>
      </c>
      <c r="B1348" s="5" t="s">
        <v>624</v>
      </c>
      <c r="C1348" s="5" t="s">
        <v>619</v>
      </c>
      <c r="D1348" s="5" t="s">
        <v>27</v>
      </c>
      <c r="E1348" s="5" t="s">
        <v>22</v>
      </c>
      <c r="F1348" s="71">
        <v>45107</v>
      </c>
      <c r="G1348" s="5">
        <v>2023</v>
      </c>
      <c r="H1348" s="5" t="s">
        <v>699</v>
      </c>
      <c r="I1348" s="6" t="s">
        <v>1512</v>
      </c>
      <c r="J1348" s="5"/>
      <c r="K1348" s="10">
        <v>0.4</v>
      </c>
      <c r="L1348" s="14"/>
      <c r="M1348" s="14"/>
      <c r="N1348" s="5"/>
      <c r="O1348" s="5" t="s">
        <v>136</v>
      </c>
      <c r="P1348" s="15">
        <v>2</v>
      </c>
      <c r="Q1348" s="15">
        <v>2</v>
      </c>
      <c r="R1348" s="5" t="s">
        <v>2479</v>
      </c>
    </row>
    <row r="1349" spans="1:19" hidden="1" x14ac:dyDescent="0.3">
      <c r="A1349" s="26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45291</v>
      </c>
      <c r="G1349" s="5">
        <v>2023</v>
      </c>
      <c r="H1349" s="5" t="s">
        <v>23</v>
      </c>
      <c r="I1349" s="6" t="s">
        <v>28</v>
      </c>
      <c r="J1349" s="5"/>
      <c r="K1349" s="9">
        <v>1.2769784172661871</v>
      </c>
      <c r="L1349" s="8"/>
      <c r="M1349" s="14"/>
      <c r="N1349" s="5"/>
      <c r="O1349" s="5" t="s">
        <v>136</v>
      </c>
      <c r="P1349" s="15">
        <v>0</v>
      </c>
      <c r="Q1349" s="15">
        <v>0</v>
      </c>
      <c r="R1349" s="5" t="s">
        <v>625</v>
      </c>
    </row>
    <row r="1350" spans="1:19" hidden="1" x14ac:dyDescent="0.3">
      <c r="A1350" s="5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45473</v>
      </c>
      <c r="G1350" s="5">
        <v>2024</v>
      </c>
      <c r="H1350" s="5" t="s">
        <v>699</v>
      </c>
      <c r="I1350" s="6" t="s">
        <v>729</v>
      </c>
      <c r="J1350" s="5"/>
      <c r="K1350" s="5">
        <v>3</v>
      </c>
      <c r="L1350" s="14"/>
      <c r="M1350" s="14"/>
      <c r="N1350" s="5"/>
      <c r="O1350" s="5" t="s">
        <v>136</v>
      </c>
      <c r="P1350" s="5">
        <v>2</v>
      </c>
      <c r="Q1350" s="5">
        <v>2</v>
      </c>
      <c r="R1350" s="5" t="s">
        <v>2480</v>
      </c>
    </row>
    <row r="1351" spans="1:19" hidden="1" x14ac:dyDescent="0.3">
      <c r="A1351" s="21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45657</v>
      </c>
      <c r="G1351" s="5">
        <v>2024</v>
      </c>
      <c r="H1351" s="5" t="s">
        <v>23</v>
      </c>
      <c r="I1351" s="6" t="s">
        <v>30</v>
      </c>
      <c r="J1351" s="5"/>
      <c r="K1351" s="10">
        <v>1.28</v>
      </c>
      <c r="L1351" s="14"/>
      <c r="M1351" s="14"/>
      <c r="N1351" s="5"/>
      <c r="O1351" s="5" t="s">
        <v>136</v>
      </c>
      <c r="P1351" s="15">
        <v>2</v>
      </c>
      <c r="Q1351" s="15">
        <v>2</v>
      </c>
      <c r="R1351" s="5" t="s">
        <v>626</v>
      </c>
    </row>
    <row r="1352" spans="1:19" hidden="1" x14ac:dyDescent="0.3">
      <c r="A1352" s="21">
        <v>269</v>
      </c>
      <c r="B1352" s="5" t="s">
        <v>627</v>
      </c>
      <c r="C1352" s="5" t="s">
        <v>619</v>
      </c>
      <c r="D1352" s="5" t="s">
        <v>21</v>
      </c>
      <c r="E1352" s="5" t="s">
        <v>22</v>
      </c>
      <c r="F1352" s="70">
        <v>45838</v>
      </c>
      <c r="G1352" s="5">
        <v>2025</v>
      </c>
      <c r="H1352" s="5" t="s">
        <v>699</v>
      </c>
      <c r="I1352" s="6" t="s">
        <v>700</v>
      </c>
      <c r="J1352" s="5">
        <v>368</v>
      </c>
      <c r="K1352" s="9">
        <v>1.83</v>
      </c>
      <c r="L1352" s="8"/>
      <c r="M1352" s="14"/>
      <c r="N1352" s="5" t="s">
        <v>136</v>
      </c>
      <c r="O1352" s="5" t="s">
        <v>136</v>
      </c>
      <c r="P1352" s="15">
        <v>2</v>
      </c>
      <c r="Q1352" s="15">
        <v>2</v>
      </c>
      <c r="R1352" s="5" t="s">
        <v>2481</v>
      </c>
      <c r="S1352" t="s">
        <v>263</v>
      </c>
    </row>
    <row r="1353" spans="1:19" hidden="1" x14ac:dyDescent="0.3">
      <c r="A1353" s="26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1">
        <v>46022</v>
      </c>
      <c r="G1353" s="5">
        <v>2025</v>
      </c>
      <c r="H1353" s="5" t="s">
        <v>23</v>
      </c>
      <c r="I1353" s="6" t="s">
        <v>32</v>
      </c>
      <c r="J1353" s="5">
        <v>545</v>
      </c>
      <c r="K1353" s="9">
        <v>1.65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628</v>
      </c>
      <c r="S1353" t="s">
        <v>263</v>
      </c>
    </row>
    <row r="1354" spans="1:19" hidden="1" x14ac:dyDescent="0.3">
      <c r="A1354" s="5">
        <v>270</v>
      </c>
      <c r="B1354" s="5" t="s">
        <v>629</v>
      </c>
      <c r="C1354" s="5" t="s">
        <v>619</v>
      </c>
      <c r="D1354" s="5" t="s">
        <v>27</v>
      </c>
      <c r="E1354" s="5" t="s">
        <v>22</v>
      </c>
      <c r="F1354" s="71">
        <v>45107</v>
      </c>
      <c r="G1354" s="5">
        <v>2023</v>
      </c>
      <c r="H1354" s="5" t="s">
        <v>699</v>
      </c>
      <c r="I1354" s="6" t="s">
        <v>1512</v>
      </c>
      <c r="J1354" s="5">
        <v>0</v>
      </c>
      <c r="K1354" s="5">
        <v>6.55</v>
      </c>
      <c r="L1354" s="14" t="str">
        <f>IFERROR(IF(OR(J1354=0,K1354=""),"",IF(E1354="Positivo",MIN(MAX(K1354/J1354,0),1.3),MIN(MAX(J1354/K1354,0),1.3))),"")</f>
        <v/>
      </c>
      <c r="M1354" s="14" t="str">
        <f>IFERROR(IF(OR(J1354=0,K1354=""),"",IF(E1354="Positivo",MAX(K1354/J1354,0),MAX(J1354/K1354,0))),"")</f>
        <v/>
      </c>
      <c r="N1354" s="5" t="s">
        <v>136</v>
      </c>
      <c r="O1354" s="5" t="s">
        <v>136</v>
      </c>
      <c r="P1354" s="5">
        <v>0</v>
      </c>
      <c r="Q1354" s="5">
        <v>0</v>
      </c>
      <c r="R1354" s="5" t="s">
        <v>2482</v>
      </c>
    </row>
    <row r="1355" spans="1:19" hidden="1" x14ac:dyDescent="0.3">
      <c r="A1355" s="21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45291</v>
      </c>
      <c r="G1355" s="5">
        <v>2023</v>
      </c>
      <c r="H1355" s="5" t="s">
        <v>23</v>
      </c>
      <c r="I1355" s="6" t="s">
        <v>28</v>
      </c>
      <c r="J1355" s="5">
        <v>0</v>
      </c>
      <c r="K1355" s="10">
        <v>3.83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15">
        <v>0</v>
      </c>
      <c r="Q1355" s="15">
        <v>0</v>
      </c>
      <c r="R1355" s="5" t="s">
        <v>630</v>
      </c>
    </row>
    <row r="1356" spans="1:19" hidden="1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0">
        <v>45473</v>
      </c>
      <c r="G1356" s="5">
        <v>2024</v>
      </c>
      <c r="H1356" s="5" t="s">
        <v>699</v>
      </c>
      <c r="I1356" s="6" t="s">
        <v>729</v>
      </c>
      <c r="J1356" s="5">
        <v>0</v>
      </c>
      <c r="K1356" s="12">
        <v>4.88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>
        <v>0</v>
      </c>
      <c r="O1356" s="5" t="s">
        <v>128</v>
      </c>
      <c r="P1356" s="15">
        <v>1</v>
      </c>
      <c r="Q1356" s="15">
        <v>1</v>
      </c>
      <c r="R1356" s="5" t="s">
        <v>2483</v>
      </c>
    </row>
    <row r="1357" spans="1:19" hidden="1" x14ac:dyDescent="0.3">
      <c r="A1357" s="26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1">
        <v>45657</v>
      </c>
      <c r="G1357" s="5">
        <v>2024</v>
      </c>
      <c r="H1357" s="5" t="s">
        <v>23</v>
      </c>
      <c r="I1357" s="6" t="s">
        <v>30</v>
      </c>
      <c r="J1357" s="5">
        <v>0</v>
      </c>
      <c r="K1357" s="9">
        <v>4.57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631</v>
      </c>
    </row>
    <row r="1358" spans="1:19" hidden="1" x14ac:dyDescent="0.3">
      <c r="A1358" s="5">
        <v>270</v>
      </c>
      <c r="B1358" s="5" t="s">
        <v>632</v>
      </c>
      <c r="C1358" s="5" t="s">
        <v>619</v>
      </c>
      <c r="D1358" s="5" t="s">
        <v>21</v>
      </c>
      <c r="E1358" s="5" t="s">
        <v>22</v>
      </c>
      <c r="F1358" s="71">
        <v>45838</v>
      </c>
      <c r="G1358" s="5">
        <v>2025</v>
      </c>
      <c r="H1358" s="5" t="s">
        <v>699</v>
      </c>
      <c r="I1358" s="6" t="s">
        <v>700</v>
      </c>
      <c r="J1358" s="5">
        <v>368</v>
      </c>
      <c r="K1358" s="5">
        <v>4.17</v>
      </c>
      <c r="L1358" s="8"/>
      <c r="M1358" s="8"/>
      <c r="N1358" s="5" t="s">
        <v>136</v>
      </c>
      <c r="O1358" s="5" t="s">
        <v>128</v>
      </c>
      <c r="P1358" s="5">
        <v>0</v>
      </c>
      <c r="Q1358" s="5">
        <v>0</v>
      </c>
      <c r="R1358" s="5" t="s">
        <v>2484</v>
      </c>
      <c r="S1358" t="s">
        <v>263</v>
      </c>
    </row>
    <row r="1359" spans="1:19" hidden="1" x14ac:dyDescent="0.3">
      <c r="A1359" s="21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46022</v>
      </c>
      <c r="G1359" s="5">
        <v>2025</v>
      </c>
      <c r="H1359" s="5" t="s">
        <v>23</v>
      </c>
      <c r="I1359" s="6" t="s">
        <v>32</v>
      </c>
      <c r="J1359" s="5">
        <v>545</v>
      </c>
      <c r="K1359" s="10">
        <v>4.3</v>
      </c>
      <c r="L1359" s="8"/>
      <c r="M1359" s="8"/>
      <c r="N1359" s="5" t="s">
        <v>136</v>
      </c>
      <c r="O1359" s="5" t="s">
        <v>128</v>
      </c>
      <c r="P1359" s="15">
        <v>0</v>
      </c>
      <c r="Q1359" s="15">
        <v>0</v>
      </c>
      <c r="R1359" s="5" t="s">
        <v>633</v>
      </c>
      <c r="S1359" t="s">
        <v>263</v>
      </c>
    </row>
    <row r="1360" spans="1:19" hidden="1" x14ac:dyDescent="0.3">
      <c r="A1360" s="21">
        <v>271</v>
      </c>
      <c r="B1360" s="5" t="s">
        <v>634</v>
      </c>
      <c r="C1360" s="5" t="s">
        <v>619</v>
      </c>
      <c r="D1360" s="5" t="s">
        <v>27</v>
      </c>
      <c r="E1360" s="5" t="s">
        <v>22</v>
      </c>
      <c r="F1360" s="70">
        <v>45107</v>
      </c>
      <c r="G1360" s="5">
        <v>2023</v>
      </c>
      <c r="H1360" s="5" t="s">
        <v>699</v>
      </c>
      <c r="I1360" s="6" t="s">
        <v>1512</v>
      </c>
      <c r="J1360" s="5">
        <v>0</v>
      </c>
      <c r="K1360" s="9">
        <v>63.291139240506332</v>
      </c>
      <c r="L1360" s="14" t="str">
        <f>IFERROR(IF(OR(J1360=0,K1360=""),"",IF(E1360="Positivo",MIN(MAX(K1360/J1360,0),1.3),MIN(MAX(J1360/K1360,0),1.3))),"")</f>
        <v/>
      </c>
      <c r="M1360" s="14" t="str">
        <f>IFERROR(IF(OR(J1360=0,K1360=""),"",IF(E1360="Positivo",MAX(K1360/J1360,0),MAX(J1360/K1360,0))),"")</f>
        <v/>
      </c>
      <c r="N1360" s="5">
        <v>0</v>
      </c>
      <c r="O1360" s="5" t="s">
        <v>128</v>
      </c>
      <c r="P1360" s="15">
        <v>0</v>
      </c>
      <c r="Q1360" s="15">
        <v>0</v>
      </c>
      <c r="R1360" s="5" t="s">
        <v>2485</v>
      </c>
    </row>
    <row r="1361" spans="1:19" hidden="1" x14ac:dyDescent="0.3">
      <c r="A1361" s="26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1">
        <v>45291</v>
      </c>
      <c r="G1361" s="5">
        <v>2023</v>
      </c>
      <c r="H1361" s="5" t="s">
        <v>23</v>
      </c>
      <c r="I1361" s="6" t="s">
        <v>28</v>
      </c>
      <c r="J1361" s="5">
        <v>0</v>
      </c>
      <c r="K1361" s="9">
        <v>16.172336466434469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635</v>
      </c>
    </row>
    <row r="1362" spans="1:19" hidden="1" x14ac:dyDescent="0.3">
      <c r="A1362" s="5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45473</v>
      </c>
      <c r="G1362" s="5">
        <v>2024</v>
      </c>
      <c r="H1362" s="5" t="s">
        <v>699</v>
      </c>
      <c r="I1362" s="6" t="s">
        <v>729</v>
      </c>
      <c r="J1362" s="5">
        <v>0</v>
      </c>
      <c r="K1362" s="5">
        <v>19.394716523273772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5">
        <v>1</v>
      </c>
      <c r="Q1362" s="5">
        <v>1</v>
      </c>
      <c r="R1362" s="5" t="s">
        <v>2486</v>
      </c>
    </row>
    <row r="1363" spans="1:19" hidden="1" x14ac:dyDescent="0.3">
      <c r="A1363" s="21">
        <v>271</v>
      </c>
      <c r="B1363" s="5" t="s">
        <v>637</v>
      </c>
      <c r="C1363" s="5" t="s">
        <v>619</v>
      </c>
      <c r="D1363" s="5" t="s">
        <v>21</v>
      </c>
      <c r="E1363" s="5" t="s">
        <v>22</v>
      </c>
      <c r="F1363" s="71">
        <v>45657</v>
      </c>
      <c r="G1363" s="5">
        <v>2024</v>
      </c>
      <c r="H1363" s="5" t="s">
        <v>23</v>
      </c>
      <c r="I1363" s="6" t="s">
        <v>30</v>
      </c>
      <c r="J1363" s="5">
        <v>18811</v>
      </c>
      <c r="K1363" s="10">
        <v>16.86</v>
      </c>
      <c r="L1363" s="8"/>
      <c r="M1363" s="8"/>
      <c r="N1363" s="5">
        <v>0</v>
      </c>
      <c r="O1363" s="5" t="s">
        <v>128</v>
      </c>
      <c r="P1363" s="15">
        <v>0</v>
      </c>
      <c r="Q1363" s="15">
        <v>0</v>
      </c>
      <c r="R1363" s="5" t="s">
        <v>636</v>
      </c>
      <c r="S1363" t="s">
        <v>263</v>
      </c>
    </row>
    <row r="1364" spans="1:19" hidden="1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0">
        <v>45838</v>
      </c>
      <c r="G1364" s="5">
        <v>2025</v>
      </c>
      <c r="H1364" s="5" t="s">
        <v>699</v>
      </c>
      <c r="I1364" s="6" t="s">
        <v>700</v>
      </c>
      <c r="J1364" s="5">
        <v>21346</v>
      </c>
      <c r="K1364" s="12">
        <v>23.85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2487</v>
      </c>
      <c r="S1364" t="s">
        <v>263</v>
      </c>
    </row>
    <row r="1365" spans="1:19" hidden="1" x14ac:dyDescent="0.3">
      <c r="A1365" s="26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1">
        <v>46022</v>
      </c>
      <c r="G1365" s="5">
        <v>2025</v>
      </c>
      <c r="H1365" s="5" t="s">
        <v>23</v>
      </c>
      <c r="I1365" s="6" t="s">
        <v>32</v>
      </c>
      <c r="J1365" s="5">
        <v>30907</v>
      </c>
      <c r="K1365" s="12">
        <v>19.93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638</v>
      </c>
      <c r="S1365" t="s">
        <v>263</v>
      </c>
    </row>
    <row r="1366" spans="1:19" hidden="1" x14ac:dyDescent="0.3">
      <c r="A1366" s="5">
        <v>272</v>
      </c>
      <c r="B1366" s="5" t="s">
        <v>639</v>
      </c>
      <c r="C1366" s="5" t="s">
        <v>70</v>
      </c>
      <c r="D1366" s="5" t="s">
        <v>71</v>
      </c>
      <c r="E1366" s="5" t="s">
        <v>41</v>
      </c>
      <c r="F1366" s="71">
        <v>45291</v>
      </c>
      <c r="G1366" s="5">
        <v>2023</v>
      </c>
      <c r="H1366" s="5" t="s">
        <v>23</v>
      </c>
      <c r="I1366" s="6" t="s">
        <v>28</v>
      </c>
      <c r="J1366" s="5">
        <v>0</v>
      </c>
      <c r="K1366" s="5">
        <v>0</v>
      </c>
      <c r="L1366" s="14" t="str">
        <f t="shared" ref="L1366:L1374" si="78">IFERROR(IF(OR(J1366=0,K1366=""),"",IF(E1366="Positivo",MIN(MAX(K1366/J1366,0),1.3),MIN(MAX(J1366/K1366,0),1.3))),"")</f>
        <v/>
      </c>
      <c r="M1366" s="14" t="str">
        <f t="shared" ref="M1366:M1374" si="79">IFERROR(IF(OR(J1366=0,K1366=""),"",IF(E1366="Positivo",MAX(K1366/J1366,0),MAX(J1366/K1366,0))),"")</f>
        <v/>
      </c>
      <c r="N1366" s="5">
        <v>0</v>
      </c>
      <c r="O1366" s="5" t="s">
        <v>128</v>
      </c>
      <c r="P1366" s="5">
        <v>0</v>
      </c>
      <c r="Q1366" s="5">
        <v>0</v>
      </c>
      <c r="R1366" s="5" t="s">
        <v>640</v>
      </c>
    </row>
    <row r="1367" spans="1:19" hidden="1" x14ac:dyDescent="0.3">
      <c r="A1367" s="21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45657</v>
      </c>
      <c r="G1367" s="5">
        <v>2024</v>
      </c>
      <c r="H1367" s="5" t="s">
        <v>23</v>
      </c>
      <c r="I1367" s="6" t="s">
        <v>30</v>
      </c>
      <c r="J1367" s="5">
        <v>0</v>
      </c>
      <c r="K1367" s="10">
        <v>0</v>
      </c>
      <c r="L1367" s="14" t="str">
        <f t="shared" si="78"/>
        <v/>
      </c>
      <c r="M1367" s="14" t="str">
        <f t="shared" si="79"/>
        <v/>
      </c>
      <c r="N1367" s="5"/>
      <c r="O1367" s="5"/>
      <c r="P1367" s="15">
        <v>0</v>
      </c>
      <c r="Q1367" s="15">
        <v>0</v>
      </c>
      <c r="R1367" s="5" t="s">
        <v>641</v>
      </c>
    </row>
    <row r="1368" spans="1:19" hidden="1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0">
        <v>46022</v>
      </c>
      <c r="G1368" s="5">
        <v>2025</v>
      </c>
      <c r="H1368" s="5" t="s">
        <v>23</v>
      </c>
      <c r="I1368" s="6" t="s">
        <v>32</v>
      </c>
      <c r="J1368" s="9">
        <v>0</v>
      </c>
      <c r="K1368" s="9">
        <v>0</v>
      </c>
      <c r="L1368" s="14" t="str">
        <f t="shared" si="78"/>
        <v/>
      </c>
      <c r="M1368" s="14" t="str">
        <f t="shared" si="79"/>
        <v/>
      </c>
      <c r="N1368" s="5">
        <v>0</v>
      </c>
      <c r="O1368" s="5" t="s">
        <v>128</v>
      </c>
      <c r="P1368" s="15">
        <v>0</v>
      </c>
      <c r="Q1368" s="15">
        <v>0</v>
      </c>
      <c r="R1368" s="5" t="s">
        <v>642</v>
      </c>
    </row>
    <row r="1369" spans="1:19" hidden="1" x14ac:dyDescent="0.3">
      <c r="A1369" s="26">
        <v>273</v>
      </c>
      <c r="B1369" s="5" t="s">
        <v>643</v>
      </c>
      <c r="C1369" s="5" t="s">
        <v>644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1512</v>
      </c>
      <c r="J1369" s="9">
        <v>100</v>
      </c>
      <c r="K1369" s="9">
        <v>100</v>
      </c>
      <c r="L1369" s="14">
        <f t="shared" si="78"/>
        <v>1</v>
      </c>
      <c r="M1369" s="14">
        <f t="shared" si="79"/>
        <v>1</v>
      </c>
      <c r="N1369" s="5" t="s">
        <v>128</v>
      </c>
      <c r="O1369" s="5" t="s">
        <v>128</v>
      </c>
      <c r="P1369" s="15">
        <v>0</v>
      </c>
      <c r="Q1369" s="15">
        <v>0</v>
      </c>
      <c r="R1369" s="5" t="s">
        <v>2488</v>
      </c>
    </row>
    <row r="1370" spans="1:19" hidden="1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>
        <v>100</v>
      </c>
      <c r="K1370" s="12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645</v>
      </c>
    </row>
    <row r="1371" spans="1:19" hidden="1" x14ac:dyDescent="0.3">
      <c r="A1371" s="21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>
        <v>100</v>
      </c>
      <c r="K1371" s="10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2489</v>
      </c>
    </row>
    <row r="1372" spans="1:19" hidden="1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>
        <v>100</v>
      </c>
      <c r="K1372" s="9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646</v>
      </c>
    </row>
    <row r="1373" spans="1:19" hidden="1" x14ac:dyDescent="0.3">
      <c r="A1373" s="26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100</v>
      </c>
      <c r="K1373" s="9">
        <v>150</v>
      </c>
      <c r="L1373" s="14">
        <f t="shared" si="78"/>
        <v>1.3</v>
      </c>
      <c r="M1373" s="14">
        <f t="shared" si="79"/>
        <v>1.5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2490</v>
      </c>
    </row>
    <row r="1374" spans="1:19" hidden="1" x14ac:dyDescent="0.3">
      <c r="A1374" s="21">
        <v>273</v>
      </c>
      <c r="B1374" s="5" t="s">
        <v>643</v>
      </c>
      <c r="C1374" s="5" t="s">
        <v>644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100</v>
      </c>
      <c r="K1374" s="10">
        <v>100</v>
      </c>
      <c r="L1374" s="14">
        <f t="shared" si="78"/>
        <v>1</v>
      </c>
      <c r="M1374" s="14">
        <f t="shared" si="79"/>
        <v>1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647</v>
      </c>
    </row>
    <row r="1375" spans="1:19" hidden="1" x14ac:dyDescent="0.3">
      <c r="A1375" s="5">
        <v>275</v>
      </c>
      <c r="B1375" s="5" t="s">
        <v>652</v>
      </c>
      <c r="C1375" s="5" t="s">
        <v>653</v>
      </c>
      <c r="D1375" s="5" t="s">
        <v>21</v>
      </c>
      <c r="E1375" s="5" t="s">
        <v>22</v>
      </c>
      <c r="F1375" s="71">
        <v>45016</v>
      </c>
      <c r="G1375" s="5">
        <v>2023</v>
      </c>
      <c r="H1375" s="5" t="s">
        <v>1516</v>
      </c>
      <c r="I1375" s="6" t="s">
        <v>1512</v>
      </c>
      <c r="J1375" s="5">
        <v>80</v>
      </c>
      <c r="K1375" s="5"/>
      <c r="L1375" s="14"/>
      <c r="M1375" s="14"/>
      <c r="N1375" s="5" t="s">
        <v>25</v>
      </c>
      <c r="O1375" s="5" t="s">
        <v>302</v>
      </c>
      <c r="P1375" s="5">
        <v>0</v>
      </c>
      <c r="Q1375" s="5">
        <v>0</v>
      </c>
      <c r="R1375" s="5" t="s">
        <v>2494</v>
      </c>
      <c r="S1375" t="s">
        <v>302</v>
      </c>
    </row>
    <row r="1376" spans="1:19" hidden="1" x14ac:dyDescent="0.3">
      <c r="A1376" s="21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45107</v>
      </c>
      <c r="G1376" s="5">
        <v>2023</v>
      </c>
      <c r="H1376" s="5" t="s">
        <v>699</v>
      </c>
      <c r="I1376" s="6" t="s">
        <v>1512</v>
      </c>
      <c r="J1376" s="5">
        <v>80</v>
      </c>
      <c r="K1376" s="10"/>
      <c r="L1376" s="14"/>
      <c r="M1376" s="14"/>
      <c r="N1376" s="5" t="s">
        <v>25</v>
      </c>
      <c r="O1376" s="5" t="s">
        <v>302</v>
      </c>
      <c r="P1376" s="15">
        <v>0</v>
      </c>
      <c r="Q1376" s="15">
        <v>0</v>
      </c>
      <c r="R1376" s="5" t="s">
        <v>2495</v>
      </c>
      <c r="S1376" t="s">
        <v>302</v>
      </c>
    </row>
    <row r="1377" spans="1:19" hidden="1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45199</v>
      </c>
      <c r="G1377" s="5">
        <v>2023</v>
      </c>
      <c r="H1377" s="5" t="s">
        <v>162</v>
      </c>
      <c r="I1377" s="6" t="s">
        <v>28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hidden="1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45291</v>
      </c>
      <c r="G1378" s="5">
        <v>2023</v>
      </c>
      <c r="H1378" s="5" t="s">
        <v>23</v>
      </c>
      <c r="I1378" s="6" t="s">
        <v>28</v>
      </c>
      <c r="J1378" s="5">
        <v>80</v>
      </c>
      <c r="K1378" s="12">
        <v>0</v>
      </c>
      <c r="L1378" s="14">
        <f t="shared" ref="L1378:L1394" si="80">IFERROR(IF(OR(J1378=0,K1378=""),"",IF(E1378="Positivo",MIN(MAX(K1378/J1378,0),1.3),MIN(MAX(J1378/K1378,0),1.3))),"")</f>
        <v>0</v>
      </c>
      <c r="M1378" s="14">
        <f t="shared" ref="M1378:M1394" si="81">IFERROR(IF(OR(J1378=0,K1378=""),"",IF(E1378="Positivo",MAX(K1378/J1378,0),MAX(J1378/K1378,0))),"")</f>
        <v>0</v>
      </c>
      <c r="N1378" s="5" t="s">
        <v>25</v>
      </c>
      <c r="O1378" s="5" t="s">
        <v>25</v>
      </c>
      <c r="P1378" s="15">
        <v>0</v>
      </c>
      <c r="Q1378" s="15">
        <v>0</v>
      </c>
      <c r="R1378" s="5" t="s">
        <v>654</v>
      </c>
    </row>
    <row r="1379" spans="1:19" hidden="1" x14ac:dyDescent="0.3">
      <c r="A1379" s="26">
        <v>275</v>
      </c>
      <c r="B1379" s="5" t="s">
        <v>652</v>
      </c>
      <c r="C1379" s="5" t="s">
        <v>653</v>
      </c>
      <c r="D1379" s="5" t="s">
        <v>27</v>
      </c>
      <c r="E1379" s="5" t="s">
        <v>22</v>
      </c>
      <c r="F1379" s="71">
        <v>45473</v>
      </c>
      <c r="G1379" s="5">
        <v>2024</v>
      </c>
      <c r="H1379" s="5" t="s">
        <v>699</v>
      </c>
      <c r="I1379" s="6" t="s">
        <v>729</v>
      </c>
      <c r="J1379" s="5">
        <v>80</v>
      </c>
      <c r="K1379" s="12">
        <v>103.75</v>
      </c>
      <c r="L1379" s="14">
        <f t="shared" si="80"/>
        <v>1.296875</v>
      </c>
      <c r="M1379" s="14">
        <f t="shared" si="81"/>
        <v>1.296875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2497</v>
      </c>
    </row>
    <row r="1380" spans="1:19" hidden="1" x14ac:dyDescent="0.3">
      <c r="A1380" s="5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45657</v>
      </c>
      <c r="G1380" s="5">
        <v>2024</v>
      </c>
      <c r="H1380" s="5" t="s">
        <v>23</v>
      </c>
      <c r="I1380" s="6" t="s">
        <v>30</v>
      </c>
      <c r="J1380" s="5">
        <v>80</v>
      </c>
      <c r="K1380" s="5">
        <v>109.58</v>
      </c>
      <c r="L1380" s="14">
        <f t="shared" si="80"/>
        <v>1.3</v>
      </c>
      <c r="M1380" s="14">
        <f t="shared" si="81"/>
        <v>1.36975</v>
      </c>
      <c r="N1380" s="5" t="s">
        <v>25</v>
      </c>
      <c r="O1380" s="5" t="s">
        <v>25</v>
      </c>
      <c r="P1380" s="5">
        <v>0</v>
      </c>
      <c r="Q1380" s="5">
        <v>0</v>
      </c>
      <c r="R1380" s="5" t="s">
        <v>655</v>
      </c>
    </row>
    <row r="1381" spans="1:19" hidden="1" x14ac:dyDescent="0.3">
      <c r="A1381" s="21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45838</v>
      </c>
      <c r="G1381" s="5">
        <v>2025</v>
      </c>
      <c r="H1381" s="5" t="s">
        <v>699</v>
      </c>
      <c r="I1381" s="6" t="s">
        <v>700</v>
      </c>
      <c r="J1381" s="5">
        <v>80</v>
      </c>
      <c r="K1381" s="10">
        <v>90</v>
      </c>
      <c r="L1381" s="14">
        <f t="shared" si="80"/>
        <v>1.125</v>
      </c>
      <c r="M1381" s="14">
        <f t="shared" si="81"/>
        <v>1.125</v>
      </c>
      <c r="N1381" s="5" t="s">
        <v>25</v>
      </c>
      <c r="O1381" s="5" t="s">
        <v>25</v>
      </c>
      <c r="P1381" s="15">
        <v>0</v>
      </c>
      <c r="Q1381" s="15">
        <v>0</v>
      </c>
      <c r="R1381" s="5" t="s">
        <v>2498</v>
      </c>
    </row>
    <row r="1382" spans="1:19" hidden="1" x14ac:dyDescent="0.3">
      <c r="A1382" s="26">
        <v>275</v>
      </c>
      <c r="B1382" s="5" t="s">
        <v>652</v>
      </c>
      <c r="C1382" s="5" t="s">
        <v>653</v>
      </c>
      <c r="D1382" s="5" t="s">
        <v>21</v>
      </c>
      <c r="E1382" s="5" t="s">
        <v>22</v>
      </c>
      <c r="F1382" s="71">
        <v>46022</v>
      </c>
      <c r="G1382" s="5">
        <v>2025</v>
      </c>
      <c r="H1382" s="5" t="s">
        <v>23</v>
      </c>
      <c r="I1382" s="6" t="s">
        <v>32</v>
      </c>
      <c r="J1382" s="5">
        <v>80</v>
      </c>
      <c r="K1382" s="9">
        <v>91.67</v>
      </c>
      <c r="L1382" s="14">
        <f t="shared" si="80"/>
        <v>1.145875</v>
      </c>
      <c r="M1382" s="14">
        <f t="shared" si="81"/>
        <v>1.145875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656</v>
      </c>
    </row>
    <row r="1383" spans="1:19" hidden="1" x14ac:dyDescent="0.3">
      <c r="A1383" s="26">
        <v>276</v>
      </c>
      <c r="B1383" s="5" t="s">
        <v>657</v>
      </c>
      <c r="C1383" s="5" t="s">
        <v>658</v>
      </c>
      <c r="D1383" s="5" t="s">
        <v>27</v>
      </c>
      <c r="E1383" s="5" t="s">
        <v>41</v>
      </c>
      <c r="F1383" s="71">
        <v>45107</v>
      </c>
      <c r="G1383" s="5">
        <v>2023</v>
      </c>
      <c r="H1383" s="5" t="s">
        <v>699</v>
      </c>
      <c r="I1383" s="6" t="s">
        <v>1512</v>
      </c>
      <c r="J1383" s="5">
        <v>85</v>
      </c>
      <c r="K1383" s="9">
        <v>89.99</v>
      </c>
      <c r="L1383" s="14">
        <f t="shared" si="80"/>
        <v>0.94454939437715302</v>
      </c>
      <c r="M1383" s="14">
        <f t="shared" si="81"/>
        <v>0.94454939437715302</v>
      </c>
      <c r="N1383" s="5"/>
      <c r="O1383" s="5"/>
      <c r="P1383" s="15">
        <v>0</v>
      </c>
      <c r="Q1383" s="15">
        <v>0</v>
      </c>
      <c r="R1383" s="5" t="s">
        <v>2499</v>
      </c>
    </row>
    <row r="1384" spans="1:19" hidden="1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45291</v>
      </c>
      <c r="G1384" s="5">
        <v>2023</v>
      </c>
      <c r="H1384" s="5" t="s">
        <v>23</v>
      </c>
      <c r="I1384" s="6" t="s">
        <v>28</v>
      </c>
      <c r="J1384" s="5">
        <v>85</v>
      </c>
      <c r="K1384" s="9">
        <v>84.5</v>
      </c>
      <c r="L1384" s="14">
        <f t="shared" si="80"/>
        <v>1.0059171597633136</v>
      </c>
      <c r="M1384" s="14">
        <f t="shared" si="81"/>
        <v>1.0059171597633136</v>
      </c>
      <c r="N1384" s="5"/>
      <c r="O1384" s="5"/>
      <c r="P1384" s="15">
        <v>1</v>
      </c>
      <c r="Q1384" s="15">
        <v>1</v>
      </c>
      <c r="R1384" s="5" t="s">
        <v>659</v>
      </c>
    </row>
    <row r="1385" spans="1:19" hidden="1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45473</v>
      </c>
      <c r="G1385" s="5">
        <v>2024</v>
      </c>
      <c r="H1385" s="5" t="s">
        <v>699</v>
      </c>
      <c r="I1385" s="6" t="s">
        <v>729</v>
      </c>
      <c r="J1385" s="5">
        <v>75</v>
      </c>
      <c r="K1385" s="9">
        <v>83.65</v>
      </c>
      <c r="L1385" s="14">
        <f t="shared" si="80"/>
        <v>0.89659294680215174</v>
      </c>
      <c r="M1385" s="14">
        <f t="shared" si="81"/>
        <v>0.89659294680215174</v>
      </c>
      <c r="N1385" s="5" t="s">
        <v>136</v>
      </c>
      <c r="O1385" s="5" t="s">
        <v>136</v>
      </c>
      <c r="P1385" s="15">
        <v>0</v>
      </c>
      <c r="Q1385" s="15">
        <v>0</v>
      </c>
      <c r="R1385" s="5" t="s">
        <v>2500</v>
      </c>
    </row>
    <row r="1386" spans="1:19" hidden="1" x14ac:dyDescent="0.3">
      <c r="A1386" s="21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45657</v>
      </c>
      <c r="G1386" s="5">
        <v>2024</v>
      </c>
      <c r="H1386" s="5" t="s">
        <v>23</v>
      </c>
      <c r="I1386" s="6" t="s">
        <v>30</v>
      </c>
      <c r="J1386" s="5">
        <v>75</v>
      </c>
      <c r="K1386" s="10">
        <v>82.68</v>
      </c>
      <c r="L1386" s="14">
        <f t="shared" si="80"/>
        <v>0.90711175616835982</v>
      </c>
      <c r="M1386" s="14">
        <f t="shared" si="81"/>
        <v>0.90711175616835982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660</v>
      </c>
    </row>
    <row r="1387" spans="1:19" hidden="1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45838</v>
      </c>
      <c r="G1387" s="5">
        <v>2025</v>
      </c>
      <c r="H1387" s="5" t="s">
        <v>699</v>
      </c>
      <c r="I1387" s="6" t="s">
        <v>700</v>
      </c>
      <c r="J1387" s="5">
        <v>81</v>
      </c>
      <c r="K1387" s="10">
        <v>84.18</v>
      </c>
      <c r="L1387" s="14">
        <f t="shared" si="80"/>
        <v>0.96222380612972191</v>
      </c>
      <c r="M1387" s="14">
        <f t="shared" si="81"/>
        <v>0.96222380612972191</v>
      </c>
      <c r="N1387" s="5" t="s">
        <v>128</v>
      </c>
      <c r="O1387" s="5" t="s">
        <v>136</v>
      </c>
      <c r="P1387" s="15">
        <v>0</v>
      </c>
      <c r="Q1387" s="15">
        <v>1</v>
      </c>
      <c r="R1387" s="5" t="s">
        <v>2501</v>
      </c>
    </row>
    <row r="1388" spans="1:19" hidden="1" x14ac:dyDescent="0.3">
      <c r="A1388" s="21">
        <v>276</v>
      </c>
      <c r="B1388" s="5" t="s">
        <v>657</v>
      </c>
      <c r="C1388" s="5" t="s">
        <v>658</v>
      </c>
      <c r="D1388" s="5" t="s">
        <v>21</v>
      </c>
      <c r="E1388" s="5" t="s">
        <v>41</v>
      </c>
      <c r="F1388" s="71">
        <v>46022</v>
      </c>
      <c r="G1388" s="5">
        <v>2025</v>
      </c>
      <c r="H1388" s="5" t="s">
        <v>23</v>
      </c>
      <c r="I1388" s="6" t="s">
        <v>32</v>
      </c>
      <c r="J1388" s="5">
        <v>81</v>
      </c>
      <c r="K1388" s="10">
        <v>82.81</v>
      </c>
      <c r="L1388" s="14">
        <f t="shared" si="80"/>
        <v>0.97814273638449456</v>
      </c>
      <c r="M1388" s="14">
        <f t="shared" si="81"/>
        <v>0.97814273638449456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661</v>
      </c>
    </row>
    <row r="1389" spans="1:19" hidden="1" x14ac:dyDescent="0.3">
      <c r="A1389" s="21">
        <v>277</v>
      </c>
      <c r="B1389" s="5" t="s">
        <v>662</v>
      </c>
      <c r="C1389" s="5" t="s">
        <v>658</v>
      </c>
      <c r="D1389" s="5" t="s">
        <v>27</v>
      </c>
      <c r="E1389" s="5" t="s">
        <v>41</v>
      </c>
      <c r="F1389" s="71">
        <v>45107</v>
      </c>
      <c r="G1389" s="5">
        <v>2023</v>
      </c>
      <c r="H1389" s="5" t="s">
        <v>699</v>
      </c>
      <c r="I1389" s="6" t="s">
        <v>1512</v>
      </c>
      <c r="J1389" s="5">
        <v>85</v>
      </c>
      <c r="K1389" s="10">
        <v>76.48</v>
      </c>
      <c r="L1389" s="14">
        <f t="shared" si="80"/>
        <v>1.1114016736401673</v>
      </c>
      <c r="M1389" s="14">
        <f t="shared" si="81"/>
        <v>1.1114016736401673</v>
      </c>
      <c r="N1389" s="5" t="s">
        <v>136</v>
      </c>
      <c r="O1389" s="5" t="s">
        <v>136</v>
      </c>
      <c r="P1389" s="15">
        <v>0</v>
      </c>
      <c r="Q1389" s="15">
        <v>0</v>
      </c>
      <c r="R1389" s="5" t="s">
        <v>2502</v>
      </c>
    </row>
    <row r="1390" spans="1:19" hidden="1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45291</v>
      </c>
      <c r="G1390" s="5">
        <v>2023</v>
      </c>
      <c r="H1390" s="5" t="s">
        <v>23</v>
      </c>
      <c r="I1390" s="6" t="s">
        <v>28</v>
      </c>
      <c r="J1390" s="5">
        <v>85</v>
      </c>
      <c r="K1390" s="10">
        <v>73.290000000000006</v>
      </c>
      <c r="L1390" s="14">
        <f t="shared" si="80"/>
        <v>1.1597762314094691</v>
      </c>
      <c r="M1390" s="14">
        <f t="shared" si="81"/>
        <v>1.1597762314094691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663</v>
      </c>
    </row>
    <row r="1391" spans="1:19" hidden="1" x14ac:dyDescent="0.3">
      <c r="A1391" s="5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45473</v>
      </c>
      <c r="G1391" s="5">
        <v>2024</v>
      </c>
      <c r="H1391" s="5" t="s">
        <v>699</v>
      </c>
      <c r="I1391" s="6" t="s">
        <v>729</v>
      </c>
      <c r="J1391" s="5">
        <v>73</v>
      </c>
      <c r="K1391" s="5">
        <v>71.180000000000007</v>
      </c>
      <c r="L1391" s="14">
        <f t="shared" si="80"/>
        <v>1.0255689800505758</v>
      </c>
      <c r="M1391" s="14">
        <f t="shared" si="81"/>
        <v>1.0255689800505758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2503</v>
      </c>
    </row>
    <row r="1392" spans="1:19" hidden="1" x14ac:dyDescent="0.3">
      <c r="A1392" s="21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45657</v>
      </c>
      <c r="G1392" s="5">
        <v>2024</v>
      </c>
      <c r="H1392" s="5" t="s">
        <v>23</v>
      </c>
      <c r="I1392" s="6" t="s">
        <v>30</v>
      </c>
      <c r="J1392" s="5">
        <v>73</v>
      </c>
      <c r="K1392" s="10">
        <v>71.239999999999995</v>
      </c>
      <c r="L1392" s="14">
        <f t="shared" si="80"/>
        <v>1.0247052217855139</v>
      </c>
      <c r="M1392" s="14">
        <f t="shared" si="81"/>
        <v>1.0247052217855139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664</v>
      </c>
    </row>
    <row r="1393" spans="1:19" hidden="1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45838</v>
      </c>
      <c r="G1393" s="5">
        <v>2025</v>
      </c>
      <c r="H1393" s="5" t="s">
        <v>699</v>
      </c>
      <c r="I1393" s="6" t="s">
        <v>700</v>
      </c>
      <c r="J1393" s="5">
        <v>71</v>
      </c>
      <c r="K1393" s="10">
        <v>69.39</v>
      </c>
      <c r="L1393" s="14">
        <f t="shared" si="80"/>
        <v>1.0232021905173656</v>
      </c>
      <c r="M1393" s="14">
        <f t="shared" si="81"/>
        <v>1.0232021905173656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2504</v>
      </c>
    </row>
    <row r="1394" spans="1:19" hidden="1" x14ac:dyDescent="0.3">
      <c r="A1394" s="21">
        <v>277</v>
      </c>
      <c r="B1394" s="5" t="s">
        <v>2505</v>
      </c>
      <c r="C1394" s="5" t="s">
        <v>658</v>
      </c>
      <c r="D1394" s="5" t="s">
        <v>21</v>
      </c>
      <c r="E1394" s="5" t="s">
        <v>41</v>
      </c>
      <c r="F1394" s="71">
        <v>46022</v>
      </c>
      <c r="G1394" s="5">
        <v>2025</v>
      </c>
      <c r="H1394" s="5" t="s">
        <v>23</v>
      </c>
      <c r="I1394" s="6" t="s">
        <v>32</v>
      </c>
      <c r="J1394" s="5">
        <v>71</v>
      </c>
      <c r="K1394" s="10">
        <v>68.400000000000006</v>
      </c>
      <c r="L1394" s="14">
        <f t="shared" si="80"/>
        <v>1.0380116959064327</v>
      </c>
      <c r="M1394" s="14">
        <f t="shared" si="81"/>
        <v>1.0380116959064327</v>
      </c>
      <c r="N1394" s="5" t="s">
        <v>128</v>
      </c>
      <c r="O1394" s="5" t="s">
        <v>136</v>
      </c>
      <c r="P1394" s="15">
        <v>1</v>
      </c>
      <c r="Q1394" s="15">
        <v>1</v>
      </c>
      <c r="R1394" s="5" t="s">
        <v>665</v>
      </c>
    </row>
    <row r="1395" spans="1:19" hidden="1" x14ac:dyDescent="0.3">
      <c r="A1395" s="21">
        <v>278</v>
      </c>
      <c r="B1395" s="5" t="s">
        <v>666</v>
      </c>
      <c r="C1395" s="5" t="s">
        <v>658</v>
      </c>
      <c r="D1395" s="5" t="s">
        <v>27</v>
      </c>
      <c r="E1395" s="5" t="s">
        <v>22</v>
      </c>
      <c r="F1395" s="71">
        <v>45107</v>
      </c>
      <c r="G1395" s="5">
        <v>2023</v>
      </c>
      <c r="H1395" s="5" t="s">
        <v>699</v>
      </c>
      <c r="I1395" s="6" t="s">
        <v>1512</v>
      </c>
      <c r="J1395" s="5"/>
      <c r="K1395" s="10">
        <v>1015</v>
      </c>
      <c r="L1395" s="14"/>
      <c r="M1395" s="8"/>
      <c r="N1395" s="5" t="s">
        <v>136</v>
      </c>
      <c r="O1395" s="5" t="s">
        <v>136</v>
      </c>
      <c r="P1395" s="15">
        <v>0</v>
      </c>
      <c r="Q1395" s="15">
        <v>0</v>
      </c>
      <c r="R1395" s="5" t="s">
        <v>2506</v>
      </c>
    </row>
    <row r="1396" spans="1:19" hidden="1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45291</v>
      </c>
      <c r="G1396" s="5">
        <v>2023</v>
      </c>
      <c r="H1396" s="5" t="s">
        <v>23</v>
      </c>
      <c r="I1396" s="6" t="s">
        <v>28</v>
      </c>
      <c r="J1396" s="5">
        <v>0</v>
      </c>
      <c r="K1396" s="10">
        <v>1017</v>
      </c>
      <c r="L1396" s="14" t="str">
        <f>IFERROR(IF(OR(J1396=0,K1396=""),"",IF(E1396="Positivo",MIN(MAX(K1396/J1396,0),1.3),MIN(MAX(J1396/K1396,0),1.3))),"")</f>
        <v/>
      </c>
      <c r="M1396" s="14" t="str">
        <f>IFERROR(IF(OR(J1396=0,K1396=""),"",IF(E1396="Positivo",MAX(K1396/J1396,0),MAX(J1396/K1396,0))),"")</f>
        <v/>
      </c>
      <c r="N1396" s="5" t="s">
        <v>136</v>
      </c>
      <c r="O1396" s="5" t="s">
        <v>136</v>
      </c>
      <c r="P1396" s="15">
        <v>0</v>
      </c>
      <c r="Q1396" s="15">
        <v>0</v>
      </c>
      <c r="R1396" s="5" t="s">
        <v>667</v>
      </c>
    </row>
    <row r="1397" spans="1:19" hidden="1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45473</v>
      </c>
      <c r="G1397" s="5">
        <v>2024</v>
      </c>
      <c r="H1397" s="5" t="s">
        <v>699</v>
      </c>
      <c r="I1397" s="6" t="s">
        <v>729</v>
      </c>
      <c r="J1397" s="5">
        <v>0</v>
      </c>
      <c r="K1397" s="10">
        <v>1080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>
        <v>0</v>
      </c>
      <c r="O1397" s="5" t="s">
        <v>128</v>
      </c>
      <c r="P1397" s="15">
        <v>0</v>
      </c>
      <c r="Q1397" s="15">
        <v>0</v>
      </c>
      <c r="R1397" s="5" t="s">
        <v>2507</v>
      </c>
    </row>
    <row r="1398" spans="1:19" hidden="1" x14ac:dyDescent="0.3">
      <c r="A1398" s="5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45657</v>
      </c>
      <c r="G1398" s="5">
        <v>2024</v>
      </c>
      <c r="H1398" s="5" t="s">
        <v>23</v>
      </c>
      <c r="I1398" s="6" t="s">
        <v>30</v>
      </c>
      <c r="J1398" s="5">
        <v>0</v>
      </c>
      <c r="K1398" s="5">
        <v>1018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5">
        <v>0</v>
      </c>
      <c r="Q1398" s="5">
        <v>0</v>
      </c>
      <c r="R1398" s="5" t="s">
        <v>668</v>
      </c>
    </row>
    <row r="1399" spans="1:19" hidden="1" x14ac:dyDescent="0.3">
      <c r="A1399" s="21">
        <v>278</v>
      </c>
      <c r="B1399" s="5" t="s">
        <v>669</v>
      </c>
      <c r="C1399" s="5" t="s">
        <v>658</v>
      </c>
      <c r="D1399" s="5" t="s">
        <v>21</v>
      </c>
      <c r="E1399" s="5" t="s">
        <v>22</v>
      </c>
      <c r="F1399" s="71">
        <v>45838</v>
      </c>
      <c r="G1399" s="5">
        <v>2025</v>
      </c>
      <c r="H1399" s="5" t="s">
        <v>699</v>
      </c>
      <c r="I1399" s="6" t="s">
        <v>700</v>
      </c>
      <c r="J1399" s="5"/>
      <c r="K1399" s="10">
        <v>1099</v>
      </c>
      <c r="L1399" s="14"/>
      <c r="M1399" s="14"/>
      <c r="N1399" s="5" t="s">
        <v>263</v>
      </c>
      <c r="O1399" s="5" t="s">
        <v>263</v>
      </c>
      <c r="P1399" s="15">
        <v>0</v>
      </c>
      <c r="Q1399" s="15">
        <v>0</v>
      </c>
      <c r="R1399" s="5" t="s">
        <v>2508</v>
      </c>
      <c r="S1399" t="s">
        <v>263</v>
      </c>
    </row>
    <row r="1400" spans="1:19" hidden="1" x14ac:dyDescent="0.3">
      <c r="A1400" s="26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46022</v>
      </c>
      <c r="G1400" s="5">
        <v>2025</v>
      </c>
      <c r="H1400" s="5" t="s">
        <v>23</v>
      </c>
      <c r="I1400" s="6" t="s">
        <v>32</v>
      </c>
      <c r="J1400" s="5"/>
      <c r="K1400" s="12">
        <v>1071</v>
      </c>
      <c r="L1400" s="14"/>
      <c r="M1400" s="8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670</v>
      </c>
      <c r="S1400" t="s">
        <v>263</v>
      </c>
    </row>
    <row r="1401" spans="1:19" hidden="1" x14ac:dyDescent="0.3">
      <c r="A1401" s="26">
        <v>279</v>
      </c>
      <c r="B1401" s="5" t="s">
        <v>671</v>
      </c>
      <c r="C1401" s="5" t="s">
        <v>658</v>
      </c>
      <c r="D1401" s="5" t="s">
        <v>27</v>
      </c>
      <c r="E1401" s="5" t="s">
        <v>22</v>
      </c>
      <c r="F1401" s="71">
        <v>45107</v>
      </c>
      <c r="G1401" s="5">
        <v>2023</v>
      </c>
      <c r="H1401" s="5" t="s">
        <v>699</v>
      </c>
      <c r="I1401" s="6" t="s">
        <v>1512</v>
      </c>
      <c r="J1401" s="5"/>
      <c r="K1401" s="12">
        <v>572</v>
      </c>
      <c r="L1401" s="14"/>
      <c r="M1401" s="8"/>
      <c r="N1401" s="5"/>
      <c r="O1401" s="5"/>
      <c r="P1401" s="15">
        <v>0</v>
      </c>
      <c r="Q1401" s="15">
        <v>0</v>
      </c>
      <c r="R1401" s="5" t="s">
        <v>2509</v>
      </c>
    </row>
    <row r="1402" spans="1:19" hidden="1" x14ac:dyDescent="0.3">
      <c r="A1402" s="26">
        <v>280</v>
      </c>
      <c r="B1402" s="5" t="s">
        <v>673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203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hidden="1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45291</v>
      </c>
      <c r="G1403" s="5">
        <v>2023</v>
      </c>
      <c r="H1403" s="5" t="s">
        <v>23</v>
      </c>
      <c r="I1403" s="6" t="s">
        <v>28</v>
      </c>
      <c r="J1403" s="5">
        <v>0</v>
      </c>
      <c r="K1403" s="12">
        <v>186</v>
      </c>
      <c r="L1403" s="14" t="str">
        <f>IFERROR(IF(OR(J1403=0,K1403=""),"",IF(E1403="Positivo",MIN(MAX(K1403/J1403,0),1.3),MIN(MAX(J1403/K1403,0),1.3))),"")</f>
        <v/>
      </c>
      <c r="M1403" s="14" t="str">
        <f>IFERROR(IF(OR(J1403=0,K1403=""),"",IF(E1403="Positivo",MAX(K1403/J1403,0),MAX(J1403/K1403,0))),"")</f>
        <v/>
      </c>
      <c r="N1403" s="5"/>
      <c r="O1403" s="5"/>
      <c r="P1403" s="15">
        <v>0</v>
      </c>
      <c r="Q1403" s="15">
        <v>0</v>
      </c>
      <c r="R1403" s="5" t="s">
        <v>674</v>
      </c>
    </row>
    <row r="1404" spans="1:19" hidden="1" x14ac:dyDescent="0.3">
      <c r="A1404" s="26">
        <v>281</v>
      </c>
      <c r="B1404" s="5" t="s">
        <v>675</v>
      </c>
      <c r="C1404" s="5" t="s">
        <v>658</v>
      </c>
      <c r="D1404" s="5" t="s">
        <v>27</v>
      </c>
      <c r="E1404" s="5" t="s">
        <v>22</v>
      </c>
      <c r="F1404" s="71">
        <v>45107</v>
      </c>
      <c r="G1404" s="5">
        <v>2023</v>
      </c>
      <c r="H1404" s="5" t="s">
        <v>699</v>
      </c>
      <c r="I1404" s="6" t="s">
        <v>1512</v>
      </c>
      <c r="J1404" s="5"/>
      <c r="K1404" s="12">
        <v>240</v>
      </c>
      <c r="L1404" s="14"/>
      <c r="M1404" s="8"/>
      <c r="N1404" s="5"/>
      <c r="O1404" s="5"/>
      <c r="P1404" s="15">
        <v>0</v>
      </c>
      <c r="Q1404" s="15">
        <v>0</v>
      </c>
      <c r="R1404" s="5" t="s">
        <v>2511</v>
      </c>
    </row>
    <row r="1405" spans="1:19" hidden="1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/>
      <c r="K1405" s="12">
        <v>223</v>
      </c>
      <c r="L1405" s="14"/>
      <c r="M1405" s="8"/>
      <c r="N1405" s="5"/>
      <c r="O1405" s="5"/>
      <c r="P1405" s="15">
        <v>0</v>
      </c>
      <c r="Q1405" s="15">
        <v>0</v>
      </c>
      <c r="R1405" s="5" t="s">
        <v>676</v>
      </c>
    </row>
    <row r="1406" spans="1:19" hidden="1" x14ac:dyDescent="0.3">
      <c r="A1406" s="21">
        <v>282</v>
      </c>
      <c r="B1406" s="5" t="s">
        <v>677</v>
      </c>
      <c r="C1406" s="5" t="s">
        <v>658</v>
      </c>
      <c r="D1406" s="5" t="s">
        <v>27</v>
      </c>
      <c r="E1406" s="5" t="s">
        <v>22</v>
      </c>
      <c r="F1406" s="71">
        <v>45107</v>
      </c>
      <c r="G1406" s="5">
        <v>2023</v>
      </c>
      <c r="H1406" s="5" t="s">
        <v>699</v>
      </c>
      <c r="I1406" s="6" t="s">
        <v>1512</v>
      </c>
      <c r="J1406" s="5">
        <v>96</v>
      </c>
      <c r="K1406" s="10">
        <v>97.02</v>
      </c>
      <c r="L1406" s="14">
        <f t="shared" ref="L1406:L1417" si="82">IFERROR(IF(OR(J1406=0,K1406=""),"",IF(E1406="Positivo",MIN(MAX(K1406/J1406,0),1.3),MIN(MAX(J1406/K1406,0),1.3))),"")</f>
        <v>1.0106249999999999</v>
      </c>
      <c r="M1406" s="14">
        <f t="shared" ref="M1406:M1417" si="83">IFERROR(IF(OR(J1406=0,K1406=""),"",IF(E1406="Positivo",MAX(K1406/J1406,0),MAX(J1406/K1406,0))),"")</f>
        <v>1.0106249999999999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2512</v>
      </c>
    </row>
    <row r="1407" spans="1:19" hidden="1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45291</v>
      </c>
      <c r="G1407" s="5">
        <v>2023</v>
      </c>
      <c r="H1407" s="5" t="s">
        <v>23</v>
      </c>
      <c r="I1407" s="6" t="s">
        <v>28</v>
      </c>
      <c r="J1407" s="5">
        <v>96</v>
      </c>
      <c r="K1407" s="10">
        <v>97.34</v>
      </c>
      <c r="L1407" s="14">
        <f t="shared" si="82"/>
        <v>1.0139583333333333</v>
      </c>
      <c r="M1407" s="14">
        <f t="shared" si="83"/>
        <v>1.0139583333333333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678</v>
      </c>
    </row>
    <row r="1408" spans="1:19" hidden="1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45473</v>
      </c>
      <c r="G1408" s="5">
        <v>2024</v>
      </c>
      <c r="H1408" s="5" t="s">
        <v>699</v>
      </c>
      <c r="I1408" s="6" t="s">
        <v>729</v>
      </c>
      <c r="J1408" s="5">
        <v>97</v>
      </c>
      <c r="K1408" s="10">
        <v>97.02</v>
      </c>
      <c r="L1408" s="14">
        <f t="shared" si="82"/>
        <v>1.0002061855670104</v>
      </c>
      <c r="M1408" s="14">
        <f t="shared" si="83"/>
        <v>1.0002061855670104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2513</v>
      </c>
    </row>
    <row r="1409" spans="1:18" hidden="1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45657</v>
      </c>
      <c r="G1409" s="5">
        <v>2024</v>
      </c>
      <c r="H1409" s="5" t="s">
        <v>23</v>
      </c>
      <c r="I1409" s="6" t="s">
        <v>30</v>
      </c>
      <c r="J1409" s="5">
        <v>97</v>
      </c>
      <c r="K1409" s="10">
        <v>96.84</v>
      </c>
      <c r="L1409" s="14">
        <f t="shared" si="82"/>
        <v>0.99835051546391751</v>
      </c>
      <c r="M1409" s="14">
        <f t="shared" si="83"/>
        <v>0.99835051546391751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679</v>
      </c>
    </row>
    <row r="1410" spans="1:18" hidden="1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45838</v>
      </c>
      <c r="G1410" s="5">
        <v>2025</v>
      </c>
      <c r="H1410" s="5" t="s">
        <v>699</v>
      </c>
      <c r="I1410" s="6" t="s">
        <v>700</v>
      </c>
      <c r="J1410" s="5">
        <v>97</v>
      </c>
      <c r="K1410" s="10">
        <v>97.41</v>
      </c>
      <c r="L1410" s="14">
        <f t="shared" si="82"/>
        <v>1.0042268041237112</v>
      </c>
      <c r="M1410" s="14">
        <f t="shared" si="83"/>
        <v>1.0042268041237112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2514</v>
      </c>
    </row>
    <row r="1411" spans="1:18" hidden="1" x14ac:dyDescent="0.3">
      <c r="A1411" s="5">
        <v>282</v>
      </c>
      <c r="B1411" s="5" t="s">
        <v>677</v>
      </c>
      <c r="C1411" s="5" t="s">
        <v>658</v>
      </c>
      <c r="D1411" s="5" t="s">
        <v>21</v>
      </c>
      <c r="E1411" s="5" t="s">
        <v>22</v>
      </c>
      <c r="F1411" s="71">
        <v>46022</v>
      </c>
      <c r="G1411" s="5">
        <v>2025</v>
      </c>
      <c r="H1411" s="5" t="s">
        <v>23</v>
      </c>
      <c r="I1411" s="6" t="s">
        <v>32</v>
      </c>
      <c r="J1411" s="5">
        <v>97</v>
      </c>
      <c r="K1411" s="5">
        <v>97.56</v>
      </c>
      <c r="L1411" s="14">
        <f t="shared" si="82"/>
        <v>1.0057731958762888</v>
      </c>
      <c r="M1411" s="14">
        <f t="shared" si="83"/>
        <v>1.0057731958762888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680</v>
      </c>
    </row>
    <row r="1412" spans="1:18" hidden="1" x14ac:dyDescent="0.3">
      <c r="A1412" s="21">
        <v>283</v>
      </c>
      <c r="B1412" s="5" t="s">
        <v>681</v>
      </c>
      <c r="C1412" s="5" t="s">
        <v>658</v>
      </c>
      <c r="D1412" s="5" t="s">
        <v>27</v>
      </c>
      <c r="E1412" s="5" t="s">
        <v>22</v>
      </c>
      <c r="F1412" s="71">
        <v>45107</v>
      </c>
      <c r="G1412" s="5">
        <v>2023</v>
      </c>
      <c r="H1412" s="5" t="s">
        <v>699</v>
      </c>
      <c r="I1412" s="6" t="s">
        <v>1512</v>
      </c>
      <c r="J1412" s="5">
        <v>4.5</v>
      </c>
      <c r="K1412" s="10">
        <v>4.5999999999999996</v>
      </c>
      <c r="L1412" s="14">
        <f t="shared" si="82"/>
        <v>1.0222222222222221</v>
      </c>
      <c r="M1412" s="14">
        <f t="shared" si="83"/>
        <v>1.0222222222222221</v>
      </c>
      <c r="N1412" s="5" t="s">
        <v>25</v>
      </c>
      <c r="O1412" s="5" t="s">
        <v>25</v>
      </c>
      <c r="P1412" s="15">
        <v>2</v>
      </c>
      <c r="Q1412" s="15">
        <v>2</v>
      </c>
      <c r="R1412" s="5" t="s">
        <v>2515</v>
      </c>
    </row>
    <row r="1413" spans="1:18" hidden="1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45291</v>
      </c>
      <c r="G1413" s="5">
        <v>2023</v>
      </c>
      <c r="H1413" s="5" t="s">
        <v>23</v>
      </c>
      <c r="I1413" s="6" t="s">
        <v>28</v>
      </c>
      <c r="J1413" s="5">
        <v>4.5</v>
      </c>
      <c r="K1413" s="10">
        <v>4.55</v>
      </c>
      <c r="L1413" s="14">
        <f t="shared" si="82"/>
        <v>1.0111111111111111</v>
      </c>
      <c r="M1413" s="14">
        <f t="shared" si="83"/>
        <v>1.0111111111111111</v>
      </c>
      <c r="N1413" s="5" t="s">
        <v>25</v>
      </c>
      <c r="O1413" s="5" t="s">
        <v>25</v>
      </c>
      <c r="P1413" s="15">
        <v>0</v>
      </c>
      <c r="Q1413" s="15">
        <v>0</v>
      </c>
      <c r="R1413" s="5" t="s">
        <v>682</v>
      </c>
    </row>
    <row r="1414" spans="1:18" hidden="1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45473</v>
      </c>
      <c r="G1414" s="5">
        <v>2024</v>
      </c>
      <c r="H1414" s="5" t="s">
        <v>699</v>
      </c>
      <c r="I1414" s="6" t="s">
        <v>729</v>
      </c>
      <c r="J1414" s="5">
        <v>4.5</v>
      </c>
      <c r="K1414" s="10">
        <v>4.57</v>
      </c>
      <c r="L1414" s="14">
        <f t="shared" si="82"/>
        <v>1.0155555555555555</v>
      </c>
      <c r="M1414" s="14">
        <f t="shared" si="83"/>
        <v>1.0155555555555555</v>
      </c>
      <c r="N1414" s="5" t="s">
        <v>136</v>
      </c>
      <c r="O1414" s="5" t="s">
        <v>136</v>
      </c>
      <c r="P1414" s="15">
        <v>2</v>
      </c>
      <c r="Q1414" s="15">
        <v>2</v>
      </c>
      <c r="R1414" s="5" t="s">
        <v>2516</v>
      </c>
    </row>
    <row r="1415" spans="1:18" hidden="1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45657</v>
      </c>
      <c r="G1415" s="5">
        <v>2024</v>
      </c>
      <c r="H1415" s="5" t="s">
        <v>23</v>
      </c>
      <c r="I1415" s="6" t="s">
        <v>30</v>
      </c>
      <c r="J1415" s="5">
        <v>4.5</v>
      </c>
      <c r="K1415" s="10">
        <v>4.6399999999999997</v>
      </c>
      <c r="L1415" s="14">
        <f t="shared" si="82"/>
        <v>1.0311111111111111</v>
      </c>
      <c r="M1415" s="14">
        <f t="shared" si="83"/>
        <v>1.0311111111111111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683</v>
      </c>
    </row>
    <row r="1416" spans="1:18" hidden="1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45838</v>
      </c>
      <c r="G1416" s="5">
        <v>2025</v>
      </c>
      <c r="H1416" s="5" t="s">
        <v>699</v>
      </c>
      <c r="I1416" s="6" t="s">
        <v>700</v>
      </c>
      <c r="J1416" s="5">
        <v>4.5999999999999996</v>
      </c>
      <c r="K1416" s="10">
        <v>4.66</v>
      </c>
      <c r="L1416" s="14">
        <f t="shared" si="82"/>
        <v>1.0130434782608697</v>
      </c>
      <c r="M1416" s="14">
        <f t="shared" si="83"/>
        <v>1.0130434782608697</v>
      </c>
      <c r="N1416" s="5" t="s">
        <v>136</v>
      </c>
      <c r="O1416" s="5" t="s">
        <v>136</v>
      </c>
      <c r="P1416" s="15">
        <v>1</v>
      </c>
      <c r="Q1416" s="15">
        <v>2</v>
      </c>
      <c r="R1416" s="5" t="s">
        <v>2517</v>
      </c>
    </row>
    <row r="1417" spans="1:18" hidden="1" x14ac:dyDescent="0.3">
      <c r="A1417" s="21">
        <v>283</v>
      </c>
      <c r="B1417" s="5" t="s">
        <v>681</v>
      </c>
      <c r="C1417" s="5" t="s">
        <v>658</v>
      </c>
      <c r="D1417" s="5" t="s">
        <v>21</v>
      </c>
      <c r="E1417" s="5" t="s">
        <v>22</v>
      </c>
      <c r="F1417" s="71">
        <v>46022</v>
      </c>
      <c r="G1417" s="5">
        <v>2025</v>
      </c>
      <c r="H1417" s="5" t="s">
        <v>23</v>
      </c>
      <c r="I1417" s="6" t="s">
        <v>32</v>
      </c>
      <c r="J1417" s="5">
        <v>4.5999999999999996</v>
      </c>
      <c r="K1417" s="10">
        <v>4.67</v>
      </c>
      <c r="L1417" s="14">
        <f t="shared" si="82"/>
        <v>1.0152173913043478</v>
      </c>
      <c r="M1417" s="14">
        <f t="shared" si="83"/>
        <v>1.0152173913043478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684</v>
      </c>
    </row>
    <row r="1418" spans="1:18" hidden="1" x14ac:dyDescent="0.3">
      <c r="A1418" s="21">
        <v>284</v>
      </c>
      <c r="B1418" s="5" t="s">
        <v>685</v>
      </c>
      <c r="C1418" s="5" t="s">
        <v>658</v>
      </c>
      <c r="D1418" s="5" t="s">
        <v>27</v>
      </c>
      <c r="E1418" s="5" t="s">
        <v>22</v>
      </c>
      <c r="F1418" s="71">
        <v>45107</v>
      </c>
      <c r="G1418" s="5">
        <v>2023</v>
      </c>
      <c r="H1418" s="5" t="s">
        <v>699</v>
      </c>
      <c r="I1418" s="6" t="s">
        <v>1512</v>
      </c>
      <c r="J1418" s="5"/>
      <c r="K1418" s="9">
        <v>15047</v>
      </c>
      <c r="L1418" s="14"/>
      <c r="M1418" s="14"/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2518</v>
      </c>
    </row>
    <row r="1419" spans="1:18" hidden="1" x14ac:dyDescent="0.3">
      <c r="A1419" s="5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45291</v>
      </c>
      <c r="G1419" s="5">
        <v>2023</v>
      </c>
      <c r="H1419" s="5" t="s">
        <v>23</v>
      </c>
      <c r="I1419" s="6" t="s">
        <v>28</v>
      </c>
      <c r="J1419" s="5"/>
      <c r="K1419" s="5">
        <v>16281</v>
      </c>
      <c r="L1419" s="14"/>
      <c r="M1419" s="14"/>
      <c r="N1419" s="5" t="s">
        <v>136</v>
      </c>
      <c r="O1419" s="5" t="s">
        <v>136</v>
      </c>
      <c r="P1419" s="5">
        <v>0</v>
      </c>
      <c r="Q1419" s="5">
        <v>0</v>
      </c>
      <c r="R1419" s="5" t="s">
        <v>686</v>
      </c>
    </row>
    <row r="1420" spans="1:18" hidden="1" x14ac:dyDescent="0.3">
      <c r="A1420" s="21">
        <v>285</v>
      </c>
      <c r="B1420" s="5" t="s">
        <v>687</v>
      </c>
      <c r="C1420" s="5" t="s">
        <v>658</v>
      </c>
      <c r="D1420" s="5" t="s">
        <v>27</v>
      </c>
      <c r="E1420" s="5" t="s">
        <v>22</v>
      </c>
      <c r="F1420" s="71">
        <v>45107</v>
      </c>
      <c r="G1420" s="5">
        <v>2023</v>
      </c>
      <c r="H1420" s="5" t="s">
        <v>699</v>
      </c>
      <c r="I1420" s="6" t="s">
        <v>1512</v>
      </c>
      <c r="J1420" s="5">
        <v>100</v>
      </c>
      <c r="K1420" s="10">
        <v>100</v>
      </c>
      <c r="L1420" s="14">
        <f t="shared" ref="L1420:L1425" si="84">IFERROR(IF(OR(J1420=0,K1420=""),"",IF(E1420="Positivo",MIN(MAX(K1420/J1420,0),1.3),MIN(MAX(J1420/K1420,0),1.3))),"")</f>
        <v>1</v>
      </c>
      <c r="M1420" s="14">
        <f t="shared" ref="M1420:M1425" si="85">IFERROR(IF(OR(J1420=0,K1420=""),"",IF(E1420="Positivo",MAX(K1420/J1420,0),MAX(J1420/K1420,0))),"")</f>
        <v>1</v>
      </c>
      <c r="N1420" s="5" t="s">
        <v>25</v>
      </c>
      <c r="O1420" s="5" t="s">
        <v>25</v>
      </c>
      <c r="P1420" s="15">
        <v>0</v>
      </c>
      <c r="Q1420" s="15">
        <v>0</v>
      </c>
      <c r="R1420" s="5" t="s">
        <v>2519</v>
      </c>
    </row>
    <row r="1421" spans="1:18" hidden="1" x14ac:dyDescent="0.3">
      <c r="A1421" s="26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45291</v>
      </c>
      <c r="G1421" s="5">
        <v>2023</v>
      </c>
      <c r="H1421" s="5" t="s">
        <v>23</v>
      </c>
      <c r="I1421" s="6" t="s">
        <v>28</v>
      </c>
      <c r="J1421" s="5">
        <v>100</v>
      </c>
      <c r="K1421" s="9">
        <v>100</v>
      </c>
      <c r="L1421" s="14">
        <f t="shared" si="84"/>
        <v>1</v>
      </c>
      <c r="M1421" s="14">
        <f t="shared" si="85"/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688</v>
      </c>
    </row>
    <row r="1422" spans="1:18" hidden="1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45473</v>
      </c>
      <c r="G1422" s="5">
        <v>2024</v>
      </c>
      <c r="H1422" s="5" t="s">
        <v>699</v>
      </c>
      <c r="I1422" s="6" t="s">
        <v>729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2520</v>
      </c>
    </row>
    <row r="1423" spans="1:18" hidden="1" x14ac:dyDescent="0.3">
      <c r="A1423" s="5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45657</v>
      </c>
      <c r="G1423" s="5">
        <v>2024</v>
      </c>
      <c r="H1423" s="5" t="s">
        <v>23</v>
      </c>
      <c r="I1423" s="6" t="s">
        <v>30</v>
      </c>
      <c r="J1423" s="5">
        <v>100</v>
      </c>
      <c r="K1423" s="5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5">
        <v>0</v>
      </c>
      <c r="R1423" s="5" t="s">
        <v>689</v>
      </c>
    </row>
    <row r="1424" spans="1:18" hidden="1" x14ac:dyDescent="0.3">
      <c r="A1424" s="21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45838</v>
      </c>
      <c r="G1424" s="5">
        <v>2025</v>
      </c>
      <c r="H1424" s="5" t="s">
        <v>699</v>
      </c>
      <c r="I1424" s="6" t="s">
        <v>700</v>
      </c>
      <c r="J1424" s="5">
        <v>100</v>
      </c>
      <c r="K1424" s="10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15">
        <v>0</v>
      </c>
      <c r="R1424" s="5" t="s">
        <v>2521</v>
      </c>
    </row>
    <row r="1425" spans="1:19" hidden="1" x14ac:dyDescent="0.3">
      <c r="A1425" s="26">
        <v>285</v>
      </c>
      <c r="B1425" s="5" t="s">
        <v>687</v>
      </c>
      <c r="C1425" s="5" t="s">
        <v>658</v>
      </c>
      <c r="D1425" s="5" t="s">
        <v>21</v>
      </c>
      <c r="E1425" s="5" t="s">
        <v>22</v>
      </c>
      <c r="F1425" s="71">
        <v>46022</v>
      </c>
      <c r="G1425" s="5">
        <v>2025</v>
      </c>
      <c r="H1425" s="5" t="s">
        <v>23</v>
      </c>
      <c r="I1425" s="6" t="s">
        <v>32</v>
      </c>
      <c r="J1425" s="5">
        <v>100</v>
      </c>
      <c r="K1425" s="9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690</v>
      </c>
    </row>
    <row r="1426" spans="1:19" hidden="1" x14ac:dyDescent="0.3">
      <c r="A1426" s="5">
        <v>286</v>
      </c>
      <c r="B1426" s="5" t="s">
        <v>691</v>
      </c>
      <c r="C1426" s="5" t="s">
        <v>658</v>
      </c>
      <c r="D1426" s="5" t="s">
        <v>27</v>
      </c>
      <c r="E1426" s="5" t="s">
        <v>22</v>
      </c>
      <c r="F1426" s="71">
        <v>45107</v>
      </c>
      <c r="G1426" s="5">
        <v>2023</v>
      </c>
      <c r="H1426" s="5" t="s">
        <v>699</v>
      </c>
      <c r="I1426" s="6" t="s">
        <v>1512</v>
      </c>
      <c r="J1426" s="5"/>
      <c r="K1426" s="5">
        <v>1015</v>
      </c>
      <c r="L1426" s="14"/>
      <c r="M1426" s="14"/>
      <c r="N1426" s="5" t="s">
        <v>25</v>
      </c>
      <c r="O1426" s="5" t="s">
        <v>25</v>
      </c>
      <c r="P1426" s="15">
        <v>0</v>
      </c>
      <c r="Q1426" s="5">
        <v>0</v>
      </c>
      <c r="R1426" s="5" t="s">
        <v>2522</v>
      </c>
    </row>
    <row r="1427" spans="1:19" hidden="1" x14ac:dyDescent="0.3">
      <c r="A1427" s="21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45291</v>
      </c>
      <c r="G1427" s="5">
        <v>2023</v>
      </c>
      <c r="H1427" s="5" t="s">
        <v>23</v>
      </c>
      <c r="I1427" s="6" t="s">
        <v>28</v>
      </c>
      <c r="J1427" s="5"/>
      <c r="K1427" s="10">
        <v>1017</v>
      </c>
      <c r="L1427" s="14"/>
      <c r="M1427" s="14"/>
      <c r="N1427" s="5" t="s">
        <v>25</v>
      </c>
      <c r="O1427" s="5" t="s">
        <v>25</v>
      </c>
      <c r="P1427" s="15">
        <v>0</v>
      </c>
      <c r="Q1427" s="15">
        <v>0</v>
      </c>
      <c r="R1427" s="5" t="s">
        <v>692</v>
      </c>
    </row>
    <row r="1428" spans="1:19" hidden="1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45473</v>
      </c>
      <c r="G1428" s="5">
        <v>2024</v>
      </c>
      <c r="H1428" s="5" t="s">
        <v>699</v>
      </c>
      <c r="I1428" s="6" t="s">
        <v>729</v>
      </c>
      <c r="J1428" s="5">
        <v>0</v>
      </c>
      <c r="K1428" s="10">
        <v>1080</v>
      </c>
      <c r="L1428" s="14" t="str">
        <f>IFERROR(IF(OR(J1428=0,K1428=""),"",IF(E1428="Positivo",MIN(MAX(K1428/J1428,0),1.3),MIN(MAX(J1428/K1428,0),1.3))),"")</f>
        <v/>
      </c>
      <c r="M1428" s="14" t="str">
        <f>IFERROR(IF(OR(J1428=0,K1428=""),"",IF(E1428="Positivo",MAX(K1428/J1428,0),MAX(J1428/K1428,0))),"")</f>
        <v/>
      </c>
      <c r="N1428" s="5">
        <v>0</v>
      </c>
      <c r="O1428" s="11" t="s">
        <v>128</v>
      </c>
      <c r="P1428" s="15">
        <v>0</v>
      </c>
      <c r="Q1428" s="15">
        <v>0</v>
      </c>
      <c r="R1428" s="5" t="s">
        <v>2523</v>
      </c>
    </row>
    <row r="1429" spans="1:19" hidden="1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45657</v>
      </c>
      <c r="G1429" s="5">
        <v>2024</v>
      </c>
      <c r="H1429" s="5" t="s">
        <v>23</v>
      </c>
      <c r="I1429" s="6" t="s">
        <v>30</v>
      </c>
      <c r="J1429" s="5">
        <v>0</v>
      </c>
      <c r="K1429" s="10">
        <v>1018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693</v>
      </c>
    </row>
    <row r="1430" spans="1:19" hidden="1" x14ac:dyDescent="0.3">
      <c r="A1430" s="21">
        <v>286</v>
      </c>
      <c r="B1430" s="5" t="s">
        <v>694</v>
      </c>
      <c r="C1430" s="5" t="s">
        <v>658</v>
      </c>
      <c r="D1430" s="5" t="s">
        <v>21</v>
      </c>
      <c r="E1430" s="5" t="s">
        <v>22</v>
      </c>
      <c r="F1430" s="71">
        <v>45838</v>
      </c>
      <c r="G1430" s="5">
        <v>2025</v>
      </c>
      <c r="H1430" s="5" t="s">
        <v>699</v>
      </c>
      <c r="I1430" s="6" t="s">
        <v>700</v>
      </c>
      <c r="J1430" s="5"/>
      <c r="K1430" s="10">
        <v>1099</v>
      </c>
      <c r="L1430" s="14"/>
      <c r="M1430" s="14"/>
      <c r="N1430" s="5" t="s">
        <v>263</v>
      </c>
      <c r="O1430" s="11" t="s">
        <v>263</v>
      </c>
      <c r="P1430" s="15">
        <v>0</v>
      </c>
      <c r="Q1430" s="15">
        <v>0</v>
      </c>
      <c r="R1430" s="5" t="s">
        <v>2524</v>
      </c>
      <c r="S1430" t="s">
        <v>263</v>
      </c>
    </row>
    <row r="1431" spans="1:19" hidden="1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46022</v>
      </c>
      <c r="G1431" s="5">
        <v>2025</v>
      </c>
      <c r="H1431" s="5" t="s">
        <v>23</v>
      </c>
      <c r="I1431" s="6" t="s">
        <v>32</v>
      </c>
      <c r="J1431" s="5"/>
      <c r="K1431" s="10">
        <v>1071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695</v>
      </c>
      <c r="S1431" t="s">
        <v>263</v>
      </c>
    </row>
    <row r="1432" spans="1:19" hidden="1" x14ac:dyDescent="0.3">
      <c r="A1432" s="21">
        <v>288</v>
      </c>
      <c r="B1432" s="5" t="s">
        <v>696</v>
      </c>
      <c r="C1432" s="5" t="s">
        <v>658</v>
      </c>
      <c r="D1432" s="5" t="s">
        <v>27</v>
      </c>
      <c r="E1432" s="5" t="s">
        <v>22</v>
      </c>
      <c r="F1432" s="71">
        <v>45107</v>
      </c>
      <c r="G1432" s="5">
        <v>2023</v>
      </c>
      <c r="H1432" s="5" t="s">
        <v>699</v>
      </c>
      <c r="I1432" s="6" t="s">
        <v>1512</v>
      </c>
      <c r="J1432" s="5">
        <v>85</v>
      </c>
      <c r="K1432" s="10">
        <v>112.5</v>
      </c>
      <c r="L1432" s="14">
        <f t="shared" ref="L1432:L1463" si="86">IFERROR(IF(OR(J1432=0,K1432=""),"",IF(E1432="Positivo",MIN(MAX(K1432/J1432,0),1.3),MIN(MAX(J1432/K1432,0),1.3))),"")</f>
        <v>1.3</v>
      </c>
      <c r="M1432" s="14">
        <f t="shared" ref="M1432:M1463" si="87">IFERROR(IF(OR(J1432=0,K1432=""),"",IF(E1432="Positivo",MAX(K1432/J1432,0),MAX(J1432/K1432,0))),"")</f>
        <v>1.3235294117647058</v>
      </c>
      <c r="N1432" s="5">
        <v>0</v>
      </c>
      <c r="O1432" s="11" t="s">
        <v>128</v>
      </c>
      <c r="P1432" s="15">
        <v>0</v>
      </c>
      <c r="Q1432" s="15">
        <v>0</v>
      </c>
      <c r="R1432" s="5" t="s">
        <v>2525</v>
      </c>
    </row>
    <row r="1433" spans="1:19" hidden="1" x14ac:dyDescent="0.3">
      <c r="A1433" s="5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45291</v>
      </c>
      <c r="G1433" s="5">
        <v>2023</v>
      </c>
      <c r="H1433" s="5" t="s">
        <v>23</v>
      </c>
      <c r="I1433" s="6" t="s">
        <v>28</v>
      </c>
      <c r="J1433" s="5">
        <v>85</v>
      </c>
      <c r="K1433" s="5">
        <v>112.5</v>
      </c>
      <c r="L1433" s="14">
        <f t="shared" si="86"/>
        <v>1.3</v>
      </c>
      <c r="M1433" s="14">
        <f t="shared" si="87"/>
        <v>1.3235294117647058</v>
      </c>
      <c r="N1433" s="5">
        <v>0</v>
      </c>
      <c r="O1433" s="11" t="s">
        <v>128</v>
      </c>
      <c r="P1433" s="5">
        <v>0</v>
      </c>
      <c r="Q1433" s="5">
        <v>0</v>
      </c>
      <c r="R1433" s="5" t="s">
        <v>697</v>
      </c>
    </row>
    <row r="1434" spans="1:19" hidden="1" x14ac:dyDescent="0.3">
      <c r="A1434" s="21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45473</v>
      </c>
      <c r="G1434" s="5">
        <v>2024</v>
      </c>
      <c r="H1434" s="5" t="s">
        <v>699</v>
      </c>
      <c r="I1434" s="6" t="s">
        <v>729</v>
      </c>
      <c r="J1434" s="5">
        <v>85</v>
      </c>
      <c r="K1434" s="10">
        <v>185.71428571429001</v>
      </c>
      <c r="L1434" s="14">
        <f t="shared" si="86"/>
        <v>1.3</v>
      </c>
      <c r="M1434" s="14">
        <f t="shared" si="87"/>
        <v>2.1848739495798823</v>
      </c>
      <c r="N1434" s="5" t="s">
        <v>128</v>
      </c>
      <c r="O1434" s="11" t="s">
        <v>128</v>
      </c>
      <c r="P1434" s="15">
        <v>0</v>
      </c>
      <c r="Q1434" s="15">
        <v>0</v>
      </c>
      <c r="R1434" s="5" t="s">
        <v>2526</v>
      </c>
    </row>
    <row r="1435" spans="1:19" hidden="1" x14ac:dyDescent="0.3">
      <c r="A1435" s="21">
        <v>288</v>
      </c>
      <c r="B1435" s="5" t="s">
        <v>696</v>
      </c>
      <c r="C1435" s="5" t="s">
        <v>658</v>
      </c>
      <c r="D1435" s="5" t="s">
        <v>71</v>
      </c>
      <c r="E1435" s="5" t="s">
        <v>22</v>
      </c>
      <c r="F1435" s="71">
        <v>45657</v>
      </c>
      <c r="G1435" s="5">
        <v>2024</v>
      </c>
      <c r="H1435" s="5" t="s">
        <v>23</v>
      </c>
      <c r="I1435" s="6" t="s">
        <v>30</v>
      </c>
      <c r="J1435" s="5">
        <v>85</v>
      </c>
      <c r="K1435" s="10">
        <v>0</v>
      </c>
      <c r="L1435" s="14">
        <f t="shared" si="86"/>
        <v>0</v>
      </c>
      <c r="M1435" s="14">
        <f t="shared" si="87"/>
        <v>0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698</v>
      </c>
    </row>
    <row r="1436" spans="1:19" hidden="1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45838</v>
      </c>
      <c r="G1436" s="5">
        <v>2025</v>
      </c>
      <c r="H1436" s="5" t="s">
        <v>699</v>
      </c>
      <c r="I1436" s="6" t="s">
        <v>700</v>
      </c>
      <c r="J1436" s="5">
        <v>100</v>
      </c>
      <c r="K1436" s="10">
        <v>100</v>
      </c>
      <c r="L1436" s="14">
        <f t="shared" si="86"/>
        <v>1</v>
      </c>
      <c r="M1436" s="14">
        <f t="shared" si="87"/>
        <v>1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701</v>
      </c>
    </row>
    <row r="1437" spans="1:19" hidden="1" x14ac:dyDescent="0.3">
      <c r="A1437" s="21">
        <v>289</v>
      </c>
      <c r="B1437" s="5" t="s">
        <v>702</v>
      </c>
      <c r="C1437" s="5" t="s">
        <v>198</v>
      </c>
      <c r="D1437" s="5" t="s">
        <v>21</v>
      </c>
      <c r="E1437" s="5" t="s">
        <v>22</v>
      </c>
      <c r="F1437" s="71">
        <v>45107</v>
      </c>
      <c r="G1437" s="5">
        <v>2023</v>
      </c>
      <c r="H1437" s="5" t="s">
        <v>699</v>
      </c>
      <c r="I1437" s="6" t="s">
        <v>1512</v>
      </c>
      <c r="J1437" s="5">
        <v>95</v>
      </c>
      <c r="K1437" s="10">
        <v>85.714285714286007</v>
      </c>
      <c r="L1437" s="14">
        <f t="shared" si="86"/>
        <v>0.90225563909774742</v>
      </c>
      <c r="M1437" s="14">
        <f t="shared" si="87"/>
        <v>0.90225563909774742</v>
      </c>
      <c r="N1437" s="5" t="s">
        <v>25</v>
      </c>
      <c r="O1437" s="11" t="s">
        <v>25</v>
      </c>
      <c r="P1437" s="15">
        <v>1</v>
      </c>
      <c r="Q1437" s="15">
        <v>1</v>
      </c>
      <c r="R1437" s="5" t="s">
        <v>2527</v>
      </c>
    </row>
    <row r="1438" spans="1:19" hidden="1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45199</v>
      </c>
      <c r="G1438" s="5">
        <v>2023</v>
      </c>
      <c r="H1438" s="5" t="s">
        <v>162</v>
      </c>
      <c r="I1438" s="6" t="s">
        <v>28</v>
      </c>
      <c r="J1438" s="5">
        <v>95</v>
      </c>
      <c r="K1438" s="10">
        <v>87.5</v>
      </c>
      <c r="L1438" s="14">
        <f t="shared" si="86"/>
        <v>0.92105263157894735</v>
      </c>
      <c r="M1438" s="14">
        <f t="shared" si="87"/>
        <v>0.92105263157894735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hidden="1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45473</v>
      </c>
      <c r="G1439" s="5">
        <v>2024</v>
      </c>
      <c r="H1439" s="5" t="s">
        <v>699</v>
      </c>
      <c r="I1439" s="6" t="s">
        <v>729</v>
      </c>
      <c r="J1439" s="5">
        <v>95</v>
      </c>
      <c r="K1439" s="10">
        <v>100</v>
      </c>
      <c r="L1439" s="14">
        <f t="shared" si="86"/>
        <v>1.0526315789473684</v>
      </c>
      <c r="M1439" s="14">
        <f t="shared" si="87"/>
        <v>1.0526315789473684</v>
      </c>
      <c r="N1439" s="5" t="s">
        <v>25</v>
      </c>
      <c r="O1439" s="11" t="s">
        <v>25</v>
      </c>
      <c r="P1439" s="15">
        <v>0</v>
      </c>
      <c r="Q1439" s="15">
        <v>0</v>
      </c>
      <c r="R1439" s="5" t="s">
        <v>2529</v>
      </c>
    </row>
    <row r="1440" spans="1:19" hidden="1" x14ac:dyDescent="0.3">
      <c r="A1440" s="5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45565</v>
      </c>
      <c r="G1440" s="5">
        <v>2024</v>
      </c>
      <c r="H1440" s="5" t="s">
        <v>162</v>
      </c>
      <c r="I1440" s="6" t="s">
        <v>30</v>
      </c>
      <c r="J1440" s="5">
        <v>95</v>
      </c>
      <c r="K1440" s="5">
        <v>80</v>
      </c>
      <c r="L1440" s="14">
        <f t="shared" si="86"/>
        <v>0.84210526315789469</v>
      </c>
      <c r="M1440" s="14">
        <f t="shared" si="87"/>
        <v>0.84210526315789469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2530</v>
      </c>
    </row>
    <row r="1441" spans="1:18" hidden="1" x14ac:dyDescent="0.3">
      <c r="A1441" s="21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45657</v>
      </c>
      <c r="G1441" s="5">
        <v>2024</v>
      </c>
      <c r="H1441" s="5" t="s">
        <v>23</v>
      </c>
      <c r="I1441" s="6" t="s">
        <v>30</v>
      </c>
      <c r="J1441" s="5">
        <v>95</v>
      </c>
      <c r="K1441" s="10">
        <v>100</v>
      </c>
      <c r="L1441" s="14">
        <f t="shared" si="86"/>
        <v>1.0526315789473684</v>
      </c>
      <c r="M1441" s="14">
        <f t="shared" si="87"/>
        <v>1.0526315789473684</v>
      </c>
      <c r="N1441" s="5" t="s">
        <v>25</v>
      </c>
      <c r="O1441" s="5" t="s">
        <v>25</v>
      </c>
      <c r="P1441" s="15">
        <v>0</v>
      </c>
      <c r="Q1441" s="15">
        <v>0</v>
      </c>
      <c r="R1441" s="5" t="s">
        <v>704</v>
      </c>
    </row>
    <row r="1442" spans="1:18" hidden="1" x14ac:dyDescent="0.3">
      <c r="A1442" s="5">
        <v>290</v>
      </c>
      <c r="B1442" s="5" t="s">
        <v>705</v>
      </c>
      <c r="C1442" s="5" t="s">
        <v>706</v>
      </c>
      <c r="D1442" s="5" t="s">
        <v>64</v>
      </c>
      <c r="E1442" s="5" t="s">
        <v>22</v>
      </c>
      <c r="F1442" s="71">
        <v>45107</v>
      </c>
      <c r="G1442" s="5">
        <v>2023</v>
      </c>
      <c r="H1442" s="5" t="s">
        <v>699</v>
      </c>
      <c r="I1442" s="6" t="s">
        <v>1512</v>
      </c>
      <c r="J1442" s="5">
        <v>90</v>
      </c>
      <c r="K1442" s="5">
        <v>100</v>
      </c>
      <c r="L1442" s="14">
        <f t="shared" si="86"/>
        <v>1.1111111111111112</v>
      </c>
      <c r="M1442" s="14">
        <f t="shared" si="87"/>
        <v>1.1111111111111112</v>
      </c>
      <c r="N1442" s="5" t="s">
        <v>25</v>
      </c>
      <c r="O1442" s="5" t="s">
        <v>25</v>
      </c>
      <c r="P1442" s="5">
        <v>0</v>
      </c>
      <c r="Q1442" s="5">
        <v>0</v>
      </c>
      <c r="R1442" s="5" t="s">
        <v>2531</v>
      </c>
    </row>
    <row r="1443" spans="1:18" hidden="1" x14ac:dyDescent="0.3">
      <c r="A1443" s="21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45168</v>
      </c>
      <c r="G1443" s="5">
        <v>2023</v>
      </c>
      <c r="H1443" s="5" t="s">
        <v>1546</v>
      </c>
      <c r="I1443" s="6" t="s">
        <v>28</v>
      </c>
      <c r="J1443" s="5">
        <v>90</v>
      </c>
      <c r="K1443" s="10">
        <v>81.819999999999993</v>
      </c>
      <c r="L1443" s="14">
        <f t="shared" si="86"/>
        <v>0.90911111111111098</v>
      </c>
      <c r="M1443" s="14">
        <f t="shared" si="87"/>
        <v>0.90911111111111098</v>
      </c>
      <c r="N1443" s="5" t="s">
        <v>25</v>
      </c>
      <c r="O1443" s="5" t="s">
        <v>25</v>
      </c>
      <c r="P1443" s="15">
        <v>0</v>
      </c>
      <c r="Q1443" s="15">
        <v>0</v>
      </c>
      <c r="R1443" s="5" t="s">
        <v>2532</v>
      </c>
    </row>
    <row r="1444" spans="1:18" hidden="1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45230</v>
      </c>
      <c r="G1444" s="5">
        <v>2023</v>
      </c>
      <c r="H1444" s="5" t="s">
        <v>150</v>
      </c>
      <c r="I1444" s="6" t="s">
        <v>28</v>
      </c>
      <c r="J1444" s="5">
        <v>90</v>
      </c>
      <c r="K1444" s="10">
        <v>90.91</v>
      </c>
      <c r="L1444" s="14">
        <f t="shared" si="86"/>
        <v>1.0101111111111112</v>
      </c>
      <c r="M1444" s="14">
        <f t="shared" si="87"/>
        <v>1.0101111111111112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hidden="1" x14ac:dyDescent="0.3">
      <c r="A1445" s="5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45291</v>
      </c>
      <c r="G1445" s="5">
        <v>2023</v>
      </c>
      <c r="H1445" s="5" t="s">
        <v>23</v>
      </c>
      <c r="I1445" s="6" t="s">
        <v>28</v>
      </c>
      <c r="J1445" s="5">
        <v>90</v>
      </c>
      <c r="K1445" s="5">
        <v>80</v>
      </c>
      <c r="L1445" s="14">
        <f t="shared" si="86"/>
        <v>0.88888888888888884</v>
      </c>
      <c r="M1445" s="14">
        <f t="shared" si="87"/>
        <v>0.88888888888888884</v>
      </c>
      <c r="N1445" s="5" t="s">
        <v>25</v>
      </c>
      <c r="O1445" s="5" t="s">
        <v>25</v>
      </c>
      <c r="P1445" s="5">
        <v>0</v>
      </c>
      <c r="Q1445" s="5">
        <v>0</v>
      </c>
      <c r="R1445" s="5" t="s">
        <v>707</v>
      </c>
    </row>
    <row r="1446" spans="1:18" hidden="1" x14ac:dyDescent="0.3">
      <c r="A1446" s="21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45351</v>
      </c>
      <c r="G1446" s="5">
        <v>2024</v>
      </c>
      <c r="H1446" s="5" t="s">
        <v>210</v>
      </c>
      <c r="I1446" s="6" t="s">
        <v>729</v>
      </c>
      <c r="J1446" s="5">
        <v>90</v>
      </c>
      <c r="K1446" s="10">
        <v>91.666666666666998</v>
      </c>
      <c r="L1446" s="14">
        <f t="shared" si="86"/>
        <v>1.0185185185185222</v>
      </c>
      <c r="M1446" s="14">
        <f t="shared" si="87"/>
        <v>1.0185185185185222</v>
      </c>
      <c r="N1446" s="5"/>
      <c r="O1446" s="5"/>
      <c r="P1446" s="15">
        <v>0</v>
      </c>
      <c r="Q1446" s="15">
        <v>0</v>
      </c>
      <c r="R1446" s="5" t="s">
        <v>2534</v>
      </c>
    </row>
    <row r="1447" spans="1:18" hidden="1" x14ac:dyDescent="0.3">
      <c r="A1447" s="5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45412</v>
      </c>
      <c r="G1447" s="5">
        <v>2024</v>
      </c>
      <c r="H1447" s="5" t="s">
        <v>1540</v>
      </c>
      <c r="I1447" s="6" t="s">
        <v>729</v>
      </c>
      <c r="J1447" s="5">
        <v>90</v>
      </c>
      <c r="K1447" s="5">
        <v>100</v>
      </c>
      <c r="L1447" s="14">
        <f t="shared" si="86"/>
        <v>1.1111111111111112</v>
      </c>
      <c r="M1447" s="14">
        <f t="shared" si="87"/>
        <v>1.1111111111111112</v>
      </c>
      <c r="N1447" s="5"/>
      <c r="O1447" s="5"/>
      <c r="P1447" s="5">
        <v>0</v>
      </c>
      <c r="Q1447" s="5">
        <v>0</v>
      </c>
      <c r="R1447" s="5" t="s">
        <v>2535</v>
      </c>
    </row>
    <row r="1448" spans="1:18" hidden="1" x14ac:dyDescent="0.3">
      <c r="A1448" s="21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45473</v>
      </c>
      <c r="G1448" s="5">
        <v>2024</v>
      </c>
      <c r="H1448" s="5" t="s">
        <v>699</v>
      </c>
      <c r="I1448" s="6" t="s">
        <v>729</v>
      </c>
      <c r="J1448" s="5">
        <v>90</v>
      </c>
      <c r="K1448" s="10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15">
        <v>0</v>
      </c>
      <c r="Q1448" s="15">
        <v>0</v>
      </c>
      <c r="R1448" s="5" t="s">
        <v>2536</v>
      </c>
    </row>
    <row r="1449" spans="1:18" hidden="1" x14ac:dyDescent="0.3">
      <c r="A1449" s="5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45535</v>
      </c>
      <c r="G1449" s="5">
        <v>2024</v>
      </c>
      <c r="H1449" s="5" t="s">
        <v>1546</v>
      </c>
      <c r="I1449" s="6" t="s">
        <v>30</v>
      </c>
      <c r="J1449" s="5">
        <v>90</v>
      </c>
      <c r="K1449" s="5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5">
        <v>0</v>
      </c>
      <c r="Q1449" s="5">
        <v>0</v>
      </c>
      <c r="R1449" s="5" t="s">
        <v>2537</v>
      </c>
    </row>
    <row r="1450" spans="1:18" hidden="1" x14ac:dyDescent="0.3">
      <c r="A1450" s="21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45596</v>
      </c>
      <c r="G1450" s="5">
        <v>2024</v>
      </c>
      <c r="H1450" s="5" t="s">
        <v>150</v>
      </c>
      <c r="I1450" s="6" t="s">
        <v>30</v>
      </c>
      <c r="J1450" s="5">
        <v>90</v>
      </c>
      <c r="K1450" s="10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15">
        <v>0</v>
      </c>
      <c r="Q1450" s="15">
        <v>0</v>
      </c>
      <c r="R1450" s="5" t="s">
        <v>2538</v>
      </c>
    </row>
    <row r="1451" spans="1:18" hidden="1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45657</v>
      </c>
      <c r="G1451" s="5">
        <v>2024</v>
      </c>
      <c r="H1451" s="5" t="s">
        <v>23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708</v>
      </c>
    </row>
    <row r="1452" spans="1:18" hidden="1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45716</v>
      </c>
      <c r="G1452" s="5">
        <v>2025</v>
      </c>
      <c r="H1452" s="5" t="s">
        <v>210</v>
      </c>
      <c r="I1452" s="6" t="s">
        <v>700</v>
      </c>
      <c r="J1452" s="5">
        <v>90</v>
      </c>
      <c r="K1452" s="10">
        <v>80</v>
      </c>
      <c r="L1452" s="14">
        <f t="shared" si="86"/>
        <v>0.88888888888888884</v>
      </c>
      <c r="M1452" s="14">
        <f t="shared" si="87"/>
        <v>0.88888888888888884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2539</v>
      </c>
    </row>
    <row r="1453" spans="1:18" hidden="1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45777</v>
      </c>
      <c r="G1453" s="5">
        <v>2025</v>
      </c>
      <c r="H1453" s="5" t="s">
        <v>1540</v>
      </c>
      <c r="I1453" s="6" t="s">
        <v>700</v>
      </c>
      <c r="J1453" s="5">
        <v>90</v>
      </c>
      <c r="K1453" s="10">
        <v>100</v>
      </c>
      <c r="L1453" s="14">
        <f t="shared" si="86"/>
        <v>1.1111111111111112</v>
      </c>
      <c r="M1453" s="14">
        <f t="shared" si="87"/>
        <v>1.1111111111111112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hidden="1" x14ac:dyDescent="0.3">
      <c r="A1454" s="5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45838</v>
      </c>
      <c r="G1454" s="5">
        <v>2025</v>
      </c>
      <c r="H1454" s="5" t="s">
        <v>699</v>
      </c>
      <c r="I1454" s="6" t="s">
        <v>700</v>
      </c>
      <c r="J1454" s="5">
        <v>90</v>
      </c>
      <c r="K1454" s="5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5">
        <v>0</v>
      </c>
      <c r="Q1454" s="5">
        <v>0</v>
      </c>
      <c r="R1454" s="5" t="s">
        <v>709</v>
      </c>
    </row>
    <row r="1455" spans="1:18" hidden="1" x14ac:dyDescent="0.3">
      <c r="A1455" s="21">
        <v>291</v>
      </c>
      <c r="B1455" s="5" t="s">
        <v>710</v>
      </c>
      <c r="C1455" s="5" t="s">
        <v>711</v>
      </c>
      <c r="D1455" s="5" t="s">
        <v>27</v>
      </c>
      <c r="E1455" s="5" t="s">
        <v>22</v>
      </c>
      <c r="F1455" s="71">
        <v>45107</v>
      </c>
      <c r="G1455" s="5">
        <v>2023</v>
      </c>
      <c r="H1455" s="5" t="s">
        <v>699</v>
      </c>
      <c r="I1455" s="6" t="s">
        <v>1512</v>
      </c>
      <c r="J1455" s="5">
        <v>100</v>
      </c>
      <c r="K1455" s="10">
        <v>100</v>
      </c>
      <c r="L1455" s="14">
        <f t="shared" si="86"/>
        <v>1</v>
      </c>
      <c r="M1455" s="14">
        <f t="shared" si="87"/>
        <v>1</v>
      </c>
      <c r="N1455" s="5" t="s">
        <v>25</v>
      </c>
      <c r="O1455" s="5" t="s">
        <v>25</v>
      </c>
      <c r="P1455" s="15">
        <v>0</v>
      </c>
      <c r="Q1455" s="15">
        <v>0</v>
      </c>
      <c r="R1455" s="5" t="s">
        <v>2541</v>
      </c>
    </row>
    <row r="1456" spans="1:18" hidden="1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45291</v>
      </c>
      <c r="G1456" s="5">
        <v>2023</v>
      </c>
      <c r="H1456" s="5" t="s">
        <v>23</v>
      </c>
      <c r="I1456" s="6" t="s">
        <v>28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712</v>
      </c>
    </row>
    <row r="1457" spans="1:18" hidden="1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45473</v>
      </c>
      <c r="G1457" s="5">
        <v>2024</v>
      </c>
      <c r="H1457" s="5" t="s">
        <v>699</v>
      </c>
      <c r="I1457" s="6" t="s">
        <v>729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2542</v>
      </c>
    </row>
    <row r="1458" spans="1:18" hidden="1" x14ac:dyDescent="0.3">
      <c r="A1458" s="5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45657</v>
      </c>
      <c r="G1458" s="5">
        <v>2024</v>
      </c>
      <c r="H1458" s="5" t="s">
        <v>23</v>
      </c>
      <c r="I1458" s="6" t="s">
        <v>30</v>
      </c>
      <c r="J1458" s="5">
        <v>100</v>
      </c>
      <c r="K1458" s="5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5">
        <v>0</v>
      </c>
      <c r="Q1458" s="5">
        <v>0</v>
      </c>
      <c r="R1458" s="5" t="s">
        <v>713</v>
      </c>
    </row>
    <row r="1459" spans="1:18" hidden="1" x14ac:dyDescent="0.3">
      <c r="A1459" s="21">
        <v>292</v>
      </c>
      <c r="B1459" s="5" t="s">
        <v>716</v>
      </c>
      <c r="C1459" s="5" t="s">
        <v>711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1512</v>
      </c>
      <c r="J1459" s="5">
        <v>3</v>
      </c>
      <c r="K1459" s="10">
        <v>10.990099009901</v>
      </c>
      <c r="L1459" s="14">
        <f t="shared" si="86"/>
        <v>1.3</v>
      </c>
      <c r="M1459" s="14">
        <f t="shared" si="87"/>
        <v>3.6633663366336666</v>
      </c>
      <c r="N1459" s="5" t="s">
        <v>25</v>
      </c>
      <c r="O1459" s="5" t="s">
        <v>25</v>
      </c>
      <c r="P1459" s="15">
        <v>0</v>
      </c>
      <c r="Q1459" s="15">
        <v>0</v>
      </c>
      <c r="R1459" s="5" t="s">
        <v>2543</v>
      </c>
    </row>
    <row r="1460" spans="1:18" hidden="1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3</v>
      </c>
      <c r="K1460" s="10">
        <v>27.659574468085001</v>
      </c>
      <c r="L1460" s="14">
        <f t="shared" si="86"/>
        <v>1.3</v>
      </c>
      <c r="M1460" s="14">
        <f t="shared" si="87"/>
        <v>9.2198581560283337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715</v>
      </c>
    </row>
    <row r="1461" spans="1:18" hidden="1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3</v>
      </c>
      <c r="K1461" s="10">
        <v>23.313905079100739</v>
      </c>
      <c r="L1461" s="14">
        <f t="shared" si="86"/>
        <v>1.3</v>
      </c>
      <c r="M1461" s="14">
        <f t="shared" si="87"/>
        <v>7.7713016930335792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2544</v>
      </c>
    </row>
    <row r="1462" spans="1:18" hidden="1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3</v>
      </c>
      <c r="K1462" s="10">
        <v>14.263862332695989</v>
      </c>
      <c r="L1462" s="14">
        <f t="shared" si="86"/>
        <v>1.3</v>
      </c>
      <c r="M1462" s="14">
        <f t="shared" si="87"/>
        <v>4.7546207775653295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717</v>
      </c>
    </row>
    <row r="1463" spans="1:18" hidden="1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8</v>
      </c>
      <c r="K1463" s="10">
        <v>9.7899999999999991</v>
      </c>
      <c r="L1463" s="14">
        <f t="shared" si="86"/>
        <v>1.2237499999999999</v>
      </c>
      <c r="M1463" s="14">
        <f t="shared" si="87"/>
        <v>1.2237499999999999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2545</v>
      </c>
    </row>
    <row r="1464" spans="1:18" hidden="1" x14ac:dyDescent="0.3">
      <c r="A1464" s="21">
        <v>292</v>
      </c>
      <c r="B1464" s="5" t="s">
        <v>716</v>
      </c>
      <c r="C1464" s="5" t="s">
        <v>711</v>
      </c>
      <c r="D1464" s="5" t="s">
        <v>21</v>
      </c>
      <c r="E1464" s="5" t="s">
        <v>22</v>
      </c>
      <c r="F1464" s="71">
        <v>46022</v>
      </c>
      <c r="G1464" s="5">
        <v>2025</v>
      </c>
      <c r="H1464" s="5" t="s">
        <v>23</v>
      </c>
      <c r="I1464" s="6" t="s">
        <v>32</v>
      </c>
      <c r="J1464" s="5">
        <v>8</v>
      </c>
      <c r="K1464" s="10">
        <v>11.21</v>
      </c>
      <c r="L1464" s="14">
        <f t="shared" ref="L1464:L1483" si="88">IFERROR(IF(OR(J1464=0,K1464=""),"",IF(E1464="Positivo",MIN(MAX(K1464/J1464,0),1.3),MIN(MAX(J1464/K1464,0),1.3))),"")</f>
        <v>1.3</v>
      </c>
      <c r="M1464" s="14">
        <f t="shared" ref="M1464:M1483" si="89">IFERROR(IF(OR(J1464=0,K1464=""),"",IF(E1464="Positivo",MAX(K1464/J1464,0),MAX(J1464/K1464,0))),"")</f>
        <v>1.4012500000000001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718</v>
      </c>
    </row>
    <row r="1465" spans="1:18" hidden="1" x14ac:dyDescent="0.3">
      <c r="A1465" s="5">
        <v>293</v>
      </c>
      <c r="B1465" s="5" t="s">
        <v>719</v>
      </c>
      <c r="C1465" s="5" t="s">
        <v>711</v>
      </c>
      <c r="D1465" s="5" t="s">
        <v>27</v>
      </c>
      <c r="E1465" s="5" t="s">
        <v>22</v>
      </c>
      <c r="F1465" s="71">
        <v>45107</v>
      </c>
      <c r="G1465" s="5">
        <v>2023</v>
      </c>
      <c r="H1465" s="5" t="s">
        <v>699</v>
      </c>
      <c r="I1465" s="6" t="s">
        <v>1512</v>
      </c>
      <c r="J1465" s="5">
        <v>100</v>
      </c>
      <c r="K1465" s="5">
        <v>100</v>
      </c>
      <c r="L1465" s="14">
        <f t="shared" si="88"/>
        <v>1</v>
      </c>
      <c r="M1465" s="14">
        <f t="shared" si="89"/>
        <v>1</v>
      </c>
      <c r="N1465" s="5" t="s">
        <v>25</v>
      </c>
      <c r="O1465" s="5" t="s">
        <v>25</v>
      </c>
      <c r="P1465" s="5">
        <v>0</v>
      </c>
      <c r="Q1465" s="5">
        <v>0</v>
      </c>
      <c r="R1465" s="5" t="s">
        <v>2546</v>
      </c>
    </row>
    <row r="1466" spans="1:18" hidden="1" x14ac:dyDescent="0.3">
      <c r="A1466" s="21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45291</v>
      </c>
      <c r="G1466" s="5">
        <v>2023</v>
      </c>
      <c r="H1466" s="5" t="s">
        <v>23</v>
      </c>
      <c r="I1466" s="6" t="s">
        <v>28</v>
      </c>
      <c r="J1466" s="5">
        <v>100</v>
      </c>
      <c r="K1466" s="10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720</v>
      </c>
    </row>
    <row r="1467" spans="1:18" hidden="1" x14ac:dyDescent="0.3">
      <c r="A1467" s="5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45473</v>
      </c>
      <c r="G1467" s="5">
        <v>2024</v>
      </c>
      <c r="H1467" s="5" t="s">
        <v>699</v>
      </c>
      <c r="I1467" s="6" t="s">
        <v>729</v>
      </c>
      <c r="J1467" s="5">
        <v>100</v>
      </c>
      <c r="K1467" s="5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2547</v>
      </c>
    </row>
    <row r="1468" spans="1:18" hidden="1" x14ac:dyDescent="0.3">
      <c r="A1468" s="21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100</v>
      </c>
      <c r="K1468" s="10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721</v>
      </c>
    </row>
    <row r="1469" spans="1:18" hidden="1" x14ac:dyDescent="0.3">
      <c r="A1469" s="5">
        <v>294</v>
      </c>
      <c r="B1469" s="5" t="s">
        <v>722</v>
      </c>
      <c r="C1469" s="5" t="s">
        <v>711</v>
      </c>
      <c r="D1469" s="5" t="s">
        <v>27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1512</v>
      </c>
      <c r="J1469" s="5">
        <v>3</v>
      </c>
      <c r="K1469" s="5">
        <v>30.158730158729998</v>
      </c>
      <c r="L1469" s="14">
        <f t="shared" si="88"/>
        <v>1.3</v>
      </c>
      <c r="M1469" s="14">
        <f t="shared" si="89"/>
        <v>10.052910052909999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2548</v>
      </c>
    </row>
    <row r="1470" spans="1:18" hidden="1" x14ac:dyDescent="0.3">
      <c r="A1470" s="21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45291</v>
      </c>
      <c r="G1470" s="5">
        <v>2023</v>
      </c>
      <c r="H1470" s="5" t="s">
        <v>23</v>
      </c>
      <c r="I1470" s="6" t="s">
        <v>28</v>
      </c>
      <c r="J1470" s="5">
        <v>3</v>
      </c>
      <c r="K1470" s="10">
        <v>41.986754966886998</v>
      </c>
      <c r="L1470" s="14">
        <f t="shared" si="88"/>
        <v>1.3</v>
      </c>
      <c r="M1470" s="14">
        <f t="shared" si="89"/>
        <v>13.995584988962333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723</v>
      </c>
    </row>
    <row r="1471" spans="1:18" hidden="1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45473</v>
      </c>
      <c r="G1471" s="5">
        <v>2024</v>
      </c>
      <c r="H1471" s="5" t="s">
        <v>699</v>
      </c>
      <c r="I1471" s="6" t="s">
        <v>729</v>
      </c>
      <c r="J1471" s="5">
        <v>3</v>
      </c>
      <c r="K1471" s="10">
        <v>26.27669452181987</v>
      </c>
      <c r="L1471" s="14">
        <f t="shared" si="88"/>
        <v>1.3</v>
      </c>
      <c r="M1471" s="14">
        <f t="shared" si="89"/>
        <v>8.7588981739399561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2549</v>
      </c>
    </row>
    <row r="1472" spans="1:18" hidden="1" x14ac:dyDescent="0.3">
      <c r="A1472" s="5">
        <v>294</v>
      </c>
      <c r="B1472" s="5" t="s">
        <v>724</v>
      </c>
      <c r="C1472" s="5" t="s">
        <v>711</v>
      </c>
      <c r="D1472" s="5" t="s">
        <v>27</v>
      </c>
      <c r="E1472" s="5" t="s">
        <v>22</v>
      </c>
      <c r="F1472" s="71">
        <v>45657</v>
      </c>
      <c r="G1472" s="5">
        <v>2024</v>
      </c>
      <c r="H1472" s="5" t="s">
        <v>23</v>
      </c>
      <c r="I1472" s="6" t="s">
        <v>30</v>
      </c>
      <c r="J1472" s="5">
        <v>3</v>
      </c>
      <c r="K1472" s="5">
        <v>5.5</v>
      </c>
      <c r="L1472" s="14">
        <f t="shared" si="88"/>
        <v>1.3</v>
      </c>
      <c r="M1472" s="14">
        <f t="shared" si="89"/>
        <v>1.8333333333333333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725</v>
      </c>
    </row>
    <row r="1473" spans="1:18" hidden="1" x14ac:dyDescent="0.3">
      <c r="A1473" s="21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45838</v>
      </c>
      <c r="G1473" s="5">
        <v>2025</v>
      </c>
      <c r="H1473" s="5" t="s">
        <v>699</v>
      </c>
      <c r="I1473" s="6" t="s">
        <v>700</v>
      </c>
      <c r="J1473" s="5">
        <v>8</v>
      </c>
      <c r="K1473" s="10">
        <v>-9.19</v>
      </c>
      <c r="L1473" s="14">
        <f t="shared" si="88"/>
        <v>0</v>
      </c>
      <c r="M1473" s="14">
        <f t="shared" si="89"/>
        <v>0</v>
      </c>
      <c r="N1473" s="5" t="s">
        <v>25</v>
      </c>
      <c r="O1473" s="5" t="s">
        <v>25</v>
      </c>
      <c r="P1473" s="15">
        <v>0</v>
      </c>
      <c r="Q1473" s="15">
        <v>0</v>
      </c>
      <c r="R1473" s="5" t="s">
        <v>2550</v>
      </c>
    </row>
    <row r="1474" spans="1:18" hidden="1" x14ac:dyDescent="0.3">
      <c r="A1474" s="5">
        <v>294</v>
      </c>
      <c r="B1474" s="5" t="s">
        <v>724</v>
      </c>
      <c r="C1474" s="5" t="s">
        <v>711</v>
      </c>
      <c r="D1474" s="5" t="s">
        <v>21</v>
      </c>
      <c r="E1474" s="5" t="s">
        <v>22</v>
      </c>
      <c r="F1474" s="71">
        <v>46022</v>
      </c>
      <c r="G1474" s="5">
        <v>2025</v>
      </c>
      <c r="H1474" s="5" t="s">
        <v>23</v>
      </c>
      <c r="I1474" s="6" t="s">
        <v>32</v>
      </c>
      <c r="J1474" s="5">
        <v>8</v>
      </c>
      <c r="K1474" s="5">
        <v>54.02</v>
      </c>
      <c r="L1474" s="14">
        <f t="shared" si="88"/>
        <v>1.3</v>
      </c>
      <c r="M1474" s="14">
        <f t="shared" si="89"/>
        <v>6.7525000000000004</v>
      </c>
      <c r="N1474" s="5" t="s">
        <v>25</v>
      </c>
      <c r="O1474" s="5" t="s">
        <v>25</v>
      </c>
      <c r="P1474" s="5">
        <v>0</v>
      </c>
      <c r="Q1474" s="5">
        <v>0</v>
      </c>
      <c r="R1474" s="5" t="s">
        <v>726</v>
      </c>
    </row>
    <row r="1475" spans="1:18" hidden="1" x14ac:dyDescent="0.3">
      <c r="A1475" s="21">
        <v>295</v>
      </c>
      <c r="B1475" s="5" t="s">
        <v>727</v>
      </c>
      <c r="C1475" s="5" t="s">
        <v>63</v>
      </c>
      <c r="D1475" s="5" t="s">
        <v>27</v>
      </c>
      <c r="E1475" s="5" t="s">
        <v>22</v>
      </c>
      <c r="F1475" s="71">
        <v>45107</v>
      </c>
      <c r="G1475" s="5">
        <v>2023</v>
      </c>
      <c r="H1475" s="5" t="s">
        <v>699</v>
      </c>
      <c r="I1475" s="6" t="s">
        <v>1512</v>
      </c>
      <c r="J1475" s="5">
        <v>11</v>
      </c>
      <c r="K1475" s="10">
        <v>5</v>
      </c>
      <c r="L1475" s="14">
        <f t="shared" si="88"/>
        <v>0.45454545454545453</v>
      </c>
      <c r="M1475" s="14">
        <f t="shared" si="89"/>
        <v>0.45454545454545453</v>
      </c>
      <c r="N1475" s="5" t="s">
        <v>25</v>
      </c>
      <c r="O1475" s="5" t="s">
        <v>25</v>
      </c>
      <c r="P1475" s="15">
        <v>0</v>
      </c>
      <c r="Q1475" s="15">
        <v>0</v>
      </c>
      <c r="R1475" s="5" t="s">
        <v>2551</v>
      </c>
    </row>
    <row r="1476" spans="1:18" hidden="1" x14ac:dyDescent="0.3">
      <c r="A1476" s="5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45291</v>
      </c>
      <c r="G1476" s="5">
        <v>2023</v>
      </c>
      <c r="H1476" s="5" t="s">
        <v>23</v>
      </c>
      <c r="I1476" s="6" t="s">
        <v>28</v>
      </c>
      <c r="J1476" s="5">
        <v>21</v>
      </c>
      <c r="K1476" s="5">
        <v>9</v>
      </c>
      <c r="L1476" s="14">
        <f t="shared" si="88"/>
        <v>0.42857142857142855</v>
      </c>
      <c r="M1476" s="14">
        <f t="shared" si="89"/>
        <v>0.42857142857142855</v>
      </c>
      <c r="N1476" s="5" t="s">
        <v>25</v>
      </c>
      <c r="O1476" s="5" t="s">
        <v>25</v>
      </c>
      <c r="P1476" s="5">
        <v>0</v>
      </c>
      <c r="Q1476" s="5">
        <v>0</v>
      </c>
      <c r="R1476" s="5" t="s">
        <v>728</v>
      </c>
    </row>
    <row r="1477" spans="1:18" hidden="1" x14ac:dyDescent="0.3">
      <c r="A1477" s="21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45473</v>
      </c>
      <c r="G1477" s="5">
        <v>2024</v>
      </c>
      <c r="H1477" s="5" t="s">
        <v>699</v>
      </c>
      <c r="I1477" s="6" t="s">
        <v>729</v>
      </c>
      <c r="J1477" s="5">
        <v>60</v>
      </c>
      <c r="K1477" s="10">
        <v>52.38</v>
      </c>
      <c r="L1477" s="14">
        <f t="shared" si="88"/>
        <v>0.873</v>
      </c>
      <c r="M1477" s="14">
        <f t="shared" si="89"/>
        <v>0.873</v>
      </c>
      <c r="N1477" s="5" t="s">
        <v>128</v>
      </c>
      <c r="O1477" s="5" t="s">
        <v>128</v>
      </c>
      <c r="P1477" s="15">
        <v>0</v>
      </c>
      <c r="Q1477" s="15">
        <v>0</v>
      </c>
      <c r="R1477" s="5" t="s">
        <v>730</v>
      </c>
    </row>
    <row r="1478" spans="1:18" hidden="1" x14ac:dyDescent="0.3">
      <c r="A1478" s="5">
        <v>296</v>
      </c>
      <c r="B1478" s="5" t="s">
        <v>731</v>
      </c>
      <c r="C1478" s="5" t="s">
        <v>732</v>
      </c>
      <c r="D1478" s="5" t="s">
        <v>64</v>
      </c>
      <c r="E1478" s="5" t="s">
        <v>22</v>
      </c>
      <c r="F1478" s="71">
        <v>45169</v>
      </c>
      <c r="G1478" s="5">
        <v>2023</v>
      </c>
      <c r="H1478" s="5" t="s">
        <v>1546</v>
      </c>
      <c r="I1478" s="6" t="s">
        <v>28</v>
      </c>
      <c r="J1478" s="5">
        <v>70</v>
      </c>
      <c r="K1478" s="5">
        <v>70.91</v>
      </c>
      <c r="L1478" s="14">
        <f t="shared" si="88"/>
        <v>1.0129999999999999</v>
      </c>
      <c r="M1478" s="14">
        <f t="shared" si="89"/>
        <v>1.0129999999999999</v>
      </c>
      <c r="N1478" s="5" t="s">
        <v>128</v>
      </c>
      <c r="O1478" s="5" t="s">
        <v>128</v>
      </c>
      <c r="P1478" s="5">
        <v>0</v>
      </c>
      <c r="Q1478" s="5">
        <v>0</v>
      </c>
      <c r="R1478" s="5" t="s">
        <v>2552</v>
      </c>
    </row>
    <row r="1479" spans="1:18" hidden="1" x14ac:dyDescent="0.3">
      <c r="A1479" s="21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45230</v>
      </c>
      <c r="G1479" s="5">
        <v>2023</v>
      </c>
      <c r="H1479" s="5" t="s">
        <v>150</v>
      </c>
      <c r="I1479" s="6" t="s">
        <v>28</v>
      </c>
      <c r="J1479" s="5">
        <v>80</v>
      </c>
      <c r="K1479" s="10">
        <v>80</v>
      </c>
      <c r="L1479" s="14">
        <f t="shared" si="88"/>
        <v>1</v>
      </c>
      <c r="M1479" s="14">
        <f t="shared" si="89"/>
        <v>1</v>
      </c>
      <c r="N1479" s="5" t="s">
        <v>128</v>
      </c>
      <c r="O1479" s="5" t="s">
        <v>128</v>
      </c>
      <c r="P1479" s="15">
        <v>0</v>
      </c>
      <c r="Q1479" s="15">
        <v>0</v>
      </c>
      <c r="R1479" s="5" t="s">
        <v>2553</v>
      </c>
    </row>
    <row r="1480" spans="1:18" hidden="1" x14ac:dyDescent="0.3">
      <c r="A1480" s="5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45291</v>
      </c>
      <c r="G1480" s="5">
        <v>2023</v>
      </c>
      <c r="H1480" s="5" t="s">
        <v>23</v>
      </c>
      <c r="I1480" s="6" t="s">
        <v>28</v>
      </c>
      <c r="J1480" s="5">
        <v>100</v>
      </c>
      <c r="K1480" s="5">
        <v>85.45</v>
      </c>
      <c r="L1480" s="14">
        <f t="shared" si="88"/>
        <v>0.85450000000000004</v>
      </c>
      <c r="M1480" s="14">
        <f t="shared" si="89"/>
        <v>0.85450000000000004</v>
      </c>
      <c r="N1480" s="5" t="s">
        <v>128</v>
      </c>
      <c r="O1480" s="5" t="s">
        <v>128</v>
      </c>
      <c r="P1480" s="5">
        <v>0</v>
      </c>
      <c r="Q1480" s="5">
        <v>0</v>
      </c>
      <c r="R1480" s="5" t="s">
        <v>733</v>
      </c>
    </row>
    <row r="1481" spans="1:18" hidden="1" x14ac:dyDescent="0.3">
      <c r="A1481" s="21">
        <v>297</v>
      </c>
      <c r="B1481" s="5" t="s">
        <v>734</v>
      </c>
      <c r="C1481" s="5" t="s">
        <v>732</v>
      </c>
      <c r="D1481" s="5" t="s">
        <v>64</v>
      </c>
      <c r="E1481" s="5" t="s">
        <v>41</v>
      </c>
      <c r="F1481" s="71">
        <v>45169</v>
      </c>
      <c r="G1481" s="5">
        <v>2023</v>
      </c>
      <c r="H1481" s="5" t="s">
        <v>1546</v>
      </c>
      <c r="I1481" s="6" t="s">
        <v>28</v>
      </c>
      <c r="J1481" s="5">
        <v>20</v>
      </c>
      <c r="K1481" s="10">
        <v>0</v>
      </c>
      <c r="L1481" s="14" t="str">
        <f t="shared" si="88"/>
        <v/>
      </c>
      <c r="M1481" s="14" t="str">
        <f t="shared" si="89"/>
        <v/>
      </c>
      <c r="N1481" s="5" t="s">
        <v>128</v>
      </c>
      <c r="O1481" s="5" t="s">
        <v>128</v>
      </c>
      <c r="P1481" s="15">
        <v>0</v>
      </c>
      <c r="Q1481" s="15">
        <v>0</v>
      </c>
      <c r="R1481" s="5" t="s">
        <v>2554</v>
      </c>
    </row>
    <row r="1482" spans="1:18" hidden="1" x14ac:dyDescent="0.3">
      <c r="A1482" s="5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45230</v>
      </c>
      <c r="G1482" s="5">
        <v>2023</v>
      </c>
      <c r="H1482" s="5" t="s">
        <v>150</v>
      </c>
      <c r="I1482" s="6" t="s">
        <v>28</v>
      </c>
      <c r="J1482" s="5">
        <v>20</v>
      </c>
      <c r="K1482" s="5">
        <v>1.19</v>
      </c>
      <c r="L1482" s="14">
        <f t="shared" si="88"/>
        <v>1.3</v>
      </c>
      <c r="M1482" s="14">
        <f t="shared" si="89"/>
        <v>16.806722689075631</v>
      </c>
      <c r="N1482" s="5" t="s">
        <v>128</v>
      </c>
      <c r="O1482" s="5" t="s">
        <v>136</v>
      </c>
      <c r="P1482" s="5">
        <v>2</v>
      </c>
      <c r="Q1482" s="5">
        <v>2</v>
      </c>
      <c r="R1482" s="5" t="s">
        <v>2555</v>
      </c>
    </row>
    <row r="1483" spans="1:18" hidden="1" x14ac:dyDescent="0.3">
      <c r="A1483" s="21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20</v>
      </c>
      <c r="K1483" s="10">
        <v>0.93</v>
      </c>
      <c r="L1483" s="14">
        <f t="shared" si="88"/>
        <v>1.3</v>
      </c>
      <c r="M1483" s="14">
        <f t="shared" si="89"/>
        <v>21.50537634408602</v>
      </c>
      <c r="N1483" s="5" t="s">
        <v>128</v>
      </c>
      <c r="O1483" s="5" t="s">
        <v>136</v>
      </c>
      <c r="P1483" s="15">
        <v>0</v>
      </c>
      <c r="Q1483" s="15">
        <v>0</v>
      </c>
      <c r="R1483" s="5" t="s">
        <v>735</v>
      </c>
    </row>
    <row r="1484" spans="1:18" hidden="1" x14ac:dyDescent="0.3">
      <c r="A1484" s="21">
        <v>298</v>
      </c>
      <c r="B1484" s="5" t="s">
        <v>736</v>
      </c>
      <c r="C1484" s="5" t="s">
        <v>732</v>
      </c>
      <c r="D1484" s="5" t="s">
        <v>27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/>
      <c r="K1484" s="10">
        <v>1</v>
      </c>
      <c r="L1484" s="14"/>
      <c r="M1484" s="14"/>
      <c r="N1484" s="5" t="s">
        <v>355</v>
      </c>
      <c r="O1484" s="5" t="s">
        <v>136</v>
      </c>
      <c r="P1484" s="15">
        <v>0</v>
      </c>
      <c r="Q1484" s="15">
        <v>0</v>
      </c>
      <c r="R1484" s="5" t="s">
        <v>737</v>
      </c>
    </row>
    <row r="1485" spans="1:18" hidden="1" x14ac:dyDescent="0.3">
      <c r="A1485" s="5">
        <v>300</v>
      </c>
      <c r="B1485" s="5" t="s">
        <v>738</v>
      </c>
      <c r="C1485" s="5" t="s">
        <v>739</v>
      </c>
      <c r="D1485" s="5" t="s">
        <v>21</v>
      </c>
      <c r="E1485" s="5" t="s">
        <v>22</v>
      </c>
      <c r="F1485" s="71">
        <v>45016</v>
      </c>
      <c r="G1485" s="5">
        <v>2023</v>
      </c>
      <c r="H1485" s="5" t="s">
        <v>1516</v>
      </c>
      <c r="I1485" s="6" t="s">
        <v>1512</v>
      </c>
      <c r="J1485" s="5">
        <v>100</v>
      </c>
      <c r="K1485" s="5">
        <v>100</v>
      </c>
      <c r="L1485" s="14">
        <f t="shared" ref="L1485:L1512" si="90">IFERROR(IF(OR(J1485=0,K1485=""),"",IF(E1485="Positivo",MIN(MAX(K1485/J1485,0),1.3),MIN(MAX(J1485/K1485,0),1.3))),"")</f>
        <v>1</v>
      </c>
      <c r="M1485" s="14">
        <f t="shared" ref="M1485:M1512" si="91">IFERROR(IF(OR(J1485=0,K1485=""),"",IF(E1485="Positivo",MAX(K1485/J1485,0),MAX(J1485/K1485,0))),"")</f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2556</v>
      </c>
    </row>
    <row r="1486" spans="1:18" hidden="1" x14ac:dyDescent="0.3">
      <c r="A1486" s="21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1512</v>
      </c>
      <c r="J1486" s="5">
        <v>100</v>
      </c>
      <c r="K1486" s="10">
        <v>100</v>
      </c>
      <c r="L1486" s="14">
        <f t="shared" si="90"/>
        <v>1</v>
      </c>
      <c r="M1486" s="14">
        <f t="shared" si="91"/>
        <v>1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2557</v>
      </c>
    </row>
    <row r="1487" spans="1:18" hidden="1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45199</v>
      </c>
      <c r="G1487" s="5">
        <v>2023</v>
      </c>
      <c r="H1487" s="5" t="s">
        <v>162</v>
      </c>
      <c r="I1487" s="6" t="s">
        <v>28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hidden="1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45291</v>
      </c>
      <c r="G1488" s="5">
        <v>2023</v>
      </c>
      <c r="H1488" s="5" t="s">
        <v>23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740</v>
      </c>
    </row>
    <row r="1489" spans="1:18" hidden="1" x14ac:dyDescent="0.3">
      <c r="A1489" s="5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45382</v>
      </c>
      <c r="G1489" s="5">
        <v>2024</v>
      </c>
      <c r="H1489" s="5" t="s">
        <v>1516</v>
      </c>
      <c r="I1489" s="6" t="s">
        <v>729</v>
      </c>
      <c r="J1489" s="5">
        <v>100</v>
      </c>
      <c r="K1489" s="5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2559</v>
      </c>
    </row>
    <row r="1490" spans="1:18" hidden="1" x14ac:dyDescent="0.3">
      <c r="A1490" s="21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45473</v>
      </c>
      <c r="G1490" s="5">
        <v>2024</v>
      </c>
      <c r="H1490" s="5" t="s">
        <v>699</v>
      </c>
      <c r="I1490" s="6" t="s">
        <v>729</v>
      </c>
      <c r="J1490" s="5">
        <v>100</v>
      </c>
      <c r="K1490" s="10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2560</v>
      </c>
    </row>
    <row r="1491" spans="1:18" hidden="1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45565</v>
      </c>
      <c r="G1491" s="5">
        <v>2024</v>
      </c>
      <c r="H1491" s="5" t="s">
        <v>162</v>
      </c>
      <c r="I1491" s="6" t="s">
        <v>30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hidden="1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45657</v>
      </c>
      <c r="G1492" s="5">
        <v>2024</v>
      </c>
      <c r="H1492" s="5" t="s">
        <v>23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741</v>
      </c>
    </row>
    <row r="1493" spans="1:18" hidden="1" x14ac:dyDescent="0.3">
      <c r="A1493" s="5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45747</v>
      </c>
      <c r="G1493" s="5">
        <v>2025</v>
      </c>
      <c r="H1493" s="5" t="s">
        <v>1516</v>
      </c>
      <c r="I1493" s="6" t="s">
        <v>700</v>
      </c>
      <c r="J1493" s="5">
        <v>100</v>
      </c>
      <c r="K1493" s="5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2562</v>
      </c>
    </row>
    <row r="1494" spans="1:18" hidden="1" x14ac:dyDescent="0.3">
      <c r="A1494" s="21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45838</v>
      </c>
      <c r="G1494" s="5">
        <v>2025</v>
      </c>
      <c r="H1494" s="5" t="s">
        <v>699</v>
      </c>
      <c r="I1494" s="6" t="s">
        <v>700</v>
      </c>
      <c r="J1494" s="5">
        <v>100</v>
      </c>
      <c r="K1494" s="10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2563</v>
      </c>
    </row>
    <row r="1495" spans="1:18" hidden="1" x14ac:dyDescent="0.3">
      <c r="A1495" s="21">
        <v>300</v>
      </c>
      <c r="B1495" s="5" t="s">
        <v>738</v>
      </c>
      <c r="C1495" s="5" t="s">
        <v>739</v>
      </c>
      <c r="D1495" s="5" t="s">
        <v>27</v>
      </c>
      <c r="E1495" s="5" t="s">
        <v>22</v>
      </c>
      <c r="F1495" s="71">
        <v>45930</v>
      </c>
      <c r="G1495" s="5">
        <v>2025</v>
      </c>
      <c r="H1495" s="5" t="s">
        <v>162</v>
      </c>
      <c r="I1495" s="6" t="s">
        <v>32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hidden="1" x14ac:dyDescent="0.3">
      <c r="A1496" s="5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46022</v>
      </c>
      <c r="G1496" s="5">
        <v>2025</v>
      </c>
      <c r="H1496" s="5" t="s">
        <v>23</v>
      </c>
      <c r="I1496" s="6" t="s">
        <v>32</v>
      </c>
      <c r="J1496" s="5">
        <v>100</v>
      </c>
      <c r="K1496" s="5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742</v>
      </c>
    </row>
    <row r="1497" spans="1:18" hidden="1" x14ac:dyDescent="0.3">
      <c r="A1497" s="21">
        <v>301</v>
      </c>
      <c r="B1497" s="5" t="s">
        <v>743</v>
      </c>
      <c r="C1497" s="5" t="s">
        <v>739</v>
      </c>
      <c r="D1497" s="5" t="s">
        <v>21</v>
      </c>
      <c r="E1497" s="5" t="s">
        <v>22</v>
      </c>
      <c r="F1497" s="71">
        <v>45016</v>
      </c>
      <c r="G1497" s="5">
        <v>2023</v>
      </c>
      <c r="H1497" s="5" t="s">
        <v>1516</v>
      </c>
      <c r="I1497" s="6" t="s">
        <v>1512</v>
      </c>
      <c r="J1497" s="5">
        <v>100</v>
      </c>
      <c r="K1497" s="10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2565</v>
      </c>
    </row>
    <row r="1498" spans="1:18" hidden="1" x14ac:dyDescent="0.3">
      <c r="A1498" s="21">
        <v>301</v>
      </c>
      <c r="B1498" s="20" t="s">
        <v>743</v>
      </c>
      <c r="C1498" s="5" t="s">
        <v>739</v>
      </c>
      <c r="D1498" s="5" t="s">
        <v>21</v>
      </c>
      <c r="E1498" s="5" t="s">
        <v>22</v>
      </c>
      <c r="F1498" s="71">
        <v>45107</v>
      </c>
      <c r="G1498" s="5">
        <v>2023</v>
      </c>
      <c r="H1498" s="5" t="s">
        <v>699</v>
      </c>
      <c r="I1498" s="6" t="s">
        <v>1512</v>
      </c>
      <c r="J1498" s="5">
        <v>100</v>
      </c>
      <c r="K1498" s="52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hidden="1" x14ac:dyDescent="0.3">
      <c r="A1499" s="21">
        <v>301</v>
      </c>
      <c r="B1499" s="5" t="s">
        <v>743</v>
      </c>
      <c r="C1499" s="5" t="s">
        <v>739</v>
      </c>
      <c r="D1499" s="5" t="s">
        <v>21</v>
      </c>
      <c r="E1499" s="5" t="s">
        <v>22</v>
      </c>
      <c r="F1499" s="71">
        <v>45199</v>
      </c>
      <c r="G1499" s="5">
        <v>2023</v>
      </c>
      <c r="H1499" s="5" t="s">
        <v>162</v>
      </c>
      <c r="I1499" s="6" t="s">
        <v>28</v>
      </c>
      <c r="J1499" s="5">
        <v>100</v>
      </c>
      <c r="K1499" s="15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hidden="1" x14ac:dyDescent="0.3">
      <c r="A1500" s="21">
        <v>301</v>
      </c>
      <c r="B1500" s="20" t="s">
        <v>743</v>
      </c>
      <c r="C1500" s="5" t="s">
        <v>739</v>
      </c>
      <c r="D1500" s="5" t="s">
        <v>21</v>
      </c>
      <c r="E1500" s="5" t="s">
        <v>22</v>
      </c>
      <c r="F1500" s="71">
        <v>45291</v>
      </c>
      <c r="G1500" s="5">
        <v>2023</v>
      </c>
      <c r="H1500" s="5" t="s">
        <v>23</v>
      </c>
      <c r="I1500" s="6" t="s">
        <v>28</v>
      </c>
      <c r="J1500" s="5">
        <v>100</v>
      </c>
      <c r="K1500" s="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744</v>
      </c>
    </row>
    <row r="1501" spans="1:18" hidden="1" x14ac:dyDescent="0.3">
      <c r="A1501" s="21">
        <v>301</v>
      </c>
      <c r="B1501" s="5" t="s">
        <v>743</v>
      </c>
      <c r="C1501" s="5" t="s">
        <v>739</v>
      </c>
      <c r="D1501" s="5" t="s">
        <v>21</v>
      </c>
      <c r="E1501" s="5" t="s">
        <v>22</v>
      </c>
      <c r="F1501" s="71">
        <v>45382</v>
      </c>
      <c r="G1501" s="5">
        <v>2024</v>
      </c>
      <c r="H1501" s="5" t="s">
        <v>1516</v>
      </c>
      <c r="I1501" s="6" t="s">
        <v>729</v>
      </c>
      <c r="J1501" s="5">
        <v>100</v>
      </c>
      <c r="K1501" s="10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2568</v>
      </c>
    </row>
    <row r="1502" spans="1:18" hidden="1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45473</v>
      </c>
      <c r="G1502" s="5">
        <v>2024</v>
      </c>
      <c r="H1502" s="5" t="s">
        <v>699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hidden="1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45565</v>
      </c>
      <c r="G1503" s="5">
        <v>2024</v>
      </c>
      <c r="H1503" s="5" t="s">
        <v>162</v>
      </c>
      <c r="I1503" s="6" t="s">
        <v>30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hidden="1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45657</v>
      </c>
      <c r="G1504" s="5">
        <v>2024</v>
      </c>
      <c r="H1504" s="5" t="s">
        <v>23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745</v>
      </c>
    </row>
    <row r="1505" spans="1:19" hidden="1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45747</v>
      </c>
      <c r="G1505" s="5">
        <v>2025</v>
      </c>
      <c r="H1505" s="5" t="s">
        <v>1516</v>
      </c>
      <c r="I1505" s="6" t="s">
        <v>700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2571</v>
      </c>
    </row>
    <row r="1506" spans="1:19" hidden="1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45838</v>
      </c>
      <c r="G1506" s="5">
        <v>2025</v>
      </c>
      <c r="H1506" s="5" t="s">
        <v>699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hidden="1" x14ac:dyDescent="0.3">
      <c r="A1507" s="21">
        <v>301</v>
      </c>
      <c r="B1507" s="5" t="s">
        <v>743</v>
      </c>
      <c r="C1507" s="5" t="s">
        <v>739</v>
      </c>
      <c r="D1507" s="5" t="s">
        <v>27</v>
      </c>
      <c r="E1507" s="5" t="s">
        <v>22</v>
      </c>
      <c r="F1507" s="71">
        <v>45930</v>
      </c>
      <c r="G1507" s="5">
        <v>2025</v>
      </c>
      <c r="H1507" s="5" t="s">
        <v>162</v>
      </c>
      <c r="I1507" s="6" t="s">
        <v>32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hidden="1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46022</v>
      </c>
      <c r="G1508" s="5">
        <v>2025</v>
      </c>
      <c r="H1508" s="5" t="s">
        <v>23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746</v>
      </c>
    </row>
    <row r="1509" spans="1:19" hidden="1" x14ac:dyDescent="0.3">
      <c r="A1509" s="21">
        <v>302</v>
      </c>
      <c r="B1509" s="5" t="s">
        <v>747</v>
      </c>
      <c r="C1509" s="5" t="s">
        <v>619</v>
      </c>
      <c r="D1509" s="5" t="s">
        <v>27</v>
      </c>
      <c r="E1509" s="5" t="s">
        <v>22</v>
      </c>
      <c r="F1509" s="71">
        <v>45107</v>
      </c>
      <c r="G1509" s="5">
        <v>2023</v>
      </c>
      <c r="H1509" s="5" t="s">
        <v>699</v>
      </c>
      <c r="I1509" s="6" t="s">
        <v>1512</v>
      </c>
      <c r="J1509" s="5">
        <v>0</v>
      </c>
      <c r="K1509" s="10">
        <v>0</v>
      </c>
      <c r="L1509" s="14" t="str">
        <f t="shared" si="90"/>
        <v/>
      </c>
      <c r="M1509" s="14" t="str">
        <f t="shared" si="91"/>
        <v/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2574</v>
      </c>
    </row>
    <row r="1510" spans="1:19" hidden="1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748</v>
      </c>
    </row>
    <row r="1511" spans="1:19" hidden="1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45473</v>
      </c>
      <c r="G1511" s="5">
        <v>2024</v>
      </c>
      <c r="H1511" s="5" t="s">
        <v>699</v>
      </c>
      <c r="I1511" s="6" t="s">
        <v>729</v>
      </c>
      <c r="J1511" s="5">
        <v>0</v>
      </c>
      <c r="K1511" s="10">
        <v>17878</v>
      </c>
      <c r="L1511" s="14" t="str">
        <f t="shared" si="90"/>
        <v/>
      </c>
      <c r="M1511" s="14" t="str">
        <f t="shared" si="91"/>
        <v/>
      </c>
      <c r="N1511" s="5">
        <v>0</v>
      </c>
      <c r="O1511" s="5" t="s">
        <v>128</v>
      </c>
      <c r="P1511" s="15">
        <v>0</v>
      </c>
      <c r="Q1511" s="15">
        <v>0</v>
      </c>
      <c r="R1511" s="5" t="s">
        <v>2575</v>
      </c>
    </row>
    <row r="1512" spans="1:19" hidden="1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45657</v>
      </c>
      <c r="G1512" s="5">
        <v>2024</v>
      </c>
      <c r="H1512" s="5" t="s">
        <v>23</v>
      </c>
      <c r="I1512" s="6" t="s">
        <v>30</v>
      </c>
      <c r="J1512" s="5">
        <v>0</v>
      </c>
      <c r="K1512" s="10">
        <v>19142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749</v>
      </c>
    </row>
    <row r="1513" spans="1:19" hidden="1" x14ac:dyDescent="0.3">
      <c r="A1513" s="21">
        <v>302</v>
      </c>
      <c r="B1513" s="5" t="s">
        <v>750</v>
      </c>
      <c r="C1513" s="5" t="s">
        <v>619</v>
      </c>
      <c r="D1513" s="5" t="s">
        <v>21</v>
      </c>
      <c r="E1513" s="5" t="s">
        <v>22</v>
      </c>
      <c r="F1513" s="71">
        <v>45838</v>
      </c>
      <c r="G1513" s="5">
        <v>2025</v>
      </c>
      <c r="H1513" s="5" t="s">
        <v>699</v>
      </c>
      <c r="I1513" s="6" t="s">
        <v>700</v>
      </c>
      <c r="J1513" s="5"/>
      <c r="K1513" s="10">
        <v>21712</v>
      </c>
      <c r="L1513" s="14"/>
      <c r="M1513" s="14"/>
      <c r="N1513" s="5" t="s">
        <v>25</v>
      </c>
      <c r="O1513" s="5" t="s">
        <v>128</v>
      </c>
      <c r="P1513" s="15">
        <v>0</v>
      </c>
      <c r="Q1513" s="15">
        <v>0</v>
      </c>
      <c r="R1513" s="5" t="s">
        <v>2576</v>
      </c>
      <c r="S1513" t="s">
        <v>263</v>
      </c>
    </row>
    <row r="1514" spans="1:19" hidden="1" x14ac:dyDescent="0.3">
      <c r="A1514" s="5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46022</v>
      </c>
      <c r="G1514" s="5">
        <v>2025</v>
      </c>
      <c r="H1514" s="5" t="s">
        <v>23</v>
      </c>
      <c r="I1514" s="6" t="s">
        <v>32</v>
      </c>
      <c r="J1514" s="5"/>
      <c r="K1514" s="5">
        <v>31371</v>
      </c>
      <c r="L1514" s="14"/>
      <c r="M1514" s="14"/>
      <c r="N1514" s="5" t="s">
        <v>25</v>
      </c>
      <c r="O1514" s="5" t="s">
        <v>128</v>
      </c>
      <c r="P1514" s="5">
        <v>0</v>
      </c>
      <c r="Q1514" s="5">
        <v>0</v>
      </c>
      <c r="R1514" s="5" t="s">
        <v>751</v>
      </c>
      <c r="S1514" t="s">
        <v>263</v>
      </c>
    </row>
    <row r="1515" spans="1:19" hidden="1" x14ac:dyDescent="0.3">
      <c r="A1515" s="21">
        <v>303</v>
      </c>
      <c r="B1515" s="5" t="s">
        <v>752</v>
      </c>
      <c r="C1515" s="5" t="s">
        <v>753</v>
      </c>
      <c r="D1515" s="5" t="s">
        <v>27</v>
      </c>
      <c r="E1515" s="5" t="s">
        <v>22</v>
      </c>
      <c r="F1515" s="71">
        <v>45107</v>
      </c>
      <c r="G1515" s="5">
        <v>2023</v>
      </c>
      <c r="H1515" s="5" t="s">
        <v>699</v>
      </c>
      <c r="I1515" s="6" t="s">
        <v>1512</v>
      </c>
      <c r="J1515" s="5">
        <v>100</v>
      </c>
      <c r="K1515" s="10">
        <v>75.757575757576006</v>
      </c>
      <c r="L1515" s="14">
        <f t="shared" ref="L1515:L1546" si="92">IFERROR(IF(OR(J1515=0,K1515=""),"",IF(E1515="Positivo",MIN(MAX(K1515/J1515,0),1.3),MIN(MAX(J1515/K1515,0),1.3))),"")</f>
        <v>0.75757575757576001</v>
      </c>
      <c r="M1515" s="14">
        <f t="shared" ref="M1515:M1546" si="93">IFERROR(IF(OR(J1515=0,K1515=""),"",IF(E1515="Positivo",MAX(K1515/J1515,0),MAX(J1515/K1515,0))),"")</f>
        <v>0.75757575757576001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2577</v>
      </c>
    </row>
    <row r="1516" spans="1:19" hidden="1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45291</v>
      </c>
      <c r="G1516" s="5">
        <v>2023</v>
      </c>
      <c r="H1516" s="5" t="s">
        <v>23</v>
      </c>
      <c r="I1516" s="6" t="s">
        <v>28</v>
      </c>
      <c r="J1516" s="5">
        <v>100</v>
      </c>
      <c r="K1516" s="10">
        <v>79.545454545454547</v>
      </c>
      <c r="L1516" s="14">
        <f t="shared" si="92"/>
        <v>0.79545454545454541</v>
      </c>
      <c r="M1516" s="14">
        <f t="shared" si="93"/>
        <v>0.79545454545454541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754</v>
      </c>
    </row>
    <row r="1517" spans="1:19" hidden="1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95</v>
      </c>
      <c r="K1517" s="10">
        <v>100</v>
      </c>
      <c r="L1517" s="14">
        <f t="shared" si="92"/>
        <v>1.0526315789473684</v>
      </c>
      <c r="M1517" s="14">
        <f t="shared" si="93"/>
        <v>1.0526315789473684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2578</v>
      </c>
    </row>
    <row r="1518" spans="1:19" hidden="1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45657</v>
      </c>
      <c r="G1518" s="5">
        <v>2024</v>
      </c>
      <c r="H1518" s="5" t="s">
        <v>23</v>
      </c>
      <c r="I1518" s="6" t="s">
        <v>30</v>
      </c>
      <c r="J1518" s="5">
        <v>95</v>
      </c>
      <c r="K1518" s="10">
        <v>95.652173913043484</v>
      </c>
      <c r="L1518" s="14">
        <f t="shared" si="92"/>
        <v>1.0068649885583525</v>
      </c>
      <c r="M1518" s="14">
        <f t="shared" si="93"/>
        <v>1.0068649885583525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755</v>
      </c>
    </row>
    <row r="1519" spans="1:19" hidden="1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45838</v>
      </c>
      <c r="G1519" s="5">
        <v>2025</v>
      </c>
      <c r="H1519" s="5" t="s">
        <v>699</v>
      </c>
      <c r="I1519" s="6" t="s">
        <v>700</v>
      </c>
      <c r="J1519" s="5">
        <v>95</v>
      </c>
      <c r="K1519" s="10">
        <v>90.32</v>
      </c>
      <c r="L1519" s="14">
        <f t="shared" si="92"/>
        <v>0.9507368421052631</v>
      </c>
      <c r="M1519" s="14">
        <f t="shared" si="93"/>
        <v>0.9507368421052631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2579</v>
      </c>
    </row>
    <row r="1520" spans="1:19" hidden="1" x14ac:dyDescent="0.3">
      <c r="A1520" s="21">
        <v>303</v>
      </c>
      <c r="B1520" s="5" t="s">
        <v>752</v>
      </c>
      <c r="C1520" s="5" t="s">
        <v>753</v>
      </c>
      <c r="D1520" s="5" t="s">
        <v>21</v>
      </c>
      <c r="E1520" s="5" t="s">
        <v>22</v>
      </c>
      <c r="F1520" s="71">
        <v>46022</v>
      </c>
      <c r="G1520" s="5">
        <v>2025</v>
      </c>
      <c r="H1520" s="5" t="s">
        <v>23</v>
      </c>
      <c r="I1520" s="6" t="s">
        <v>32</v>
      </c>
      <c r="J1520" s="5">
        <v>95</v>
      </c>
      <c r="K1520" s="10">
        <v>100</v>
      </c>
      <c r="L1520" s="14">
        <f t="shared" si="92"/>
        <v>1.0526315789473684</v>
      </c>
      <c r="M1520" s="14">
        <f t="shared" si="93"/>
        <v>1.0526315789473684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756</v>
      </c>
    </row>
    <row r="1521" spans="1:18" hidden="1" x14ac:dyDescent="0.3">
      <c r="A1521" s="21">
        <v>304</v>
      </c>
      <c r="B1521" s="5" t="s">
        <v>757</v>
      </c>
      <c r="C1521" s="5" t="s">
        <v>753</v>
      </c>
      <c r="D1521" s="5" t="s">
        <v>27</v>
      </c>
      <c r="E1521" s="5" t="s">
        <v>22</v>
      </c>
      <c r="F1521" s="71">
        <v>45107</v>
      </c>
      <c r="G1521" s="5">
        <v>2023</v>
      </c>
      <c r="H1521" s="5" t="s">
        <v>699</v>
      </c>
      <c r="I1521" s="6" t="s">
        <v>1512</v>
      </c>
      <c r="J1521" s="5">
        <v>100</v>
      </c>
      <c r="K1521" s="10">
        <v>189.86</v>
      </c>
      <c r="L1521" s="14">
        <f t="shared" si="92"/>
        <v>1.3</v>
      </c>
      <c r="M1521" s="14">
        <f t="shared" si="93"/>
        <v>1.8986000000000001</v>
      </c>
      <c r="N1521" s="5" t="s">
        <v>128</v>
      </c>
      <c r="O1521" s="5" t="s">
        <v>128</v>
      </c>
      <c r="P1521" s="15">
        <v>0</v>
      </c>
      <c r="Q1521" s="15">
        <v>0</v>
      </c>
      <c r="R1521" s="5" t="s">
        <v>2580</v>
      </c>
    </row>
    <row r="1522" spans="1:18" hidden="1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45291</v>
      </c>
      <c r="G1522" s="5">
        <v>2023</v>
      </c>
      <c r="H1522" s="5" t="s">
        <v>23</v>
      </c>
      <c r="I1522" s="6" t="s">
        <v>28</v>
      </c>
      <c r="J1522" s="5">
        <v>100</v>
      </c>
      <c r="K1522" s="10">
        <v>176.33</v>
      </c>
      <c r="L1522" s="14">
        <f t="shared" si="92"/>
        <v>1.3</v>
      </c>
      <c r="M1522" s="14">
        <f t="shared" si="93"/>
        <v>1.7633000000000001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758</v>
      </c>
    </row>
    <row r="1523" spans="1:18" hidden="1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45473</v>
      </c>
      <c r="G1523" s="5">
        <v>2024</v>
      </c>
      <c r="H1523" s="5" t="s">
        <v>699</v>
      </c>
      <c r="I1523" s="6" t="s">
        <v>729</v>
      </c>
      <c r="J1523" s="5">
        <v>100</v>
      </c>
      <c r="K1523" s="10">
        <v>100.12</v>
      </c>
      <c r="L1523" s="14">
        <f t="shared" si="92"/>
        <v>1.0012000000000001</v>
      </c>
      <c r="M1523" s="14">
        <f t="shared" si="93"/>
        <v>1.0012000000000001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2581</v>
      </c>
    </row>
    <row r="1524" spans="1:18" hidden="1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45657</v>
      </c>
      <c r="G1524" s="5">
        <v>2024</v>
      </c>
      <c r="H1524" s="5" t="s">
        <v>23</v>
      </c>
      <c r="I1524" s="6" t="s">
        <v>30</v>
      </c>
      <c r="J1524" s="5">
        <v>100</v>
      </c>
      <c r="K1524" s="10">
        <v>83.56</v>
      </c>
      <c r="L1524" s="14">
        <f t="shared" si="92"/>
        <v>0.83560000000000001</v>
      </c>
      <c r="M1524" s="14">
        <f t="shared" si="93"/>
        <v>0.83560000000000001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759</v>
      </c>
    </row>
    <row r="1525" spans="1:18" hidden="1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45838</v>
      </c>
      <c r="G1525" s="5">
        <v>2025</v>
      </c>
      <c r="H1525" s="5" t="s">
        <v>699</v>
      </c>
      <c r="I1525" s="6" t="s">
        <v>700</v>
      </c>
      <c r="J1525" s="5">
        <v>100</v>
      </c>
      <c r="K1525" s="10">
        <v>98.47</v>
      </c>
      <c r="L1525" s="14">
        <f t="shared" si="92"/>
        <v>0.98470000000000002</v>
      </c>
      <c r="M1525" s="14">
        <f t="shared" si="93"/>
        <v>0.98470000000000002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2582</v>
      </c>
    </row>
    <row r="1526" spans="1:18" hidden="1" x14ac:dyDescent="0.3">
      <c r="A1526" s="21">
        <v>304</v>
      </c>
      <c r="B1526" s="5" t="s">
        <v>757</v>
      </c>
      <c r="C1526" s="5" t="s">
        <v>753</v>
      </c>
      <c r="D1526" s="5" t="s">
        <v>21</v>
      </c>
      <c r="E1526" s="5" t="s">
        <v>22</v>
      </c>
      <c r="F1526" s="71">
        <v>46022</v>
      </c>
      <c r="G1526" s="5">
        <v>2025</v>
      </c>
      <c r="H1526" s="5" t="s">
        <v>23</v>
      </c>
      <c r="I1526" s="6" t="s">
        <v>32</v>
      </c>
      <c r="J1526" s="5">
        <v>100</v>
      </c>
      <c r="K1526" s="10">
        <v>116.09</v>
      </c>
      <c r="L1526" s="14">
        <f t="shared" si="92"/>
        <v>1.1609</v>
      </c>
      <c r="M1526" s="14">
        <f t="shared" si="93"/>
        <v>1.1609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760</v>
      </c>
    </row>
    <row r="1527" spans="1:18" hidden="1" x14ac:dyDescent="0.3">
      <c r="A1527" s="21">
        <v>305</v>
      </c>
      <c r="B1527" s="5" t="s">
        <v>761</v>
      </c>
      <c r="C1527" s="5" t="s">
        <v>753</v>
      </c>
      <c r="D1527" s="5" t="s">
        <v>71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2"/>
        <v>1</v>
      </c>
      <c r="M1527" s="14">
        <f t="shared" si="93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762</v>
      </c>
    </row>
    <row r="1528" spans="1:18" hidden="1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45657</v>
      </c>
      <c r="G1528" s="5">
        <v>2024</v>
      </c>
      <c r="H1528" s="5" t="s">
        <v>23</v>
      </c>
      <c r="I1528" s="6" t="s">
        <v>30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763</v>
      </c>
    </row>
    <row r="1529" spans="1:18" hidden="1" x14ac:dyDescent="0.3">
      <c r="A1529" s="21">
        <v>306</v>
      </c>
      <c r="B1529" s="5" t="s">
        <v>764</v>
      </c>
      <c r="C1529" s="5" t="s">
        <v>554</v>
      </c>
      <c r="D1529" s="5" t="s">
        <v>27</v>
      </c>
      <c r="E1529" s="5" t="s">
        <v>22</v>
      </c>
      <c r="F1529" s="71">
        <v>45016</v>
      </c>
      <c r="G1529" s="5">
        <v>2023</v>
      </c>
      <c r="H1529" s="5" t="s">
        <v>1516</v>
      </c>
      <c r="I1529" s="6" t="s">
        <v>1512</v>
      </c>
      <c r="J1529" s="5">
        <v>100</v>
      </c>
      <c r="K1529" s="10">
        <v>0</v>
      </c>
      <c r="L1529" s="14">
        <f t="shared" si="92"/>
        <v>0</v>
      </c>
      <c r="M1529" s="14">
        <f t="shared" si="93"/>
        <v>0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2583</v>
      </c>
    </row>
    <row r="1530" spans="1:18" hidden="1" x14ac:dyDescent="0.3">
      <c r="A1530" s="21">
        <v>306</v>
      </c>
      <c r="B1530" s="5" t="s">
        <v>764</v>
      </c>
      <c r="C1530" s="5" t="s">
        <v>554</v>
      </c>
      <c r="D1530" s="5" t="s">
        <v>21</v>
      </c>
      <c r="E1530" s="5" t="s">
        <v>22</v>
      </c>
      <c r="F1530" s="71">
        <v>45107</v>
      </c>
      <c r="G1530" s="5">
        <v>2023</v>
      </c>
      <c r="H1530" s="5" t="s">
        <v>699</v>
      </c>
      <c r="I1530" s="6" t="s">
        <v>1512</v>
      </c>
      <c r="J1530" s="5">
        <v>100</v>
      </c>
      <c r="K1530" s="10">
        <v>723</v>
      </c>
      <c r="L1530" s="14">
        <f t="shared" si="92"/>
        <v>1.3</v>
      </c>
      <c r="M1530" s="14">
        <f t="shared" si="93"/>
        <v>7.23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hidden="1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45199</v>
      </c>
      <c r="G1531" s="5">
        <v>2023</v>
      </c>
      <c r="H1531" s="5" t="s">
        <v>162</v>
      </c>
      <c r="I1531" s="6" t="s">
        <v>28</v>
      </c>
      <c r="J1531" s="5">
        <v>100</v>
      </c>
      <c r="K1531" s="10">
        <v>98</v>
      </c>
      <c r="L1531" s="14">
        <f t="shared" si="92"/>
        <v>0.98</v>
      </c>
      <c r="M1531" s="14">
        <f t="shared" si="93"/>
        <v>0.98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hidden="1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45291</v>
      </c>
      <c r="G1532" s="5">
        <v>2023</v>
      </c>
      <c r="H1532" s="5" t="s">
        <v>23</v>
      </c>
      <c r="I1532" s="6" t="s">
        <v>28</v>
      </c>
      <c r="J1532" s="5">
        <v>100</v>
      </c>
      <c r="K1532" s="10">
        <v>626</v>
      </c>
      <c r="L1532" s="14">
        <f t="shared" si="92"/>
        <v>1.3</v>
      </c>
      <c r="M1532" s="14">
        <f t="shared" si="93"/>
        <v>6.26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765</v>
      </c>
    </row>
    <row r="1533" spans="1:18" hidden="1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45382</v>
      </c>
      <c r="G1533" s="5">
        <v>2024</v>
      </c>
      <c r="H1533" s="5" t="s">
        <v>1516</v>
      </c>
      <c r="I1533" s="6" t="s">
        <v>729</v>
      </c>
      <c r="J1533" s="5">
        <v>100</v>
      </c>
      <c r="K1533" s="10">
        <v>0</v>
      </c>
      <c r="L1533" s="14">
        <f t="shared" si="92"/>
        <v>0</v>
      </c>
      <c r="M1533" s="14">
        <f t="shared" si="93"/>
        <v>0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2586</v>
      </c>
    </row>
    <row r="1534" spans="1:18" hidden="1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45473</v>
      </c>
      <c r="G1534" s="5">
        <v>2024</v>
      </c>
      <c r="H1534" s="5" t="s">
        <v>699</v>
      </c>
      <c r="I1534" s="6" t="s">
        <v>729</v>
      </c>
      <c r="J1534" s="5">
        <v>100</v>
      </c>
      <c r="K1534" s="10">
        <v>601</v>
      </c>
      <c r="L1534" s="14">
        <f t="shared" si="92"/>
        <v>1.3</v>
      </c>
      <c r="M1534" s="14">
        <f t="shared" si="93"/>
        <v>6.01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hidden="1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45565</v>
      </c>
      <c r="G1535" s="5">
        <v>2024</v>
      </c>
      <c r="H1535" s="5" t="s">
        <v>162</v>
      </c>
      <c r="I1535" s="6" t="s">
        <v>30</v>
      </c>
      <c r="J1535" s="5">
        <v>100</v>
      </c>
      <c r="K1535" s="10">
        <v>0</v>
      </c>
      <c r="L1535" s="14">
        <f t="shared" si="92"/>
        <v>0</v>
      </c>
      <c r="M1535" s="14">
        <f t="shared" si="93"/>
        <v>0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hidden="1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45657</v>
      </c>
      <c r="G1536" s="5">
        <v>2024</v>
      </c>
      <c r="H1536" s="5" t="s">
        <v>23</v>
      </c>
      <c r="I1536" s="6" t="s">
        <v>30</v>
      </c>
      <c r="J1536" s="5">
        <v>100</v>
      </c>
      <c r="K1536" s="10">
        <v>101</v>
      </c>
      <c r="L1536" s="14">
        <f t="shared" si="92"/>
        <v>1.01</v>
      </c>
      <c r="M1536" s="14">
        <f t="shared" si="93"/>
        <v>1.01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766</v>
      </c>
    </row>
    <row r="1537" spans="1:18" hidden="1" x14ac:dyDescent="0.3">
      <c r="A1537" s="21">
        <v>306</v>
      </c>
      <c r="B1537" s="5" t="s">
        <v>764</v>
      </c>
      <c r="C1537" s="5" t="s">
        <v>554</v>
      </c>
      <c r="D1537" s="5" t="s">
        <v>27</v>
      </c>
      <c r="E1537" s="5" t="s">
        <v>22</v>
      </c>
      <c r="F1537" s="71">
        <v>45838</v>
      </c>
      <c r="G1537" s="5">
        <v>2025</v>
      </c>
      <c r="H1537" s="5" t="s">
        <v>699</v>
      </c>
      <c r="I1537" s="6" t="s">
        <v>700</v>
      </c>
      <c r="J1537" s="5">
        <v>100</v>
      </c>
      <c r="K1537" s="10">
        <v>108.67</v>
      </c>
      <c r="L1537" s="14">
        <f t="shared" si="92"/>
        <v>1.0867</v>
      </c>
      <c r="M1537" s="14">
        <f t="shared" si="93"/>
        <v>1.0867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2589</v>
      </c>
    </row>
    <row r="1538" spans="1:18" hidden="1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45930</v>
      </c>
      <c r="G1538" s="5">
        <v>2025</v>
      </c>
      <c r="H1538" s="5" t="s">
        <v>162</v>
      </c>
      <c r="I1538" s="6" t="s">
        <v>32</v>
      </c>
      <c r="J1538" s="5">
        <v>100</v>
      </c>
      <c r="K1538" s="10">
        <v>105.83</v>
      </c>
      <c r="L1538" s="14">
        <f t="shared" si="92"/>
        <v>1.0583</v>
      </c>
      <c r="M1538" s="14">
        <f t="shared" si="93"/>
        <v>1.0583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hidden="1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46022</v>
      </c>
      <c r="G1539" s="5">
        <v>2025</v>
      </c>
      <c r="H1539" s="5" t="s">
        <v>23</v>
      </c>
      <c r="I1539" s="6" t="s">
        <v>32</v>
      </c>
      <c r="J1539" s="5">
        <v>100</v>
      </c>
      <c r="K1539" s="10">
        <v>107.62</v>
      </c>
      <c r="L1539" s="14">
        <f t="shared" si="92"/>
        <v>1.0762</v>
      </c>
      <c r="M1539" s="14">
        <f t="shared" si="93"/>
        <v>1.0762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767</v>
      </c>
    </row>
    <row r="1540" spans="1:18" hidden="1" x14ac:dyDescent="0.3">
      <c r="A1540" s="21">
        <v>307</v>
      </c>
      <c r="B1540" s="5" t="s">
        <v>768</v>
      </c>
      <c r="C1540" s="5" t="s">
        <v>246</v>
      </c>
      <c r="D1540" s="5" t="s">
        <v>27</v>
      </c>
      <c r="E1540" s="5" t="s">
        <v>22</v>
      </c>
      <c r="F1540" s="71">
        <v>45107</v>
      </c>
      <c r="G1540" s="5">
        <v>2023</v>
      </c>
      <c r="H1540" s="5" t="s">
        <v>699</v>
      </c>
      <c r="I1540" s="6" t="s">
        <v>1512</v>
      </c>
      <c r="J1540" s="5">
        <v>20</v>
      </c>
      <c r="K1540" s="10">
        <v>25</v>
      </c>
      <c r="L1540" s="14">
        <f t="shared" si="92"/>
        <v>1.25</v>
      </c>
      <c r="M1540" s="14">
        <f t="shared" si="93"/>
        <v>1.25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2591</v>
      </c>
    </row>
    <row r="1541" spans="1:18" hidden="1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45291</v>
      </c>
      <c r="G1541" s="5">
        <v>2023</v>
      </c>
      <c r="H1541" s="5" t="s">
        <v>23</v>
      </c>
      <c r="I1541" s="6" t="s">
        <v>28</v>
      </c>
      <c r="J1541" s="5">
        <v>26</v>
      </c>
      <c r="K1541" s="10">
        <v>82</v>
      </c>
      <c r="L1541" s="14">
        <f t="shared" si="92"/>
        <v>1.3</v>
      </c>
      <c r="M1541" s="14">
        <f t="shared" si="93"/>
        <v>3.1538461538461537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769</v>
      </c>
    </row>
    <row r="1542" spans="1:18" hidden="1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45473</v>
      </c>
      <c r="G1542" s="5">
        <v>2024</v>
      </c>
      <c r="H1542" s="5" t="s">
        <v>699</v>
      </c>
      <c r="I1542" s="6" t="s">
        <v>729</v>
      </c>
      <c r="J1542" s="5">
        <v>100</v>
      </c>
      <c r="K1542" s="10">
        <v>112</v>
      </c>
      <c r="L1542" s="14">
        <f t="shared" si="92"/>
        <v>1.1200000000000001</v>
      </c>
      <c r="M1542" s="14">
        <f t="shared" si="93"/>
        <v>1.1200000000000001</v>
      </c>
      <c r="N1542" s="5" t="s">
        <v>128</v>
      </c>
      <c r="O1542" s="5" t="s">
        <v>128</v>
      </c>
      <c r="P1542" s="15">
        <v>0</v>
      </c>
      <c r="Q1542" s="15">
        <v>0</v>
      </c>
      <c r="R1542" s="5" t="s">
        <v>2592</v>
      </c>
    </row>
    <row r="1543" spans="1:18" hidden="1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45657</v>
      </c>
      <c r="G1543" s="5">
        <v>2024</v>
      </c>
      <c r="H1543" s="5" t="s">
        <v>23</v>
      </c>
      <c r="I1543" s="6" t="s">
        <v>30</v>
      </c>
      <c r="J1543" s="5">
        <v>100</v>
      </c>
      <c r="K1543" s="10">
        <v>413.33</v>
      </c>
      <c r="L1543" s="14">
        <f t="shared" si="92"/>
        <v>1.3</v>
      </c>
      <c r="M1543" s="14">
        <f t="shared" si="93"/>
        <v>4.1333000000000002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770</v>
      </c>
    </row>
    <row r="1544" spans="1:18" hidden="1" x14ac:dyDescent="0.3">
      <c r="A1544" s="21">
        <v>308</v>
      </c>
      <c r="B1544" s="5" t="s">
        <v>771</v>
      </c>
      <c r="C1544" s="5" t="s">
        <v>246</v>
      </c>
      <c r="D1544" s="5" t="s">
        <v>27</v>
      </c>
      <c r="E1544" s="5" t="s">
        <v>22</v>
      </c>
      <c r="F1544" s="71">
        <v>45107</v>
      </c>
      <c r="G1544" s="5">
        <v>2023</v>
      </c>
      <c r="H1544" s="5" t="s">
        <v>699</v>
      </c>
      <c r="I1544" s="6" t="s">
        <v>1512</v>
      </c>
      <c r="J1544" s="5">
        <v>12</v>
      </c>
      <c r="K1544" s="10">
        <v>27</v>
      </c>
      <c r="L1544" s="14">
        <f t="shared" si="92"/>
        <v>1.3</v>
      </c>
      <c r="M1544" s="14">
        <f t="shared" si="93"/>
        <v>2.25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2593</v>
      </c>
    </row>
    <row r="1545" spans="1:18" hidden="1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45291</v>
      </c>
      <c r="G1545" s="5">
        <v>2023</v>
      </c>
      <c r="H1545" s="5" t="s">
        <v>23</v>
      </c>
      <c r="I1545" s="6" t="s">
        <v>28</v>
      </c>
      <c r="J1545" s="5">
        <v>20</v>
      </c>
      <c r="K1545" s="10">
        <v>54</v>
      </c>
      <c r="L1545" s="14">
        <f t="shared" si="92"/>
        <v>1.3</v>
      </c>
      <c r="M1545" s="14">
        <f t="shared" si="93"/>
        <v>2.7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772</v>
      </c>
    </row>
    <row r="1546" spans="1:18" hidden="1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45473</v>
      </c>
      <c r="G1546" s="5">
        <v>2024</v>
      </c>
      <c r="H1546" s="5" t="s">
        <v>699</v>
      </c>
      <c r="I1546" s="6" t="s">
        <v>729</v>
      </c>
      <c r="J1546" s="5">
        <v>100</v>
      </c>
      <c r="K1546" s="10">
        <v>100</v>
      </c>
      <c r="L1546" s="14">
        <f t="shared" si="92"/>
        <v>1</v>
      </c>
      <c r="M1546" s="14">
        <f t="shared" si="93"/>
        <v>1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2594</v>
      </c>
    </row>
    <row r="1547" spans="1:18" hidden="1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45657</v>
      </c>
      <c r="G1547" s="5">
        <v>2024</v>
      </c>
      <c r="H1547" s="5" t="s">
        <v>23</v>
      </c>
      <c r="I1547" s="6" t="s">
        <v>30</v>
      </c>
      <c r="J1547" s="5">
        <v>100</v>
      </c>
      <c r="K1547" s="10">
        <v>100</v>
      </c>
      <c r="L1547" s="14">
        <f t="shared" ref="L1547:L1578" si="94">IFERROR(IF(OR(J1547=0,K1547=""),"",IF(E1547="Positivo",MIN(MAX(K1547/J1547,0),1.3),MIN(MAX(J1547/K1547,0),1.3))),"")</f>
        <v>1</v>
      </c>
      <c r="M1547" s="14">
        <f t="shared" ref="M1547:M1578" si="95">IFERROR(IF(OR(J1547=0,K1547=""),"",IF(E1547="Positivo",MAX(K1547/J1547,0),MAX(J1547/K1547,0))),"")</f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773</v>
      </c>
    </row>
    <row r="1548" spans="1:18" hidden="1" x14ac:dyDescent="0.3">
      <c r="A1548" s="21">
        <v>309</v>
      </c>
      <c r="B1548" s="5" t="s">
        <v>774</v>
      </c>
      <c r="C1548" s="5" t="s">
        <v>246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1512</v>
      </c>
      <c r="J1548" s="5">
        <v>19</v>
      </c>
      <c r="K1548" s="10">
        <v>27</v>
      </c>
      <c r="L1548" s="14">
        <f t="shared" si="94"/>
        <v>1.3</v>
      </c>
      <c r="M1548" s="14">
        <f t="shared" si="95"/>
        <v>1.4210526315789473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2595</v>
      </c>
    </row>
    <row r="1549" spans="1:18" hidden="1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45</v>
      </c>
      <c r="K1549" s="9">
        <v>76</v>
      </c>
      <c r="L1549" s="14">
        <f t="shared" si="94"/>
        <v>1.3</v>
      </c>
      <c r="M1549" s="14">
        <f t="shared" si="95"/>
        <v>1.6888888888888889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775</v>
      </c>
    </row>
    <row r="1550" spans="1:18" hidden="1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216</v>
      </c>
      <c r="L1550" s="14">
        <f t="shared" si="94"/>
        <v>1.3</v>
      </c>
      <c r="M1550" s="14">
        <f t="shared" si="95"/>
        <v>2.16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2596</v>
      </c>
    </row>
    <row r="1551" spans="1:18" hidden="1" x14ac:dyDescent="0.3">
      <c r="A1551" s="21">
        <v>309</v>
      </c>
      <c r="B1551" s="5" t="s">
        <v>776</v>
      </c>
      <c r="C1551" s="5" t="s">
        <v>246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154.66999999999999</v>
      </c>
      <c r="L1551" s="14">
        <f t="shared" si="94"/>
        <v>1.3</v>
      </c>
      <c r="M1551" s="14">
        <f t="shared" si="95"/>
        <v>1.5467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777</v>
      </c>
    </row>
    <row r="1552" spans="1:18" hidden="1" x14ac:dyDescent="0.3">
      <c r="A1552" s="21">
        <v>310</v>
      </c>
      <c r="B1552" s="5" t="s">
        <v>778</v>
      </c>
      <c r="C1552" s="5" t="s">
        <v>246</v>
      </c>
      <c r="D1552" s="5" t="s">
        <v>27</v>
      </c>
      <c r="E1552" s="5" t="s">
        <v>22</v>
      </c>
      <c r="F1552" s="71">
        <v>45107</v>
      </c>
      <c r="G1552" s="5">
        <v>2023</v>
      </c>
      <c r="H1552" s="5" t="s">
        <v>699</v>
      </c>
      <c r="I1552" s="6" t="s">
        <v>1512</v>
      </c>
      <c r="J1552" s="5">
        <v>14</v>
      </c>
      <c r="K1552" s="53">
        <v>48</v>
      </c>
      <c r="L1552" s="14">
        <f t="shared" si="94"/>
        <v>1.3</v>
      </c>
      <c r="M1552" s="14">
        <f t="shared" si="95"/>
        <v>3.4285714285714284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2597</v>
      </c>
    </row>
    <row r="1553" spans="1:18" hidden="1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45291</v>
      </c>
      <c r="G1553" s="5">
        <v>2023</v>
      </c>
      <c r="H1553" s="5" t="s">
        <v>23</v>
      </c>
      <c r="I1553" s="6" t="s">
        <v>28</v>
      </c>
      <c r="J1553" s="5">
        <v>70</v>
      </c>
      <c r="K1553" s="53">
        <v>118</v>
      </c>
      <c r="L1553" s="14">
        <f t="shared" si="94"/>
        <v>1.3</v>
      </c>
      <c r="M1553" s="14">
        <f t="shared" si="95"/>
        <v>1.6857142857142857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779</v>
      </c>
    </row>
    <row r="1554" spans="1:18" hidden="1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45473</v>
      </c>
      <c r="G1554" s="5">
        <v>2024</v>
      </c>
      <c r="H1554" s="5" t="s">
        <v>699</v>
      </c>
      <c r="I1554" s="6" t="s">
        <v>729</v>
      </c>
      <c r="J1554" s="5">
        <v>100</v>
      </c>
      <c r="K1554" s="53">
        <v>95.56</v>
      </c>
      <c r="L1554" s="14">
        <f t="shared" si="94"/>
        <v>0.9556</v>
      </c>
      <c r="M1554" s="14">
        <f t="shared" si="95"/>
        <v>0.9556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2598</v>
      </c>
    </row>
    <row r="1555" spans="1:18" hidden="1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79.13</v>
      </c>
      <c r="L1555" s="14">
        <f t="shared" si="94"/>
        <v>0.7913</v>
      </c>
      <c r="M1555" s="14">
        <f t="shared" si="95"/>
        <v>0.7913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780</v>
      </c>
    </row>
    <row r="1556" spans="1:18" hidden="1" x14ac:dyDescent="0.3">
      <c r="A1556" s="21">
        <v>311</v>
      </c>
      <c r="B1556" s="5" t="s">
        <v>781</v>
      </c>
      <c r="C1556" s="5" t="s">
        <v>246</v>
      </c>
      <c r="D1556" s="5" t="s">
        <v>27</v>
      </c>
      <c r="E1556" s="5" t="s">
        <v>22</v>
      </c>
      <c r="F1556" s="71">
        <v>45107</v>
      </c>
      <c r="G1556" s="5">
        <v>2023</v>
      </c>
      <c r="H1556" s="5" t="s">
        <v>699</v>
      </c>
      <c r="I1556" s="6" t="s">
        <v>1512</v>
      </c>
      <c r="J1556" s="5">
        <v>22</v>
      </c>
      <c r="K1556" s="10">
        <v>85</v>
      </c>
      <c r="L1556" s="14">
        <f t="shared" si="94"/>
        <v>1.3</v>
      </c>
      <c r="M1556" s="14">
        <f t="shared" si="95"/>
        <v>3.8636363636363638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2599</v>
      </c>
    </row>
    <row r="1557" spans="1:18" hidden="1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45291</v>
      </c>
      <c r="G1557" s="5">
        <v>2023</v>
      </c>
      <c r="H1557" s="5" t="s">
        <v>23</v>
      </c>
      <c r="I1557" s="6" t="s">
        <v>28</v>
      </c>
      <c r="J1557" s="5">
        <v>245</v>
      </c>
      <c r="K1557" s="10">
        <v>247</v>
      </c>
      <c r="L1557" s="14">
        <f t="shared" si="94"/>
        <v>1.0081632653061225</v>
      </c>
      <c r="M1557" s="14">
        <f t="shared" si="95"/>
        <v>1.0081632653061225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782</v>
      </c>
    </row>
    <row r="1558" spans="1:18" hidden="1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45473</v>
      </c>
      <c r="G1558" s="5">
        <v>2024</v>
      </c>
      <c r="H1558" s="5" t="s">
        <v>699</v>
      </c>
      <c r="I1558" s="6" t="s">
        <v>729</v>
      </c>
      <c r="J1558" s="5">
        <v>100</v>
      </c>
      <c r="K1558" s="10">
        <v>117.65</v>
      </c>
      <c r="L1558" s="14">
        <f t="shared" si="94"/>
        <v>1.1765000000000001</v>
      </c>
      <c r="M1558" s="14">
        <f t="shared" si="95"/>
        <v>1.1765000000000001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2600</v>
      </c>
    </row>
    <row r="1559" spans="1:18" hidden="1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45657</v>
      </c>
      <c r="G1559" s="5">
        <v>2024</v>
      </c>
      <c r="H1559" s="5" t="s">
        <v>23</v>
      </c>
      <c r="I1559" s="6" t="s">
        <v>30</v>
      </c>
      <c r="J1559" s="5">
        <v>100</v>
      </c>
      <c r="K1559" s="9">
        <v>67.760000000000005</v>
      </c>
      <c r="L1559" s="14">
        <f t="shared" si="94"/>
        <v>0.67760000000000009</v>
      </c>
      <c r="M1559" s="14">
        <f t="shared" si="95"/>
        <v>0.67760000000000009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783</v>
      </c>
    </row>
    <row r="1560" spans="1:18" hidden="1" x14ac:dyDescent="0.3">
      <c r="A1560" s="21">
        <v>312</v>
      </c>
      <c r="B1560" s="5" t="s">
        <v>784</v>
      </c>
      <c r="C1560" s="5" t="s">
        <v>246</v>
      </c>
      <c r="D1560" s="5" t="s">
        <v>27</v>
      </c>
      <c r="E1560" s="5" t="s">
        <v>22</v>
      </c>
      <c r="F1560" s="71">
        <v>45107</v>
      </c>
      <c r="G1560" s="5">
        <v>2023</v>
      </c>
      <c r="H1560" s="5" t="s">
        <v>699</v>
      </c>
      <c r="I1560" s="6" t="s">
        <v>1512</v>
      </c>
      <c r="J1560" s="5">
        <v>113</v>
      </c>
      <c r="K1560" s="9">
        <v>125</v>
      </c>
      <c r="L1560" s="14">
        <f t="shared" si="94"/>
        <v>1.1061946902654867</v>
      </c>
      <c r="M1560" s="14">
        <f t="shared" si="95"/>
        <v>1.1061946902654867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2601</v>
      </c>
    </row>
    <row r="1561" spans="1:18" hidden="1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45291</v>
      </c>
      <c r="G1561" s="5">
        <v>2023</v>
      </c>
      <c r="H1561" s="5" t="s">
        <v>23</v>
      </c>
      <c r="I1561" s="6" t="s">
        <v>28</v>
      </c>
      <c r="J1561" s="5">
        <v>108</v>
      </c>
      <c r="K1561" s="9">
        <v>118</v>
      </c>
      <c r="L1561" s="14">
        <f t="shared" si="94"/>
        <v>1.0925925925925926</v>
      </c>
      <c r="M1561" s="14">
        <f t="shared" si="95"/>
        <v>1.0925925925925926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785</v>
      </c>
    </row>
    <row r="1562" spans="1:18" hidden="1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45473</v>
      </c>
      <c r="G1562" s="5">
        <v>2024</v>
      </c>
      <c r="H1562" s="5" t="s">
        <v>699</v>
      </c>
      <c r="I1562" s="6" t="s">
        <v>729</v>
      </c>
      <c r="J1562" s="5">
        <v>100</v>
      </c>
      <c r="K1562" s="9">
        <v>126</v>
      </c>
      <c r="L1562" s="14">
        <f t="shared" si="94"/>
        <v>1.26</v>
      </c>
      <c r="M1562" s="14">
        <f t="shared" si="95"/>
        <v>1.26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2602</v>
      </c>
    </row>
    <row r="1563" spans="1:18" hidden="1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137</v>
      </c>
      <c r="L1563" s="14">
        <f t="shared" si="94"/>
        <v>1.3</v>
      </c>
      <c r="M1563" s="14">
        <f t="shared" si="95"/>
        <v>1.37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786</v>
      </c>
    </row>
    <row r="1564" spans="1:18" hidden="1" x14ac:dyDescent="0.3">
      <c r="A1564" s="21">
        <v>313</v>
      </c>
      <c r="B1564" s="5" t="s">
        <v>787</v>
      </c>
      <c r="C1564" s="5" t="s">
        <v>246</v>
      </c>
      <c r="D1564" s="5" t="s">
        <v>27</v>
      </c>
      <c r="E1564" s="5" t="s">
        <v>22</v>
      </c>
      <c r="F1564" s="71">
        <v>45107</v>
      </c>
      <c r="G1564" s="5">
        <v>2023</v>
      </c>
      <c r="H1564" s="5" t="s">
        <v>699</v>
      </c>
      <c r="I1564" s="6" t="s">
        <v>1512</v>
      </c>
      <c r="J1564" s="5">
        <v>13</v>
      </c>
      <c r="K1564" s="10">
        <v>13</v>
      </c>
      <c r="L1564" s="14">
        <f t="shared" si="94"/>
        <v>1</v>
      </c>
      <c r="M1564" s="14">
        <f t="shared" si="95"/>
        <v>1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2603</v>
      </c>
    </row>
    <row r="1565" spans="1:18" hidden="1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45291</v>
      </c>
      <c r="G1565" s="5">
        <v>2023</v>
      </c>
      <c r="H1565" s="5" t="s">
        <v>23</v>
      </c>
      <c r="I1565" s="6" t="s">
        <v>28</v>
      </c>
      <c r="J1565" s="5">
        <v>15</v>
      </c>
      <c r="K1565" s="9">
        <v>12</v>
      </c>
      <c r="L1565" s="14">
        <f t="shared" si="94"/>
        <v>0.8</v>
      </c>
      <c r="M1565" s="14">
        <f t="shared" si="95"/>
        <v>0.8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788</v>
      </c>
    </row>
    <row r="1566" spans="1:18" hidden="1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45473</v>
      </c>
      <c r="G1566" s="5">
        <v>2024</v>
      </c>
      <c r="H1566" s="5" t="s">
        <v>699</v>
      </c>
      <c r="I1566" s="6" t="s">
        <v>729</v>
      </c>
      <c r="J1566" s="5">
        <v>100</v>
      </c>
      <c r="K1566" s="9">
        <v>100</v>
      </c>
      <c r="L1566" s="14">
        <f t="shared" si="94"/>
        <v>1</v>
      </c>
      <c r="M1566" s="14">
        <f t="shared" si="95"/>
        <v>1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2604</v>
      </c>
    </row>
    <row r="1567" spans="1:18" hidden="1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45657</v>
      </c>
      <c r="G1567" s="5">
        <v>2024</v>
      </c>
      <c r="H1567" s="5" t="s">
        <v>23</v>
      </c>
      <c r="I1567" s="6" t="s">
        <v>30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789</v>
      </c>
    </row>
    <row r="1568" spans="1:18" hidden="1" x14ac:dyDescent="0.3">
      <c r="A1568" s="21">
        <v>314</v>
      </c>
      <c r="B1568" s="5" t="s">
        <v>790</v>
      </c>
      <c r="C1568" s="5" t="s">
        <v>246</v>
      </c>
      <c r="D1568" s="5" t="s">
        <v>27</v>
      </c>
      <c r="E1568" s="5" t="s">
        <v>22</v>
      </c>
      <c r="F1568" s="71">
        <v>45107</v>
      </c>
      <c r="G1568" s="5">
        <v>2023</v>
      </c>
      <c r="H1568" s="5" t="s">
        <v>699</v>
      </c>
      <c r="I1568" s="6" t="s">
        <v>1512</v>
      </c>
      <c r="J1568" s="5">
        <v>9</v>
      </c>
      <c r="K1568" s="9">
        <v>13</v>
      </c>
      <c r="L1568" s="14">
        <f t="shared" si="94"/>
        <v>1.3</v>
      </c>
      <c r="M1568" s="14">
        <f t="shared" si="95"/>
        <v>1.4444444444444444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2605</v>
      </c>
    </row>
    <row r="1569" spans="1:18" hidden="1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45291</v>
      </c>
      <c r="G1569" s="5">
        <v>2023</v>
      </c>
      <c r="H1569" s="5" t="s">
        <v>23</v>
      </c>
      <c r="I1569" s="6" t="s">
        <v>28</v>
      </c>
      <c r="J1569" s="5">
        <v>14</v>
      </c>
      <c r="K1569" s="9">
        <v>16</v>
      </c>
      <c r="L1569" s="14">
        <f t="shared" si="94"/>
        <v>1.1428571428571428</v>
      </c>
      <c r="M1569" s="14">
        <f t="shared" si="95"/>
        <v>1.1428571428571428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791</v>
      </c>
    </row>
    <row r="1570" spans="1:18" hidden="1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45473</v>
      </c>
      <c r="G1570" s="5">
        <v>2024</v>
      </c>
      <c r="H1570" s="5" t="s">
        <v>699</v>
      </c>
      <c r="I1570" s="6" t="s">
        <v>729</v>
      </c>
      <c r="J1570" s="5">
        <v>100</v>
      </c>
      <c r="K1570" s="10">
        <v>140</v>
      </c>
      <c r="L1570" s="14">
        <f t="shared" si="94"/>
        <v>1.3</v>
      </c>
      <c r="M1570" s="14">
        <f t="shared" si="95"/>
        <v>1.4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2606</v>
      </c>
    </row>
    <row r="1571" spans="1:18" hidden="1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45657</v>
      </c>
      <c r="G1571" s="5">
        <v>2024</v>
      </c>
      <c r="H1571" s="5" t="s">
        <v>23</v>
      </c>
      <c r="I1571" s="6" t="s">
        <v>30</v>
      </c>
      <c r="J1571" s="5">
        <v>100</v>
      </c>
      <c r="K1571" s="9">
        <v>145</v>
      </c>
      <c r="L1571" s="14">
        <f t="shared" si="94"/>
        <v>1.3</v>
      </c>
      <c r="M1571" s="14">
        <f t="shared" si="95"/>
        <v>1.45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792</v>
      </c>
    </row>
    <row r="1572" spans="1:18" hidden="1" x14ac:dyDescent="0.3">
      <c r="A1572" s="21">
        <v>315</v>
      </c>
      <c r="B1572" s="5" t="s">
        <v>793</v>
      </c>
      <c r="C1572" s="5" t="s">
        <v>246</v>
      </c>
      <c r="D1572" s="5" t="s">
        <v>27</v>
      </c>
      <c r="E1572" s="5" t="s">
        <v>22</v>
      </c>
      <c r="F1572" s="71">
        <v>45107</v>
      </c>
      <c r="G1572" s="5">
        <v>2023</v>
      </c>
      <c r="H1572" s="5" t="s">
        <v>699</v>
      </c>
      <c r="I1572" s="6" t="s">
        <v>1512</v>
      </c>
      <c r="J1572" s="5">
        <v>5</v>
      </c>
      <c r="K1572" s="9">
        <v>7</v>
      </c>
      <c r="L1572" s="14">
        <f t="shared" si="94"/>
        <v>1.3</v>
      </c>
      <c r="M1572" s="14">
        <f t="shared" si="95"/>
        <v>1.4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2607</v>
      </c>
    </row>
    <row r="1573" spans="1:18" hidden="1" x14ac:dyDescent="0.3">
      <c r="A1573" s="21">
        <v>316</v>
      </c>
      <c r="B1573" s="5" t="s">
        <v>797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9</v>
      </c>
      <c r="K1573" s="9">
        <v>11</v>
      </c>
      <c r="L1573" s="14">
        <f t="shared" si="94"/>
        <v>1.2222222222222223</v>
      </c>
      <c r="M1573" s="14">
        <f t="shared" si="95"/>
        <v>1.2222222222222223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hidden="1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45291</v>
      </c>
      <c r="G1574" s="5">
        <v>2023</v>
      </c>
      <c r="H1574" s="5" t="s">
        <v>23</v>
      </c>
      <c r="I1574" s="6" t="s">
        <v>28</v>
      </c>
      <c r="J1574" s="5">
        <v>12</v>
      </c>
      <c r="K1574" s="9">
        <v>11</v>
      </c>
      <c r="L1574" s="14">
        <f t="shared" si="94"/>
        <v>0.91666666666666663</v>
      </c>
      <c r="M1574" s="14">
        <f t="shared" si="95"/>
        <v>0.91666666666666663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798</v>
      </c>
    </row>
    <row r="1575" spans="1:18" hidden="1" x14ac:dyDescent="0.3">
      <c r="A1575" s="21">
        <v>317</v>
      </c>
      <c r="B1575" s="5" t="s">
        <v>799</v>
      </c>
      <c r="C1575" s="5" t="s">
        <v>246</v>
      </c>
      <c r="D1575" s="5" t="s">
        <v>71</v>
      </c>
      <c r="E1575" s="5" t="s">
        <v>22</v>
      </c>
      <c r="F1575" s="79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12">
        <v>12</v>
      </c>
      <c r="L1575" s="14">
        <f t="shared" si="94"/>
        <v>1</v>
      </c>
      <c r="M1575" s="14">
        <f t="shared" si="95"/>
        <v>1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800</v>
      </c>
    </row>
    <row r="1576" spans="1:18" hidden="1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45657</v>
      </c>
      <c r="G1576" s="5">
        <v>2024</v>
      </c>
      <c r="H1576" s="5" t="s">
        <v>23</v>
      </c>
      <c r="I1576" s="6" t="s">
        <v>30</v>
      </c>
      <c r="J1576" s="5">
        <v>100</v>
      </c>
      <c r="K1576" s="12">
        <v>100</v>
      </c>
      <c r="L1576" s="14">
        <f t="shared" si="94"/>
        <v>1</v>
      </c>
      <c r="M1576" s="14">
        <f t="shared" si="95"/>
        <v>1</v>
      </c>
      <c r="N1576" s="5"/>
      <c r="O1576" s="5"/>
      <c r="P1576" s="15">
        <v>0</v>
      </c>
      <c r="Q1576" s="15">
        <v>0</v>
      </c>
      <c r="R1576" s="5" t="s">
        <v>801</v>
      </c>
    </row>
    <row r="1577" spans="1:18" hidden="1" x14ac:dyDescent="0.3">
      <c r="A1577" s="21">
        <v>318</v>
      </c>
      <c r="B1577" s="5" t="s">
        <v>802</v>
      </c>
      <c r="C1577" s="5" t="s">
        <v>246</v>
      </c>
      <c r="D1577" s="5" t="s">
        <v>27</v>
      </c>
      <c r="E1577" s="5" t="s">
        <v>22</v>
      </c>
      <c r="F1577" s="79">
        <v>45107</v>
      </c>
      <c r="G1577" s="5">
        <v>2023</v>
      </c>
      <c r="H1577" s="5" t="s">
        <v>699</v>
      </c>
      <c r="I1577" s="6" t="s">
        <v>1512</v>
      </c>
      <c r="J1577" s="5">
        <v>80</v>
      </c>
      <c r="K1577" s="12">
        <v>85.981308411214997</v>
      </c>
      <c r="L1577" s="14">
        <f t="shared" si="94"/>
        <v>1.0747663551401874</v>
      </c>
      <c r="M1577" s="14">
        <f t="shared" si="95"/>
        <v>1.0747663551401874</v>
      </c>
      <c r="N1577" s="5" t="s">
        <v>25</v>
      </c>
      <c r="O1577" s="5" t="s">
        <v>25</v>
      </c>
      <c r="P1577" s="15">
        <v>0</v>
      </c>
      <c r="Q1577" s="15">
        <v>0</v>
      </c>
      <c r="R1577" s="5" t="s">
        <v>2609</v>
      </c>
    </row>
    <row r="1578" spans="1:18" hidden="1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45291</v>
      </c>
      <c r="G1578" s="5">
        <v>2023</v>
      </c>
      <c r="H1578" s="5" t="s">
        <v>23</v>
      </c>
      <c r="I1578" s="6" t="s">
        <v>28</v>
      </c>
      <c r="J1578" s="5">
        <v>80</v>
      </c>
      <c r="K1578" s="12">
        <v>90.909090909090907</v>
      </c>
      <c r="L1578" s="14">
        <f t="shared" si="94"/>
        <v>1.1363636363636362</v>
      </c>
      <c r="M1578" s="14">
        <f t="shared" si="95"/>
        <v>1.1363636363636362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803</v>
      </c>
    </row>
    <row r="1579" spans="1:18" hidden="1" x14ac:dyDescent="0.3">
      <c r="A1579" s="21">
        <v>318</v>
      </c>
      <c r="B1579" s="5" t="s">
        <v>804</v>
      </c>
      <c r="C1579" s="5" t="s">
        <v>246</v>
      </c>
      <c r="D1579" s="5" t="s">
        <v>71</v>
      </c>
      <c r="E1579" s="5" t="s">
        <v>22</v>
      </c>
      <c r="F1579" s="79">
        <v>45657</v>
      </c>
      <c r="G1579" s="5">
        <v>2024</v>
      </c>
      <c r="H1579" s="5" t="s">
        <v>23</v>
      </c>
      <c r="I1579" s="6" t="s">
        <v>30</v>
      </c>
      <c r="J1579" s="5">
        <v>80</v>
      </c>
      <c r="K1579" s="12">
        <v>90.28</v>
      </c>
      <c r="L1579" s="14">
        <f t="shared" ref="L1579:L1609" si="96">IFERROR(IF(OR(J1579=0,K1579=""),"",IF(E1579="Positivo",MIN(MAX(K1579/J1579,0),1.3),MIN(MAX(J1579/K1579,0),1.3))),"")</f>
        <v>1.1285000000000001</v>
      </c>
      <c r="M1579" s="14">
        <f t="shared" ref="M1579:M1609" si="97">IFERROR(IF(OR(J1579=0,K1579=""),"",IF(E1579="Positivo",MAX(K1579/J1579,0),MAX(J1579/K1579,0))),"")</f>
        <v>1.1285000000000001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805</v>
      </c>
    </row>
    <row r="1580" spans="1:18" hidden="1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46022</v>
      </c>
      <c r="G1580" s="5">
        <v>2025</v>
      </c>
      <c r="H1580" s="5" t="s">
        <v>23</v>
      </c>
      <c r="I1580" s="6" t="s">
        <v>32</v>
      </c>
      <c r="J1580" s="5">
        <v>85</v>
      </c>
      <c r="K1580" s="5">
        <v>86.16</v>
      </c>
      <c r="L1580" s="14">
        <f t="shared" si="96"/>
        <v>1.0136470588235293</v>
      </c>
      <c r="M1580" s="14">
        <f t="shared" si="97"/>
        <v>1.0136470588235293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806</v>
      </c>
    </row>
    <row r="1581" spans="1:18" hidden="1" x14ac:dyDescent="0.3">
      <c r="A1581" s="21">
        <v>319</v>
      </c>
      <c r="B1581" s="5" t="s">
        <v>807</v>
      </c>
      <c r="C1581" s="5" t="s">
        <v>246</v>
      </c>
      <c r="D1581" s="5" t="s">
        <v>27</v>
      </c>
      <c r="E1581" s="5" t="s">
        <v>22</v>
      </c>
      <c r="F1581" s="79">
        <v>45107</v>
      </c>
      <c r="G1581" s="5">
        <v>2023</v>
      </c>
      <c r="H1581" s="5" t="s">
        <v>699</v>
      </c>
      <c r="I1581" s="6" t="s">
        <v>1512</v>
      </c>
      <c r="J1581" s="5">
        <v>100</v>
      </c>
      <c r="K1581" s="9">
        <v>80</v>
      </c>
      <c r="L1581" s="14">
        <f t="shared" si="96"/>
        <v>0.8</v>
      </c>
      <c r="M1581" s="14">
        <f t="shared" si="97"/>
        <v>0.8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2610</v>
      </c>
    </row>
    <row r="1582" spans="1:18" hidden="1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45291</v>
      </c>
      <c r="G1582" s="5">
        <v>2023</v>
      </c>
      <c r="H1582" s="5" t="s">
        <v>23</v>
      </c>
      <c r="I1582" s="6" t="s">
        <v>28</v>
      </c>
      <c r="J1582" s="5">
        <v>100</v>
      </c>
      <c r="K1582" s="9">
        <v>100</v>
      </c>
      <c r="L1582" s="14">
        <f t="shared" si="96"/>
        <v>1</v>
      </c>
      <c r="M1582" s="14">
        <f t="shared" si="97"/>
        <v>1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808</v>
      </c>
    </row>
    <row r="1583" spans="1:18" hidden="1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45473</v>
      </c>
      <c r="G1583" s="5">
        <v>2024</v>
      </c>
      <c r="H1583" s="5" t="s">
        <v>699</v>
      </c>
      <c r="I1583" s="6" t="s">
        <v>729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2611</v>
      </c>
    </row>
    <row r="1584" spans="1:18" hidden="1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45657</v>
      </c>
      <c r="G1584" s="5">
        <v>2024</v>
      </c>
      <c r="H1584" s="5" t="s">
        <v>23</v>
      </c>
      <c r="I1584" s="6" t="s">
        <v>30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809</v>
      </c>
    </row>
    <row r="1585" spans="1:18" hidden="1" x14ac:dyDescent="0.3">
      <c r="A1585" s="21">
        <v>320</v>
      </c>
      <c r="B1585" s="5" t="s">
        <v>810</v>
      </c>
      <c r="C1585" s="5" t="s">
        <v>246</v>
      </c>
      <c r="D1585" s="5" t="s">
        <v>27</v>
      </c>
      <c r="E1585" s="5" t="s">
        <v>22</v>
      </c>
      <c r="F1585" s="71">
        <v>45107</v>
      </c>
      <c r="G1585" s="5">
        <v>2023</v>
      </c>
      <c r="H1585" s="5" t="s">
        <v>699</v>
      </c>
      <c r="I1585" s="6" t="s">
        <v>1512</v>
      </c>
      <c r="J1585" s="5">
        <v>26</v>
      </c>
      <c r="K1585" s="5">
        <v>12</v>
      </c>
      <c r="L1585" s="14">
        <f t="shared" si="96"/>
        <v>0.46153846153846156</v>
      </c>
      <c r="M1585" s="14">
        <f t="shared" si="97"/>
        <v>0.46153846153846156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2612</v>
      </c>
    </row>
    <row r="1586" spans="1:18" hidden="1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45291</v>
      </c>
      <c r="G1586" s="5">
        <v>2023</v>
      </c>
      <c r="H1586" s="5" t="s">
        <v>23</v>
      </c>
      <c r="I1586" s="6" t="s">
        <v>28</v>
      </c>
      <c r="J1586" s="5">
        <v>15</v>
      </c>
      <c r="K1586" s="5">
        <v>17</v>
      </c>
      <c r="L1586" s="14">
        <f t="shared" si="96"/>
        <v>1.1333333333333333</v>
      </c>
      <c r="M1586" s="14">
        <f t="shared" si="97"/>
        <v>1.1333333333333333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811</v>
      </c>
    </row>
    <row r="1587" spans="1:18" hidden="1" x14ac:dyDescent="0.3">
      <c r="A1587" s="21">
        <v>320</v>
      </c>
      <c r="B1587" s="5" t="s">
        <v>812</v>
      </c>
      <c r="C1587" s="5" t="s">
        <v>246</v>
      </c>
      <c r="D1587" s="5" t="s">
        <v>27</v>
      </c>
      <c r="E1587" s="5" t="s">
        <v>22</v>
      </c>
      <c r="F1587" s="71">
        <v>45473</v>
      </c>
      <c r="G1587" s="5">
        <v>2024</v>
      </c>
      <c r="H1587" s="5" t="s">
        <v>699</v>
      </c>
      <c r="I1587" s="6" t="s">
        <v>729</v>
      </c>
      <c r="J1587" s="5">
        <v>100</v>
      </c>
      <c r="K1587" s="5">
        <v>140</v>
      </c>
      <c r="L1587" s="14">
        <f t="shared" si="96"/>
        <v>1.3</v>
      </c>
      <c r="M1587" s="14">
        <f t="shared" si="97"/>
        <v>1.4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2613</v>
      </c>
    </row>
    <row r="1588" spans="1:18" hidden="1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45657</v>
      </c>
      <c r="G1588" s="5">
        <v>2024</v>
      </c>
      <c r="H1588" s="5" t="s">
        <v>23</v>
      </c>
      <c r="I1588" s="6" t="s">
        <v>30</v>
      </c>
      <c r="J1588" s="5">
        <v>100</v>
      </c>
      <c r="K1588" s="5">
        <v>115</v>
      </c>
      <c r="L1588" s="14">
        <f t="shared" si="96"/>
        <v>1.1499999999999999</v>
      </c>
      <c r="M1588" s="14">
        <f t="shared" si="97"/>
        <v>1.1499999999999999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813</v>
      </c>
    </row>
    <row r="1589" spans="1:18" hidden="1" x14ac:dyDescent="0.3">
      <c r="A1589" s="21">
        <v>321</v>
      </c>
      <c r="B1589" s="5" t="s">
        <v>814</v>
      </c>
      <c r="C1589" s="5" t="s">
        <v>246</v>
      </c>
      <c r="D1589" s="5" t="s">
        <v>27</v>
      </c>
      <c r="E1589" s="5" t="s">
        <v>22</v>
      </c>
      <c r="F1589" s="71">
        <v>45107</v>
      </c>
      <c r="G1589" s="5">
        <v>2023</v>
      </c>
      <c r="H1589" s="5" t="s">
        <v>699</v>
      </c>
      <c r="I1589" s="6" t="s">
        <v>1512</v>
      </c>
      <c r="J1589" s="5">
        <v>180</v>
      </c>
      <c r="K1589" s="5">
        <v>236</v>
      </c>
      <c r="L1589" s="14">
        <f t="shared" si="96"/>
        <v>1.3</v>
      </c>
      <c r="M1589" s="14">
        <f t="shared" si="97"/>
        <v>1.3111111111111111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2614</v>
      </c>
    </row>
    <row r="1590" spans="1:18" hidden="1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45291</v>
      </c>
      <c r="G1590" s="5">
        <v>2023</v>
      </c>
      <c r="H1590" s="5" t="s">
        <v>23</v>
      </c>
      <c r="I1590" s="6" t="s">
        <v>28</v>
      </c>
      <c r="J1590" s="5">
        <v>180</v>
      </c>
      <c r="K1590" s="5">
        <v>231</v>
      </c>
      <c r="L1590" s="14">
        <f t="shared" si="96"/>
        <v>1.2833333333333334</v>
      </c>
      <c r="M1590" s="14">
        <f t="shared" si="97"/>
        <v>1.2833333333333334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815</v>
      </c>
    </row>
    <row r="1591" spans="1:18" hidden="1" x14ac:dyDescent="0.3">
      <c r="A1591" s="21">
        <v>321</v>
      </c>
      <c r="B1591" s="5" t="s">
        <v>816</v>
      </c>
      <c r="C1591" s="5" t="s">
        <v>246</v>
      </c>
      <c r="D1591" s="5" t="s">
        <v>27</v>
      </c>
      <c r="E1591" s="5" t="s">
        <v>22</v>
      </c>
      <c r="F1591" s="71">
        <v>45473</v>
      </c>
      <c r="G1591" s="5">
        <v>2024</v>
      </c>
      <c r="H1591" s="5" t="s">
        <v>699</v>
      </c>
      <c r="I1591" s="6" t="s">
        <v>729</v>
      </c>
      <c r="J1591" s="5">
        <v>100</v>
      </c>
      <c r="K1591" s="10">
        <v>106.52</v>
      </c>
      <c r="L1591" s="14">
        <f t="shared" si="96"/>
        <v>1.0651999999999999</v>
      </c>
      <c r="M1591" s="14">
        <f t="shared" si="97"/>
        <v>1.0651999999999999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2615</v>
      </c>
    </row>
    <row r="1592" spans="1:18" hidden="1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45657</v>
      </c>
      <c r="G1592" s="5">
        <v>2024</v>
      </c>
      <c r="H1592" s="5" t="s">
        <v>23</v>
      </c>
      <c r="I1592" s="6" t="s">
        <v>30</v>
      </c>
      <c r="J1592" s="5">
        <v>100</v>
      </c>
      <c r="K1592" s="10">
        <v>502.17</v>
      </c>
      <c r="L1592" s="14">
        <f t="shared" si="96"/>
        <v>1.3</v>
      </c>
      <c r="M1592" s="14">
        <f t="shared" si="97"/>
        <v>5.0217000000000001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817</v>
      </c>
    </row>
    <row r="1593" spans="1:18" hidden="1" x14ac:dyDescent="0.3">
      <c r="A1593" s="21">
        <v>323</v>
      </c>
      <c r="B1593" s="5" t="s">
        <v>818</v>
      </c>
      <c r="C1593" s="5" t="s">
        <v>819</v>
      </c>
      <c r="D1593" s="5" t="s">
        <v>27</v>
      </c>
      <c r="E1593" s="5" t="s">
        <v>22</v>
      </c>
      <c r="F1593" s="71">
        <v>45107</v>
      </c>
      <c r="G1593" s="5">
        <v>2023</v>
      </c>
      <c r="H1593" s="5" t="s">
        <v>699</v>
      </c>
      <c r="I1593" s="6" t="s">
        <v>1512</v>
      </c>
      <c r="J1593" s="5">
        <v>100</v>
      </c>
      <c r="K1593" s="5">
        <v>100</v>
      </c>
      <c r="L1593" s="14">
        <f t="shared" si="96"/>
        <v>1</v>
      </c>
      <c r="M1593" s="14">
        <f t="shared" si="97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2616</v>
      </c>
    </row>
    <row r="1594" spans="1:18" hidden="1" x14ac:dyDescent="0.3">
      <c r="A1594" s="5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45291</v>
      </c>
      <c r="G1594" s="5">
        <v>2023</v>
      </c>
      <c r="H1594" s="5" t="s">
        <v>23</v>
      </c>
      <c r="I1594" s="6" t="s">
        <v>28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820</v>
      </c>
    </row>
    <row r="1595" spans="1:18" hidden="1" x14ac:dyDescent="0.3">
      <c r="A1595" s="21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45473</v>
      </c>
      <c r="G1595" s="5">
        <v>2024</v>
      </c>
      <c r="H1595" s="5" t="s">
        <v>699</v>
      </c>
      <c r="I1595" s="6" t="s">
        <v>729</v>
      </c>
      <c r="J1595" s="5">
        <v>100</v>
      </c>
      <c r="K1595" s="10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2617</v>
      </c>
    </row>
    <row r="1596" spans="1:18" hidden="1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45657</v>
      </c>
      <c r="G1596" s="5">
        <v>2024</v>
      </c>
      <c r="H1596" s="5" t="s">
        <v>23</v>
      </c>
      <c r="I1596" s="6" t="s">
        <v>30</v>
      </c>
      <c r="J1596" s="5">
        <v>100</v>
      </c>
      <c r="K1596" s="10">
        <v>0</v>
      </c>
      <c r="L1596" s="14">
        <f t="shared" si="96"/>
        <v>0</v>
      </c>
      <c r="M1596" s="14">
        <f t="shared" si="97"/>
        <v>0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821</v>
      </c>
    </row>
    <row r="1597" spans="1:18" hidden="1" x14ac:dyDescent="0.3">
      <c r="A1597" s="26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45838</v>
      </c>
      <c r="G1597" s="5">
        <v>2025</v>
      </c>
      <c r="H1597" s="5" t="s">
        <v>699</v>
      </c>
      <c r="I1597" s="6" t="s">
        <v>700</v>
      </c>
      <c r="J1597" s="5">
        <v>100</v>
      </c>
      <c r="K1597" s="9">
        <v>100</v>
      </c>
      <c r="L1597" s="14">
        <f t="shared" si="96"/>
        <v>1</v>
      </c>
      <c r="M1597" s="14">
        <f t="shared" si="97"/>
        <v>1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2618</v>
      </c>
    </row>
    <row r="1598" spans="1:18" hidden="1" x14ac:dyDescent="0.3">
      <c r="A1598" s="21">
        <v>323</v>
      </c>
      <c r="B1598" s="5" t="s">
        <v>818</v>
      </c>
      <c r="C1598" s="5" t="s">
        <v>819</v>
      </c>
      <c r="D1598" s="5" t="s">
        <v>21</v>
      </c>
      <c r="E1598" s="5" t="s">
        <v>22</v>
      </c>
      <c r="F1598" s="71">
        <v>46022</v>
      </c>
      <c r="G1598" s="5">
        <v>2025</v>
      </c>
      <c r="H1598" s="5" t="s">
        <v>23</v>
      </c>
      <c r="I1598" s="6" t="s">
        <v>32</v>
      </c>
      <c r="J1598" s="5">
        <v>100</v>
      </c>
      <c r="K1598" s="10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822</v>
      </c>
    </row>
    <row r="1599" spans="1:18" hidden="1" x14ac:dyDescent="0.3">
      <c r="A1599" s="28">
        <v>324</v>
      </c>
      <c r="B1599" s="5" t="s">
        <v>823</v>
      </c>
      <c r="C1599" s="5" t="s">
        <v>819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1512</v>
      </c>
      <c r="J1599" s="5">
        <v>100</v>
      </c>
      <c r="K1599" s="9">
        <v>0</v>
      </c>
      <c r="L1599" s="14">
        <f t="shared" si="96"/>
        <v>0</v>
      </c>
      <c r="M1599" s="14">
        <f t="shared" si="97"/>
        <v>0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2619</v>
      </c>
    </row>
    <row r="1600" spans="1:18" hidden="1" x14ac:dyDescent="0.3">
      <c r="A1600" s="21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45291</v>
      </c>
      <c r="G1600" s="5">
        <v>2023</v>
      </c>
      <c r="H1600" s="5" t="s">
        <v>23</v>
      </c>
      <c r="I1600" s="6" t="s">
        <v>28</v>
      </c>
      <c r="J1600" s="5">
        <v>100</v>
      </c>
      <c r="K1600" s="52">
        <v>100</v>
      </c>
      <c r="L1600" s="14">
        <f t="shared" si="96"/>
        <v>1</v>
      </c>
      <c r="M1600" s="14">
        <f t="shared" si="97"/>
        <v>1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824</v>
      </c>
    </row>
    <row r="1601" spans="1:19" hidden="1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45473</v>
      </c>
      <c r="G1601" s="5">
        <v>2024</v>
      </c>
      <c r="H1601" s="5" t="s">
        <v>699</v>
      </c>
      <c r="I1601" s="6" t="s">
        <v>729</v>
      </c>
      <c r="J1601" s="5">
        <v>100</v>
      </c>
      <c r="K1601" s="10">
        <v>0</v>
      </c>
      <c r="L1601" s="14">
        <f t="shared" si="96"/>
        <v>0</v>
      </c>
      <c r="M1601" s="14">
        <f t="shared" si="97"/>
        <v>0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2620</v>
      </c>
    </row>
    <row r="1602" spans="1:19" hidden="1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45657</v>
      </c>
      <c r="G1602" s="5">
        <v>2024</v>
      </c>
      <c r="H1602" s="5" t="s">
        <v>23</v>
      </c>
      <c r="I1602" s="6" t="s">
        <v>30</v>
      </c>
      <c r="J1602" s="5">
        <v>100</v>
      </c>
      <c r="K1602" s="10">
        <v>100</v>
      </c>
      <c r="L1602" s="14">
        <f t="shared" si="96"/>
        <v>1</v>
      </c>
      <c r="M1602" s="14">
        <f t="shared" si="97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825</v>
      </c>
    </row>
    <row r="1603" spans="1:19" hidden="1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45838</v>
      </c>
      <c r="G1603" s="5">
        <v>2025</v>
      </c>
      <c r="H1603" s="5" t="s">
        <v>699</v>
      </c>
      <c r="I1603" s="6" t="s">
        <v>700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2621</v>
      </c>
    </row>
    <row r="1604" spans="1:19" hidden="1" x14ac:dyDescent="0.3">
      <c r="A1604" s="21">
        <v>324</v>
      </c>
      <c r="B1604" s="5" t="s">
        <v>823</v>
      </c>
      <c r="C1604" s="5" t="s">
        <v>819</v>
      </c>
      <c r="D1604" s="5" t="s">
        <v>21</v>
      </c>
      <c r="E1604" s="5" t="s">
        <v>22</v>
      </c>
      <c r="F1604" s="71">
        <v>46022</v>
      </c>
      <c r="G1604" s="5">
        <v>2025</v>
      </c>
      <c r="H1604" s="5" t="s">
        <v>23</v>
      </c>
      <c r="I1604" s="6" t="s">
        <v>32</v>
      </c>
      <c r="J1604" s="5">
        <v>100</v>
      </c>
      <c r="K1604" s="10">
        <v>200</v>
      </c>
      <c r="L1604" s="14">
        <f t="shared" si="96"/>
        <v>1.3</v>
      </c>
      <c r="M1604" s="14">
        <f t="shared" si="97"/>
        <v>2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826</v>
      </c>
    </row>
    <row r="1605" spans="1:19" hidden="1" x14ac:dyDescent="0.3">
      <c r="A1605" s="5">
        <v>325</v>
      </c>
      <c r="B1605" s="5" t="s">
        <v>827</v>
      </c>
      <c r="C1605" s="5" t="s">
        <v>819</v>
      </c>
      <c r="D1605" s="5" t="s">
        <v>27</v>
      </c>
      <c r="E1605" s="5" t="s">
        <v>22</v>
      </c>
      <c r="F1605" s="71">
        <v>45107</v>
      </c>
      <c r="G1605" s="5">
        <v>2023</v>
      </c>
      <c r="H1605" s="5" t="s">
        <v>699</v>
      </c>
      <c r="I1605" s="6" t="s">
        <v>1512</v>
      </c>
      <c r="J1605" s="5">
        <v>100</v>
      </c>
      <c r="K1605" s="5">
        <v>100</v>
      </c>
      <c r="L1605" s="14">
        <f t="shared" si="96"/>
        <v>1</v>
      </c>
      <c r="M1605" s="14">
        <f t="shared" si="97"/>
        <v>1</v>
      </c>
      <c r="N1605" s="5" t="s">
        <v>128</v>
      </c>
      <c r="O1605" s="5" t="s">
        <v>128</v>
      </c>
      <c r="P1605" s="5">
        <v>0</v>
      </c>
      <c r="Q1605" s="5">
        <v>0</v>
      </c>
      <c r="R1605" s="5" t="s">
        <v>2622</v>
      </c>
    </row>
    <row r="1606" spans="1:19" hidden="1" x14ac:dyDescent="0.3">
      <c r="A1606" s="21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45291</v>
      </c>
      <c r="G1606" s="5">
        <v>2023</v>
      </c>
      <c r="H1606" s="5" t="s">
        <v>23</v>
      </c>
      <c r="I1606" s="6" t="s">
        <v>28</v>
      </c>
      <c r="J1606" s="5">
        <v>100</v>
      </c>
      <c r="K1606" s="53">
        <v>0</v>
      </c>
      <c r="L1606" s="14">
        <f t="shared" si="96"/>
        <v>0</v>
      </c>
      <c r="M1606" s="14">
        <f t="shared" si="97"/>
        <v>0</v>
      </c>
      <c r="N1606" s="5"/>
      <c r="O1606" s="5"/>
      <c r="P1606" s="15">
        <v>0</v>
      </c>
      <c r="Q1606" s="15">
        <v>0</v>
      </c>
      <c r="R1606" s="5" t="s">
        <v>828</v>
      </c>
    </row>
    <row r="1607" spans="1:19" hidden="1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45473</v>
      </c>
      <c r="G1607" s="5">
        <v>2024</v>
      </c>
      <c r="H1607" s="5" t="s">
        <v>699</v>
      </c>
      <c r="I1607" s="6" t="s">
        <v>729</v>
      </c>
      <c r="J1607" s="5">
        <v>100</v>
      </c>
      <c r="K1607" s="10">
        <v>100</v>
      </c>
      <c r="L1607" s="14">
        <f t="shared" si="96"/>
        <v>1</v>
      </c>
      <c r="M1607" s="14">
        <f t="shared" si="97"/>
        <v>1</v>
      </c>
      <c r="N1607" s="5" t="s">
        <v>128</v>
      </c>
      <c r="O1607" s="5" t="s">
        <v>128</v>
      </c>
      <c r="P1607" s="15">
        <v>0</v>
      </c>
      <c r="Q1607" s="15">
        <v>0</v>
      </c>
      <c r="R1607" s="5" t="s">
        <v>2623</v>
      </c>
    </row>
    <row r="1608" spans="1:19" hidden="1" x14ac:dyDescent="0.3">
      <c r="A1608" s="5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45657</v>
      </c>
      <c r="G1608" s="5">
        <v>2024</v>
      </c>
      <c r="H1608" s="5" t="s">
        <v>23</v>
      </c>
      <c r="I1608" s="6" t="s">
        <v>30</v>
      </c>
      <c r="J1608" s="5">
        <v>100</v>
      </c>
      <c r="K1608" s="5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5">
        <v>0</v>
      </c>
      <c r="Q1608" s="5">
        <v>0</v>
      </c>
      <c r="R1608" s="5" t="s">
        <v>829</v>
      </c>
    </row>
    <row r="1609" spans="1:19" hidden="1" x14ac:dyDescent="0.3">
      <c r="A1609" s="21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45838</v>
      </c>
      <c r="G1609" s="5">
        <v>2025</v>
      </c>
      <c r="H1609" s="5" t="s">
        <v>699</v>
      </c>
      <c r="I1609" s="6" t="s">
        <v>700</v>
      </c>
      <c r="J1609" s="5">
        <v>8</v>
      </c>
      <c r="K1609" s="10">
        <v>100</v>
      </c>
      <c r="L1609" s="14">
        <f t="shared" si="96"/>
        <v>1.3</v>
      </c>
      <c r="M1609" s="14">
        <f t="shared" si="97"/>
        <v>12.5</v>
      </c>
      <c r="N1609" s="5" t="s">
        <v>128</v>
      </c>
      <c r="O1609" s="5" t="s">
        <v>128</v>
      </c>
      <c r="P1609" s="15">
        <v>0</v>
      </c>
      <c r="Q1609" s="15">
        <v>0</v>
      </c>
      <c r="R1609" s="5" t="s">
        <v>2624</v>
      </c>
    </row>
    <row r="1610" spans="1:19" hidden="1" x14ac:dyDescent="0.3">
      <c r="A1610" s="5">
        <v>325</v>
      </c>
      <c r="B1610" s="5" t="s">
        <v>2625</v>
      </c>
      <c r="C1610" s="5" t="s">
        <v>819</v>
      </c>
      <c r="D1610" s="5" t="s">
        <v>21</v>
      </c>
      <c r="E1610" s="5" t="s">
        <v>22</v>
      </c>
      <c r="F1610" s="71">
        <v>46022</v>
      </c>
      <c r="G1610" s="5">
        <v>2025</v>
      </c>
      <c r="H1610" s="5" t="s">
        <v>23</v>
      </c>
      <c r="I1610" s="6" t="s">
        <v>32</v>
      </c>
      <c r="J1610" s="5">
        <v>4</v>
      </c>
      <c r="K1610" s="5">
        <v>100</v>
      </c>
      <c r="L1610" s="14"/>
      <c r="M1610" s="14"/>
      <c r="N1610" s="5" t="s">
        <v>128</v>
      </c>
      <c r="O1610" s="5" t="s">
        <v>128</v>
      </c>
      <c r="P1610" s="5">
        <v>0</v>
      </c>
      <c r="Q1610" s="5">
        <v>0</v>
      </c>
      <c r="R1610" s="5" t="s">
        <v>830</v>
      </c>
      <c r="S1610" t="s">
        <v>263</v>
      </c>
    </row>
    <row r="1611" spans="1:19" hidden="1" x14ac:dyDescent="0.3">
      <c r="A1611" s="21">
        <v>326</v>
      </c>
      <c r="B1611" s="5" t="s">
        <v>831</v>
      </c>
      <c r="C1611" s="5" t="s">
        <v>644</v>
      </c>
      <c r="D1611" s="5" t="s">
        <v>71</v>
      </c>
      <c r="E1611" s="5" t="s">
        <v>22</v>
      </c>
      <c r="F1611" s="71">
        <v>45291</v>
      </c>
      <c r="G1611" s="5">
        <v>2023</v>
      </c>
      <c r="H1611" s="5" t="s">
        <v>23</v>
      </c>
      <c r="I1611" s="6" t="s">
        <v>28</v>
      </c>
      <c r="J1611" s="5">
        <v>100</v>
      </c>
      <c r="K1611" s="10">
        <v>100</v>
      </c>
      <c r="L1611" s="14">
        <f>IFERROR(IF(OR(J1611=0,K1611=""),"",IF(E1611="Positivo",MIN(MAX(K1611/J1611,0),1.3),MIN(MAX(J1611/K1611,0),1.3))),"")</f>
        <v>1</v>
      </c>
      <c r="M1611" s="14">
        <f>IFERROR(IF(OR(J1611=0,K1611=""),"",IF(E1611="Positivo",MAX(K1611/J1611,0),MAX(J1611/K1611,0))),"")</f>
        <v>1</v>
      </c>
      <c r="N1611" s="5" t="s">
        <v>136</v>
      </c>
      <c r="O1611" s="5" t="s">
        <v>136</v>
      </c>
      <c r="P1611" s="15">
        <v>0</v>
      </c>
      <c r="Q1611" s="15">
        <v>0</v>
      </c>
      <c r="R1611" s="5" t="s">
        <v>832</v>
      </c>
    </row>
    <row r="1612" spans="1:19" hidden="1" x14ac:dyDescent="0.3">
      <c r="A1612" s="21">
        <v>326</v>
      </c>
      <c r="B1612" s="5" t="s">
        <v>833</v>
      </c>
      <c r="C1612" s="5" t="s">
        <v>644</v>
      </c>
      <c r="D1612" s="5" t="s">
        <v>71</v>
      </c>
      <c r="E1612" s="5" t="s">
        <v>22</v>
      </c>
      <c r="F1612" s="71">
        <v>45657</v>
      </c>
      <c r="G1612" s="5">
        <v>2024</v>
      </c>
      <c r="H1612" s="5" t="s">
        <v>23</v>
      </c>
      <c r="I1612" s="6" t="s">
        <v>30</v>
      </c>
      <c r="J1612" s="5">
        <v>0</v>
      </c>
      <c r="K1612" s="10">
        <v>0</v>
      </c>
      <c r="L1612" s="14"/>
      <c r="M1612" s="14"/>
      <c r="N1612" s="5" t="s">
        <v>128</v>
      </c>
      <c r="O1612" s="5" t="s">
        <v>128</v>
      </c>
      <c r="P1612" s="15">
        <v>0</v>
      </c>
      <c r="Q1612" s="15">
        <v>0</v>
      </c>
      <c r="R1612" s="5" t="s">
        <v>834</v>
      </c>
      <c r="S1612" t="s">
        <v>263</v>
      </c>
    </row>
    <row r="1613" spans="1:19" hidden="1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46022</v>
      </c>
      <c r="G1613" s="5">
        <v>2025</v>
      </c>
      <c r="H1613" s="5" t="s">
        <v>23</v>
      </c>
      <c r="I1613" s="6" t="s">
        <v>32</v>
      </c>
      <c r="J1613" s="5">
        <v>3</v>
      </c>
      <c r="K1613" s="10">
        <v>100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835</v>
      </c>
      <c r="S1613" t="s">
        <v>263</v>
      </c>
    </row>
    <row r="1614" spans="1:19" hidden="1" x14ac:dyDescent="0.3">
      <c r="A1614" s="21">
        <v>327</v>
      </c>
      <c r="B1614" s="5" t="s">
        <v>836</v>
      </c>
      <c r="C1614" s="5" t="s">
        <v>644</v>
      </c>
      <c r="D1614" s="5" t="s">
        <v>27</v>
      </c>
      <c r="E1614" s="5" t="s">
        <v>22</v>
      </c>
      <c r="F1614" s="71">
        <v>45107</v>
      </c>
      <c r="G1614" s="5">
        <v>2023</v>
      </c>
      <c r="H1614" s="5" t="s">
        <v>699</v>
      </c>
      <c r="I1614" s="6" t="s">
        <v>1512</v>
      </c>
      <c r="J1614" s="5">
        <v>100</v>
      </c>
      <c r="K1614" s="10">
        <v>0</v>
      </c>
      <c r="L1614" s="14">
        <f>IFERROR(IF(OR(J1614=0,K1614=""),"",IF(E1614="Positivo",MIN(MAX(K1614/J1614,0),1.3),MIN(MAX(J1614/K1614,0),1.3))),"")</f>
        <v>0</v>
      </c>
      <c r="M1614" s="14">
        <f>IFERROR(IF(OR(J1614=0,K1614=""),"",IF(E1614="Positivo",MAX(K1614/J1614,0),MAX(J1614/K1614,0))),"")</f>
        <v>0</v>
      </c>
      <c r="N1614" s="5"/>
      <c r="O1614" s="5"/>
      <c r="P1614" s="15">
        <v>0</v>
      </c>
      <c r="Q1614" s="15">
        <v>0</v>
      </c>
      <c r="R1614" s="5" t="s">
        <v>2626</v>
      </c>
    </row>
    <row r="1615" spans="1:19" hidden="1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45291</v>
      </c>
      <c r="G1615" s="5">
        <v>2023</v>
      </c>
      <c r="H1615" s="5" t="s">
        <v>23</v>
      </c>
      <c r="I1615" s="6" t="s">
        <v>28</v>
      </c>
      <c r="J1615" s="5">
        <v>100</v>
      </c>
      <c r="K1615" s="10">
        <v>100</v>
      </c>
      <c r="L1615" s="14">
        <f>IFERROR(IF(OR(J1615=0,K1615=""),"",IF(E1615="Positivo",MIN(MAX(K1615/J1615,0),1.3),MIN(MAX(J1615/K1615,0),1.3))),"")</f>
        <v>1</v>
      </c>
      <c r="M1615" s="14">
        <f>IFERROR(IF(OR(J1615=0,K1615=""),"",IF(E1615="Positivo",MAX(K1615/J1615,0),MAX(J1615/K1615,0))),"")</f>
        <v>1</v>
      </c>
      <c r="N1615" s="5"/>
      <c r="O1615" s="5"/>
      <c r="P1615" s="15">
        <v>0</v>
      </c>
      <c r="Q1615" s="15">
        <v>0</v>
      </c>
      <c r="R1615" s="5" t="s">
        <v>837</v>
      </c>
    </row>
    <row r="1616" spans="1:19" hidden="1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45473</v>
      </c>
      <c r="G1616" s="5">
        <v>2024</v>
      </c>
      <c r="H1616" s="5" t="s">
        <v>699</v>
      </c>
      <c r="I1616" s="6" t="s">
        <v>729</v>
      </c>
      <c r="J1616" s="5">
        <v>100</v>
      </c>
      <c r="K1616" s="10">
        <v>0</v>
      </c>
      <c r="L1616" s="14">
        <f>IFERROR(IF(OR(J1616=0,K1616=""),"",IF(E1616="Positivo",MIN(MAX(K1616/J1616,0),1.3),MIN(MAX(J1616/K1616,0),1.3))),"")</f>
        <v>0</v>
      </c>
      <c r="M1616" s="14">
        <f>IFERROR(IF(OR(J1616=0,K1616=""),"",IF(E1616="Positivo",MAX(K1616/J1616,0),MAX(J1616/K1616,0))),"")</f>
        <v>0</v>
      </c>
      <c r="N1616" s="5"/>
      <c r="O1616" s="5"/>
      <c r="P1616" s="15">
        <v>0</v>
      </c>
      <c r="Q1616" s="15">
        <v>0</v>
      </c>
      <c r="R1616" s="5" t="s">
        <v>2627</v>
      </c>
    </row>
    <row r="1617" spans="1:19" hidden="1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45657</v>
      </c>
      <c r="G1617" s="5">
        <v>2024</v>
      </c>
      <c r="H1617" s="5" t="s">
        <v>23</v>
      </c>
      <c r="I1617" s="6" t="s">
        <v>30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838</v>
      </c>
    </row>
    <row r="1618" spans="1:19" hidden="1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45838</v>
      </c>
      <c r="G1618" s="5">
        <v>2025</v>
      </c>
      <c r="H1618" s="5" t="s">
        <v>699</v>
      </c>
      <c r="I1618" s="6" t="s">
        <v>700</v>
      </c>
      <c r="J1618" s="5">
        <v>100</v>
      </c>
      <c r="K1618" s="10">
        <v>100</v>
      </c>
      <c r="L1618" s="14">
        <f>IFERROR(IF(OR(J1618=0,K1618=""),"",IF(E1618="Positivo",MIN(MAX(K1618/J1618,0),1.3),MIN(MAX(J1618/K1618,0),1.3))),"")</f>
        <v>1</v>
      </c>
      <c r="M1618" s="14">
        <f>IFERROR(IF(OR(J1618=0,K1618=""),"",IF(E1618="Positivo",MAX(K1618/J1618,0),MAX(J1618/K1618,0))),"")</f>
        <v>1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2628</v>
      </c>
    </row>
    <row r="1619" spans="1:19" hidden="1" x14ac:dyDescent="0.3">
      <c r="A1619" s="5">
        <v>327</v>
      </c>
      <c r="B1619" s="5" t="s">
        <v>839</v>
      </c>
      <c r="C1619" s="5" t="s">
        <v>644</v>
      </c>
      <c r="D1619" s="5" t="s">
        <v>21</v>
      </c>
      <c r="E1619" s="5" t="s">
        <v>22</v>
      </c>
      <c r="F1619" s="71">
        <v>46022</v>
      </c>
      <c r="G1619" s="5">
        <v>2025</v>
      </c>
      <c r="H1619" s="5" t="s">
        <v>23</v>
      </c>
      <c r="I1619" s="6" t="s">
        <v>32</v>
      </c>
      <c r="J1619" s="5">
        <v>100</v>
      </c>
      <c r="K1619" s="5">
        <v>100</v>
      </c>
      <c r="L1619" s="14"/>
      <c r="M1619" s="14"/>
      <c r="N1619" s="5" t="s">
        <v>128</v>
      </c>
      <c r="O1619" s="5" t="s">
        <v>128</v>
      </c>
      <c r="P1619" s="5">
        <v>0</v>
      </c>
      <c r="Q1619" s="5">
        <v>0</v>
      </c>
      <c r="R1619" s="5" t="s">
        <v>840</v>
      </c>
      <c r="S1619" t="s">
        <v>263</v>
      </c>
    </row>
    <row r="1620" spans="1:19" hidden="1" x14ac:dyDescent="0.3">
      <c r="A1620" s="5">
        <v>328</v>
      </c>
      <c r="B1620" s="5" t="s">
        <v>841</v>
      </c>
      <c r="C1620" s="5" t="s">
        <v>842</v>
      </c>
      <c r="D1620" s="5" t="s">
        <v>71</v>
      </c>
      <c r="E1620" s="5" t="s">
        <v>22</v>
      </c>
      <c r="F1620" s="71">
        <v>45291</v>
      </c>
      <c r="G1620" s="5">
        <v>2023</v>
      </c>
      <c r="H1620" s="5" t="s">
        <v>23</v>
      </c>
      <c r="I1620" s="6" t="s">
        <v>28</v>
      </c>
      <c r="J1620" s="5">
        <v>800</v>
      </c>
      <c r="K1620" s="5">
        <v>1035</v>
      </c>
      <c r="L1620" s="14">
        <f>IFERROR(IF(OR(J1620=0,K1620=""),"",IF(E1620="Positivo",MIN(MAX(K1620/J1620,0),1.3),MIN(MAX(J1620/K1620,0),1.3))),"")</f>
        <v>1.29375</v>
      </c>
      <c r="M1620" s="14">
        <f>IFERROR(IF(OR(J1620=0,K1620=""),"",IF(E1620="Positivo",MAX(K1620/J1620,0),MAX(J1620/K1620,0))),"")</f>
        <v>1.29375</v>
      </c>
      <c r="N1620" s="5"/>
      <c r="O1620" s="5"/>
      <c r="P1620" s="5">
        <v>0</v>
      </c>
      <c r="Q1620" s="5">
        <v>0</v>
      </c>
      <c r="R1620" s="5" t="s">
        <v>843</v>
      </c>
    </row>
    <row r="1621" spans="1:19" hidden="1" x14ac:dyDescent="0.3">
      <c r="A1621" s="21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45657</v>
      </c>
      <c r="G1621" s="5">
        <v>2024</v>
      </c>
      <c r="H1621" s="5" t="s">
        <v>23</v>
      </c>
      <c r="I1621" s="6" t="s">
        <v>30</v>
      </c>
      <c r="J1621" s="5">
        <v>100</v>
      </c>
      <c r="K1621" s="10">
        <v>157</v>
      </c>
      <c r="L1621" s="14">
        <f>IFERROR(IF(OR(J1621=0,K1621=""),"",IF(E1621="Positivo",MIN(MAX(K1621/J1621,0),1.3),MIN(MAX(J1621/K1621,0),1.3))),"")</f>
        <v>1.3</v>
      </c>
      <c r="M1621" s="14">
        <f>IFERROR(IF(OR(J1621=0,K1621=""),"",IF(E1621="Positivo",MAX(K1621/J1621,0),MAX(J1621/K1621,0))),"")</f>
        <v>1.57</v>
      </c>
      <c r="N1621" s="5"/>
      <c r="O1621" s="5"/>
      <c r="P1621" s="15">
        <v>0</v>
      </c>
      <c r="Q1621" s="15">
        <v>0</v>
      </c>
      <c r="R1621" s="5" t="s">
        <v>844</v>
      </c>
    </row>
    <row r="1622" spans="1:19" hidden="1" x14ac:dyDescent="0.3">
      <c r="A1622" s="5">
        <v>329</v>
      </c>
      <c r="B1622" s="5" t="s">
        <v>845</v>
      </c>
      <c r="C1622" s="5" t="s">
        <v>842</v>
      </c>
      <c r="D1622" s="5" t="s">
        <v>71</v>
      </c>
      <c r="E1622" s="5" t="s">
        <v>22</v>
      </c>
      <c r="F1622" s="71">
        <v>45291</v>
      </c>
      <c r="G1622" s="5">
        <v>2023</v>
      </c>
      <c r="H1622" s="5" t="s">
        <v>23</v>
      </c>
      <c r="I1622" s="6" t="s">
        <v>28</v>
      </c>
      <c r="J1622" s="5">
        <v>3000</v>
      </c>
      <c r="K1622" s="5">
        <v>3315</v>
      </c>
      <c r="L1622" s="14">
        <f>IFERROR(IF(OR(J1622=0,K1622=""),"",IF(E1622="Positivo",MIN(MAX(K1622/J1622,0),1.3),MIN(MAX(J1622/K1622,0),1.3))),"")</f>
        <v>1.105</v>
      </c>
      <c r="M1622" s="14">
        <f>IFERROR(IF(OR(J1622=0,K1622=""),"",IF(E1622="Positivo",MAX(K1622/J1622,0),MAX(J1622/K1622,0))),"")</f>
        <v>1.105</v>
      </c>
      <c r="N1622" s="5"/>
      <c r="O1622" s="5"/>
      <c r="P1622" s="5">
        <v>0</v>
      </c>
      <c r="Q1622" s="5">
        <v>0</v>
      </c>
      <c r="R1622" s="5" t="s">
        <v>846</v>
      </c>
    </row>
    <row r="1623" spans="1:19" hidden="1" x14ac:dyDescent="0.3">
      <c r="A1623" s="21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106.63</v>
      </c>
      <c r="L1623" s="14">
        <f>IFERROR(IF(OR(J1623=0,K1623=""),"",IF(E1623="Positivo",MIN(MAX(K1623/J1623,0),1.3),MIN(MAX(J1623/K1623,0),1.3))),"")</f>
        <v>1.0663</v>
      </c>
      <c r="M1623" s="14">
        <f>IFERROR(IF(OR(J1623=0,K1623=""),"",IF(E1623="Positivo",MAX(K1623/J1623,0),MAX(J1623/K1623,0))),"")</f>
        <v>1.0663</v>
      </c>
      <c r="N1623" s="9"/>
      <c r="O1623" s="9"/>
      <c r="P1623" s="15">
        <v>0</v>
      </c>
      <c r="Q1623" s="15">
        <v>0</v>
      </c>
      <c r="R1623" s="5" t="s">
        <v>847</v>
      </c>
    </row>
    <row r="1624" spans="1:19" hidden="1" x14ac:dyDescent="0.3">
      <c r="A1624" s="21">
        <v>331</v>
      </c>
      <c r="B1624" s="5" t="s">
        <v>848</v>
      </c>
      <c r="C1624" s="5" t="s">
        <v>842</v>
      </c>
      <c r="D1624" s="5" t="s">
        <v>71</v>
      </c>
      <c r="E1624" s="5" t="s">
        <v>22</v>
      </c>
      <c r="F1624" s="71">
        <v>45291</v>
      </c>
      <c r="G1624" s="5">
        <v>2023</v>
      </c>
      <c r="H1624" s="5" t="s">
        <v>23</v>
      </c>
      <c r="I1624" s="6" t="s">
        <v>28</v>
      </c>
      <c r="J1624" s="73"/>
      <c r="K1624" s="9">
        <v>81</v>
      </c>
      <c r="L1624" s="8"/>
      <c r="M1624" s="8"/>
      <c r="N1624" s="9" t="s">
        <v>355</v>
      </c>
      <c r="O1624" s="9" t="s">
        <v>25</v>
      </c>
      <c r="P1624" s="15">
        <v>0</v>
      </c>
      <c r="Q1624" s="15">
        <v>0</v>
      </c>
      <c r="R1624" s="5" t="s">
        <v>849</v>
      </c>
    </row>
    <row r="1625" spans="1:19" hidden="1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45657</v>
      </c>
      <c r="G1625" s="5">
        <v>2024</v>
      </c>
      <c r="H1625" s="5" t="s">
        <v>23</v>
      </c>
      <c r="I1625" s="6" t="s">
        <v>30</v>
      </c>
      <c r="J1625" s="73">
        <v>0</v>
      </c>
      <c r="K1625" s="9">
        <v>82</v>
      </c>
      <c r="L1625" s="14" t="str">
        <f t="shared" ref="L1625:L1639" si="98">IFERROR(IF(OR(J1625=0,K1625=""),"",IF(E1625="Positivo",MIN(MAX(K1625/J1625,0),1.3),MIN(MAX(J1625/K1625,0),1.3))),"")</f>
        <v/>
      </c>
      <c r="M1625" s="14" t="str">
        <f t="shared" ref="M1625:M1639" si="99">IFERROR(IF(OR(J1625=0,K1625=""),"",IF(E1625="Positivo",MAX(K1625/J1625,0),MAX(J1625/K1625,0))),"")</f>
        <v/>
      </c>
      <c r="N1625" s="9" t="s">
        <v>355</v>
      </c>
      <c r="O1625" s="9" t="s">
        <v>25</v>
      </c>
      <c r="P1625" s="15">
        <v>0</v>
      </c>
      <c r="Q1625" s="15">
        <v>0</v>
      </c>
      <c r="R1625" s="5" t="s">
        <v>850</v>
      </c>
    </row>
    <row r="1626" spans="1:19" hidden="1" x14ac:dyDescent="0.3">
      <c r="A1626" s="21">
        <v>332</v>
      </c>
      <c r="B1626" s="5" t="s">
        <v>851</v>
      </c>
      <c r="C1626" s="5" t="s">
        <v>40</v>
      </c>
      <c r="D1626" s="5" t="s">
        <v>27</v>
      </c>
      <c r="E1626" s="5" t="s">
        <v>41</v>
      </c>
      <c r="F1626" s="71">
        <v>45107</v>
      </c>
      <c r="G1626" s="5">
        <v>2023</v>
      </c>
      <c r="H1626" s="5" t="s">
        <v>699</v>
      </c>
      <c r="I1626" s="6" t="s">
        <v>1512</v>
      </c>
      <c r="J1626" s="73">
        <v>1.8</v>
      </c>
      <c r="K1626" s="9">
        <v>1.57</v>
      </c>
      <c r="L1626" s="14">
        <f t="shared" si="98"/>
        <v>1.1464968152866242</v>
      </c>
      <c r="M1626" s="14">
        <f t="shared" si="99"/>
        <v>1.1464968152866242</v>
      </c>
      <c r="N1626" s="9" t="s">
        <v>25</v>
      </c>
      <c r="O1626" s="9" t="s">
        <v>25</v>
      </c>
      <c r="P1626" s="15">
        <v>2</v>
      </c>
      <c r="Q1626" s="15">
        <v>2</v>
      </c>
      <c r="R1626" s="5" t="s">
        <v>2629</v>
      </c>
    </row>
    <row r="1627" spans="1:19" hidden="1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1.8</v>
      </c>
      <c r="K1627" s="9">
        <v>1.3</v>
      </c>
      <c r="L1627" s="14">
        <f t="shared" si="98"/>
        <v>1.3</v>
      </c>
      <c r="M1627" s="14">
        <f t="shared" si="99"/>
        <v>1.3846153846153846</v>
      </c>
      <c r="N1627" s="9" t="s">
        <v>25</v>
      </c>
      <c r="O1627" s="9" t="s">
        <v>25</v>
      </c>
      <c r="P1627" s="15">
        <v>1</v>
      </c>
      <c r="Q1627" s="15">
        <v>1</v>
      </c>
      <c r="R1627" s="5" t="s">
        <v>852</v>
      </c>
    </row>
    <row r="1628" spans="1:19" hidden="1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1.5</v>
      </c>
      <c r="K1628" s="9">
        <v>1.48</v>
      </c>
      <c r="L1628" s="14">
        <f t="shared" si="98"/>
        <v>1.0135135135135136</v>
      </c>
      <c r="M1628" s="14">
        <f t="shared" si="99"/>
        <v>1.0135135135135136</v>
      </c>
      <c r="N1628" s="9" t="s">
        <v>25</v>
      </c>
      <c r="O1628" s="9" t="s">
        <v>25</v>
      </c>
      <c r="P1628" s="15">
        <v>2</v>
      </c>
      <c r="Q1628" s="15">
        <v>2</v>
      </c>
      <c r="R1628" s="5" t="s">
        <v>2630</v>
      </c>
    </row>
    <row r="1629" spans="1:19" hidden="1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1.8</v>
      </c>
      <c r="K1629" s="9">
        <v>0.82</v>
      </c>
      <c r="L1629" s="14">
        <f t="shared" si="98"/>
        <v>1.3</v>
      </c>
      <c r="M1629" s="14">
        <f t="shared" si="99"/>
        <v>2.1951219512195124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853</v>
      </c>
    </row>
    <row r="1630" spans="1:19" hidden="1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1.18</v>
      </c>
      <c r="K1630" s="10">
        <v>0.85</v>
      </c>
      <c r="L1630" s="14">
        <f t="shared" si="98"/>
        <v>1.3</v>
      </c>
      <c r="M1630" s="14">
        <f t="shared" si="99"/>
        <v>1.388235294117647</v>
      </c>
      <c r="N1630" s="5" t="s">
        <v>25</v>
      </c>
      <c r="O1630" s="5" t="s">
        <v>25</v>
      </c>
      <c r="P1630" s="15">
        <v>2</v>
      </c>
      <c r="Q1630" s="15">
        <v>2</v>
      </c>
      <c r="R1630" s="5" t="s">
        <v>2631</v>
      </c>
    </row>
    <row r="1631" spans="1:19" hidden="1" x14ac:dyDescent="0.3">
      <c r="A1631" s="21">
        <v>332</v>
      </c>
      <c r="B1631" s="5" t="s">
        <v>851</v>
      </c>
      <c r="C1631" s="5" t="s">
        <v>40</v>
      </c>
      <c r="D1631" s="5" t="s">
        <v>21</v>
      </c>
      <c r="E1631" s="5" t="s">
        <v>41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1.18</v>
      </c>
      <c r="K1631" s="10">
        <v>0.93</v>
      </c>
      <c r="L1631" s="14">
        <f t="shared" si="98"/>
        <v>1.268817204301075</v>
      </c>
      <c r="M1631" s="14">
        <f t="shared" si="99"/>
        <v>1.268817204301075</v>
      </c>
      <c r="N1631" s="5" t="s">
        <v>136</v>
      </c>
      <c r="O1631" s="5" t="s">
        <v>136</v>
      </c>
      <c r="P1631" s="15">
        <v>2</v>
      </c>
      <c r="Q1631" s="15">
        <v>2</v>
      </c>
      <c r="R1631" s="5" t="s">
        <v>854</v>
      </c>
    </row>
    <row r="1632" spans="1:19" hidden="1" x14ac:dyDescent="0.3">
      <c r="A1632" s="5">
        <v>334</v>
      </c>
      <c r="B1632" s="5" t="s">
        <v>855</v>
      </c>
      <c r="C1632" s="5" t="s">
        <v>40</v>
      </c>
      <c r="D1632" s="5" t="s">
        <v>71</v>
      </c>
      <c r="E1632" s="5" t="s">
        <v>22</v>
      </c>
      <c r="F1632" s="71">
        <v>45291</v>
      </c>
      <c r="G1632" s="5">
        <v>2023</v>
      </c>
      <c r="H1632" s="5" t="s">
        <v>23</v>
      </c>
      <c r="I1632" s="6" t="s">
        <v>28</v>
      </c>
      <c r="J1632" s="5">
        <v>88</v>
      </c>
      <c r="K1632" s="5">
        <v>88.39</v>
      </c>
      <c r="L1632" s="14">
        <f t="shared" si="98"/>
        <v>1.0044318181818181</v>
      </c>
      <c r="M1632" s="14">
        <f t="shared" si="99"/>
        <v>1.0044318181818181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856</v>
      </c>
    </row>
    <row r="1633" spans="1:19" hidden="1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45657</v>
      </c>
      <c r="G1633" s="5">
        <v>2024</v>
      </c>
      <c r="H1633" s="5" t="s">
        <v>23</v>
      </c>
      <c r="I1633" s="6" t="s">
        <v>30</v>
      </c>
      <c r="J1633" s="5">
        <v>88</v>
      </c>
      <c r="K1633" s="5">
        <v>88.84</v>
      </c>
      <c r="L1633" s="14">
        <f t="shared" si="98"/>
        <v>1.0095454545454545</v>
      </c>
      <c r="M1633" s="14">
        <f t="shared" si="99"/>
        <v>1.0095454545454545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857</v>
      </c>
    </row>
    <row r="1634" spans="1:19" hidden="1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46022</v>
      </c>
      <c r="G1634" s="5">
        <v>2025</v>
      </c>
      <c r="H1634" s="5" t="s">
        <v>23</v>
      </c>
      <c r="I1634" s="6" t="s">
        <v>32</v>
      </c>
      <c r="J1634" s="5">
        <v>89</v>
      </c>
      <c r="K1634" s="5">
        <v>90.1</v>
      </c>
      <c r="L1634" s="14">
        <f t="shared" si="98"/>
        <v>1.0123595505617977</v>
      </c>
      <c r="M1634" s="14">
        <f t="shared" si="99"/>
        <v>1.0123595505617977</v>
      </c>
      <c r="N1634" s="5" t="s">
        <v>128</v>
      </c>
      <c r="O1634" s="5" t="s">
        <v>136</v>
      </c>
      <c r="P1634" s="5">
        <v>0</v>
      </c>
      <c r="Q1634" s="5">
        <v>1</v>
      </c>
      <c r="R1634" s="5" t="s">
        <v>858</v>
      </c>
    </row>
    <row r="1635" spans="1:19" hidden="1" x14ac:dyDescent="0.3">
      <c r="A1635" s="21">
        <v>335</v>
      </c>
      <c r="B1635" s="5" t="s">
        <v>859</v>
      </c>
      <c r="C1635" s="5" t="s">
        <v>40</v>
      </c>
      <c r="D1635" s="5" t="s">
        <v>71</v>
      </c>
      <c r="E1635" s="5" t="s">
        <v>22</v>
      </c>
      <c r="F1635" s="71">
        <v>45291</v>
      </c>
      <c r="G1635" s="5">
        <v>2023</v>
      </c>
      <c r="H1635" s="5" t="s">
        <v>23</v>
      </c>
      <c r="I1635" s="6" t="s">
        <v>28</v>
      </c>
      <c r="J1635" s="5">
        <v>80</v>
      </c>
      <c r="K1635" s="12">
        <v>93.85</v>
      </c>
      <c r="L1635" s="14">
        <f t="shared" si="98"/>
        <v>1.173125</v>
      </c>
      <c r="M1635" s="14">
        <f t="shared" si="99"/>
        <v>1.173125</v>
      </c>
      <c r="N1635" s="5" t="s">
        <v>25</v>
      </c>
      <c r="O1635" s="5" t="s">
        <v>25</v>
      </c>
      <c r="P1635" s="15">
        <v>0</v>
      </c>
      <c r="Q1635" s="15">
        <v>0</v>
      </c>
      <c r="R1635" s="5" t="s">
        <v>860</v>
      </c>
    </row>
    <row r="1636" spans="1:19" hidden="1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45657</v>
      </c>
      <c r="G1636" s="5">
        <v>2024</v>
      </c>
      <c r="H1636" s="5" t="s">
        <v>23</v>
      </c>
      <c r="I1636" s="6" t="s">
        <v>30</v>
      </c>
      <c r="J1636" s="5">
        <v>82</v>
      </c>
      <c r="K1636" s="10">
        <v>80.95</v>
      </c>
      <c r="L1636" s="14">
        <f t="shared" si="98"/>
        <v>0.9871951219512195</v>
      </c>
      <c r="M1636" s="14">
        <f t="shared" si="99"/>
        <v>0.9871951219512195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861</v>
      </c>
    </row>
    <row r="1637" spans="1:19" hidden="1" x14ac:dyDescent="0.3">
      <c r="A1637" s="21">
        <v>336</v>
      </c>
      <c r="B1637" s="5" t="s">
        <v>862</v>
      </c>
      <c r="C1637" s="5" t="s">
        <v>254</v>
      </c>
      <c r="D1637" s="5" t="s">
        <v>71</v>
      </c>
      <c r="E1637" s="5" t="s">
        <v>41</v>
      </c>
      <c r="F1637" s="71">
        <v>45291</v>
      </c>
      <c r="G1637" s="5">
        <v>2023</v>
      </c>
      <c r="H1637" s="5" t="s">
        <v>23</v>
      </c>
      <c r="I1637" s="6" t="s">
        <v>28</v>
      </c>
      <c r="J1637" s="5">
        <v>2</v>
      </c>
      <c r="K1637" s="12">
        <v>1.742198218602321</v>
      </c>
      <c r="L1637" s="14">
        <f t="shared" si="98"/>
        <v>1.1479750000000002</v>
      </c>
      <c r="M1637" s="14">
        <f t="shared" si="99"/>
        <v>1.1479750000000002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863</v>
      </c>
    </row>
    <row r="1638" spans="1:19" hidden="1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45657</v>
      </c>
      <c r="G1638" s="5">
        <v>2024</v>
      </c>
      <c r="H1638" s="5" t="s">
        <v>23</v>
      </c>
      <c r="I1638" s="6" t="s">
        <v>30</v>
      </c>
      <c r="J1638" s="5">
        <v>2</v>
      </c>
      <c r="K1638" s="12">
        <v>0.79</v>
      </c>
      <c r="L1638" s="14">
        <f t="shared" si="98"/>
        <v>1.3</v>
      </c>
      <c r="M1638" s="14">
        <f t="shared" si="99"/>
        <v>2.5316455696202529</v>
      </c>
      <c r="N1638" s="5"/>
      <c r="O1638" s="5"/>
      <c r="P1638" s="15">
        <v>0</v>
      </c>
      <c r="Q1638" s="15">
        <v>0</v>
      </c>
      <c r="R1638" s="5" t="s">
        <v>864</v>
      </c>
    </row>
    <row r="1639" spans="1:19" hidden="1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46022</v>
      </c>
      <c r="G1639" s="5">
        <v>2025</v>
      </c>
      <c r="H1639" s="5" t="s">
        <v>23</v>
      </c>
      <c r="I1639" s="6" t="s">
        <v>32</v>
      </c>
      <c r="J1639" s="5">
        <v>2</v>
      </c>
      <c r="K1639" s="12">
        <v>0.36</v>
      </c>
      <c r="L1639" s="14">
        <f t="shared" si="98"/>
        <v>1.3</v>
      </c>
      <c r="M1639" s="14">
        <f t="shared" si="99"/>
        <v>5.5555555555555554</v>
      </c>
      <c r="N1639" s="5" t="s">
        <v>25</v>
      </c>
      <c r="O1639" s="11" t="s">
        <v>25</v>
      </c>
      <c r="P1639" s="15">
        <v>0</v>
      </c>
      <c r="Q1639" s="15">
        <v>0</v>
      </c>
      <c r="R1639" s="5" t="s">
        <v>865</v>
      </c>
    </row>
    <row r="1640" spans="1:19" hidden="1" x14ac:dyDescent="0.3">
      <c r="A1640" s="21">
        <v>337</v>
      </c>
      <c r="B1640" s="5" t="s">
        <v>869</v>
      </c>
      <c r="C1640" s="5" t="s">
        <v>644</v>
      </c>
      <c r="D1640" s="5" t="s">
        <v>21</v>
      </c>
      <c r="E1640" s="5" t="s">
        <v>22</v>
      </c>
      <c r="F1640" s="71">
        <v>45107</v>
      </c>
      <c r="G1640" s="5">
        <v>2023</v>
      </c>
      <c r="H1640" s="5" t="s">
        <v>699</v>
      </c>
      <c r="I1640" s="6" t="s">
        <v>1512</v>
      </c>
      <c r="J1640" s="5">
        <v>100</v>
      </c>
      <c r="K1640" s="12">
        <v>0</v>
      </c>
      <c r="L1640" s="8"/>
      <c r="M1640" s="8"/>
      <c r="N1640" s="5"/>
      <c r="O1640" s="11"/>
      <c r="P1640" s="15">
        <v>0</v>
      </c>
      <c r="Q1640" s="15">
        <v>0</v>
      </c>
      <c r="R1640" s="5" t="s">
        <v>2632</v>
      </c>
      <c r="S1640" t="s">
        <v>263</v>
      </c>
    </row>
    <row r="1641" spans="1:19" hidden="1" x14ac:dyDescent="0.3">
      <c r="A1641" s="21">
        <v>337</v>
      </c>
      <c r="B1641" s="5" t="s">
        <v>866</v>
      </c>
      <c r="C1641" s="5" t="s">
        <v>644</v>
      </c>
      <c r="D1641" s="5" t="s">
        <v>27</v>
      </c>
      <c r="E1641" s="5" t="s">
        <v>22</v>
      </c>
      <c r="F1641" s="71">
        <v>45291</v>
      </c>
      <c r="G1641" s="5">
        <v>2023</v>
      </c>
      <c r="H1641" s="5" t="s">
        <v>23</v>
      </c>
      <c r="I1641" s="6" t="s">
        <v>28</v>
      </c>
      <c r="J1641" s="5">
        <v>100</v>
      </c>
      <c r="K1641" s="12">
        <v>100</v>
      </c>
      <c r="L1641" s="14">
        <f>IFERROR(IF(OR(J1641=0,K1641=""),"",IF(E1641="Positivo",MIN(MAX(K1641/J1641,0),1.3),MIN(MAX(J1641/K1641,0),1.3))),"")</f>
        <v>1</v>
      </c>
      <c r="M1641" s="14">
        <f>IFERROR(IF(OR(J1641=0,K1641=""),"",IF(E1641="Positivo",MAX(K1641/J1641,0),MAX(J1641/K1641,0))),"")</f>
        <v>1</v>
      </c>
      <c r="N1641" s="5"/>
      <c r="O1641" s="5"/>
      <c r="P1641" s="15">
        <v>0</v>
      </c>
      <c r="Q1641" s="15">
        <v>0</v>
      </c>
      <c r="R1641" s="5" t="s">
        <v>867</v>
      </c>
    </row>
    <row r="1642" spans="1:19" hidden="1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45473</v>
      </c>
      <c r="G1642" s="5">
        <v>2024</v>
      </c>
      <c r="H1642" s="5" t="s">
        <v>699</v>
      </c>
      <c r="I1642" s="6" t="s">
        <v>729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 t="s">
        <v>128</v>
      </c>
      <c r="O1642" s="5" t="s">
        <v>128</v>
      </c>
      <c r="P1642" s="15">
        <v>0</v>
      </c>
      <c r="Q1642" s="15">
        <v>0</v>
      </c>
      <c r="R1642" s="5" t="s">
        <v>2633</v>
      </c>
    </row>
    <row r="1643" spans="1:19" hidden="1" x14ac:dyDescent="0.3">
      <c r="A1643" s="21">
        <v>337</v>
      </c>
      <c r="B1643" s="5" t="s">
        <v>869</v>
      </c>
      <c r="C1643" s="5" t="s">
        <v>644</v>
      </c>
      <c r="D1643" s="5" t="s">
        <v>21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100</v>
      </c>
      <c r="K1643" s="10">
        <v>0</v>
      </c>
      <c r="L1643" s="8"/>
      <c r="M1643" s="8"/>
      <c r="N1643" s="5"/>
      <c r="O1643" s="5"/>
      <c r="P1643" s="15">
        <v>0</v>
      </c>
      <c r="Q1643" s="15">
        <v>0</v>
      </c>
      <c r="R1643" s="5" t="s">
        <v>868</v>
      </c>
      <c r="S1643" t="s">
        <v>263</v>
      </c>
    </row>
    <row r="1644" spans="1:19" hidden="1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45838</v>
      </c>
      <c r="G1644" s="5">
        <v>2025</v>
      </c>
      <c r="H1644" s="5" t="s">
        <v>699</v>
      </c>
      <c r="I1644" s="6" t="s">
        <v>700</v>
      </c>
      <c r="J1644" s="5">
        <v>100</v>
      </c>
      <c r="K1644" s="12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870</v>
      </c>
      <c r="S1644" t="s">
        <v>263</v>
      </c>
    </row>
    <row r="1645" spans="1:19" hidden="1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46022</v>
      </c>
      <c r="G1645" s="5">
        <v>2025</v>
      </c>
      <c r="H1645" s="5" t="s">
        <v>23</v>
      </c>
      <c r="I1645" s="6" t="s">
        <v>32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2634</v>
      </c>
      <c r="S1645" t="s">
        <v>263</v>
      </c>
    </row>
    <row r="1646" spans="1:19" hidden="1" x14ac:dyDescent="0.3">
      <c r="A1646" s="21">
        <v>338</v>
      </c>
      <c r="B1646" s="5" t="s">
        <v>2635</v>
      </c>
      <c r="C1646" s="5" t="s">
        <v>644</v>
      </c>
      <c r="D1646" s="5" t="s">
        <v>27</v>
      </c>
      <c r="E1646" s="5" t="s">
        <v>22</v>
      </c>
      <c r="F1646" s="71">
        <v>45107</v>
      </c>
      <c r="G1646" s="5">
        <v>2023</v>
      </c>
      <c r="H1646" s="5" t="s">
        <v>699</v>
      </c>
      <c r="I1646" s="6" t="s">
        <v>1512</v>
      </c>
      <c r="J1646" s="5">
        <v>100</v>
      </c>
      <c r="K1646" s="12">
        <v>100</v>
      </c>
      <c r="L1646" s="14">
        <f>IFERROR(IF(OR(J1646=0,K1646=""),"",IF(E1646="Positivo",MIN(MAX(K1646/J1646,0),1.3),MIN(MAX(J1646/K1646,0),1.3))),"")</f>
        <v>1</v>
      </c>
      <c r="M1646" s="14">
        <f>IFERROR(IF(OR(J1646=0,K1646=""),"",IF(E1646="Positivo",MAX(K1646/J1646,0),MAX(J1646/K1646,0))),"")</f>
        <v>1</v>
      </c>
      <c r="N1646" s="5" t="s">
        <v>128</v>
      </c>
      <c r="O1646" s="5" t="s">
        <v>128</v>
      </c>
      <c r="P1646" s="15">
        <v>0</v>
      </c>
      <c r="Q1646" s="15">
        <v>0</v>
      </c>
      <c r="R1646" s="5" t="s">
        <v>2636</v>
      </c>
    </row>
    <row r="1647" spans="1:19" hidden="1" x14ac:dyDescent="0.3">
      <c r="A1647" s="21">
        <v>338</v>
      </c>
      <c r="B1647" s="5" t="s">
        <v>874</v>
      </c>
      <c r="C1647" s="5" t="s">
        <v>644</v>
      </c>
      <c r="D1647" s="5" t="s">
        <v>21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0</v>
      </c>
      <c r="K1647" s="12"/>
      <c r="L1647" s="8"/>
      <c r="M1647" s="8"/>
      <c r="N1647" s="5" t="s">
        <v>128</v>
      </c>
      <c r="O1647" s="5" t="s">
        <v>302</v>
      </c>
      <c r="P1647" s="15">
        <v>0</v>
      </c>
      <c r="Q1647" s="15">
        <v>0</v>
      </c>
      <c r="R1647" s="5" t="s">
        <v>872</v>
      </c>
      <c r="S1647" t="s">
        <v>263</v>
      </c>
    </row>
    <row r="1648" spans="1:19" hidden="1" x14ac:dyDescent="0.3">
      <c r="A1648" s="21">
        <v>338</v>
      </c>
      <c r="B1648" s="5" t="s">
        <v>871</v>
      </c>
      <c r="C1648" s="5" t="s">
        <v>644</v>
      </c>
      <c r="D1648" s="5" t="s">
        <v>27</v>
      </c>
      <c r="E1648" s="5" t="s">
        <v>22</v>
      </c>
      <c r="F1648" s="71">
        <v>45473</v>
      </c>
      <c r="G1648" s="5">
        <v>2024</v>
      </c>
      <c r="H1648" s="5" t="s">
        <v>699</v>
      </c>
      <c r="I1648" s="6" t="s">
        <v>729</v>
      </c>
      <c r="J1648" s="5">
        <v>100</v>
      </c>
      <c r="K1648" s="12">
        <v>100</v>
      </c>
      <c r="L1648" s="14">
        <f>IFERROR(IF(OR(J1648=0,K1648=""),"",IF(E1648="Positivo",MIN(MAX(K1648/J1648,0),1.3),MIN(MAX(J1648/K1648,0),1.3))),"")</f>
        <v>1</v>
      </c>
      <c r="M1648" s="14">
        <f>IFERROR(IF(OR(J1648=0,K1648=""),"",IF(E1648="Positivo",MAX(K1648/J1648,0),MAX(J1648/K1648,0))),"")</f>
        <v>1</v>
      </c>
      <c r="N1648" s="5" t="s">
        <v>128</v>
      </c>
      <c r="O1648" s="5" t="s">
        <v>128</v>
      </c>
      <c r="P1648" s="15">
        <v>0</v>
      </c>
      <c r="Q1648" s="15">
        <v>0</v>
      </c>
      <c r="R1648" s="5" t="s">
        <v>2637</v>
      </c>
    </row>
    <row r="1649" spans="1:19" hidden="1" x14ac:dyDescent="0.3">
      <c r="A1649" s="5">
        <v>338</v>
      </c>
      <c r="B1649" s="5" t="s">
        <v>874</v>
      </c>
      <c r="C1649" s="5" t="s">
        <v>644</v>
      </c>
      <c r="D1649" s="5" t="s">
        <v>21</v>
      </c>
      <c r="E1649" s="5" t="s">
        <v>22</v>
      </c>
      <c r="F1649" s="71">
        <v>45657</v>
      </c>
      <c r="G1649" s="5">
        <v>2024</v>
      </c>
      <c r="H1649" s="5" t="s">
        <v>23</v>
      </c>
      <c r="I1649" s="6" t="s">
        <v>30</v>
      </c>
      <c r="J1649" s="5">
        <v>100</v>
      </c>
      <c r="K1649" s="5">
        <v>0</v>
      </c>
      <c r="L1649" s="14"/>
      <c r="M1649" s="14"/>
      <c r="N1649" s="5" t="s">
        <v>128</v>
      </c>
      <c r="O1649" s="5" t="s">
        <v>128</v>
      </c>
      <c r="P1649" s="5">
        <v>0</v>
      </c>
      <c r="Q1649" s="5">
        <v>0</v>
      </c>
      <c r="R1649" s="5" t="s">
        <v>873</v>
      </c>
      <c r="S1649" t="s">
        <v>263</v>
      </c>
    </row>
    <row r="1650" spans="1:19" hidden="1" x14ac:dyDescent="0.3">
      <c r="A1650" s="5">
        <v>338</v>
      </c>
      <c r="B1650" s="5" t="s">
        <v>871</v>
      </c>
      <c r="C1650" s="5" t="s">
        <v>644</v>
      </c>
      <c r="D1650" s="5" t="s">
        <v>27</v>
      </c>
      <c r="E1650" s="5" t="s">
        <v>22</v>
      </c>
      <c r="F1650" s="71">
        <v>45838</v>
      </c>
      <c r="G1650" s="5">
        <v>2025</v>
      </c>
      <c r="H1650" s="5" t="s">
        <v>699</v>
      </c>
      <c r="I1650" s="6" t="s">
        <v>700</v>
      </c>
      <c r="J1650" s="5">
        <v>100</v>
      </c>
      <c r="K1650" s="5">
        <v>100</v>
      </c>
      <c r="L1650" s="14">
        <f>IFERROR(IF(OR(J1650=0,K1650=""),"",IF(E1650="Positivo",MIN(MAX(K1650/J1650,0),1.3),MIN(MAX(J1650/K1650,0),1.3))),"")</f>
        <v>1</v>
      </c>
      <c r="M1650" s="14">
        <f>IFERROR(IF(OR(J1650=0,K1650=""),"",IF(E1650="Positivo",MAX(K1650/J1650,0),MAX(J1650/K1650,0))),"")</f>
        <v>1</v>
      </c>
      <c r="N1650" s="5" t="s">
        <v>128</v>
      </c>
      <c r="O1650" s="5" t="s">
        <v>128</v>
      </c>
      <c r="P1650" s="5">
        <v>0</v>
      </c>
      <c r="Q1650" s="5">
        <v>0</v>
      </c>
      <c r="R1650" s="5" t="s">
        <v>2638</v>
      </c>
    </row>
    <row r="1651" spans="1:19" hidden="1" x14ac:dyDescent="0.3">
      <c r="A1651" s="5">
        <v>338</v>
      </c>
      <c r="B1651" s="5" t="s">
        <v>874</v>
      </c>
      <c r="C1651" s="5" t="s">
        <v>644</v>
      </c>
      <c r="D1651" s="5" t="s">
        <v>21</v>
      </c>
      <c r="E1651" s="5" t="s">
        <v>22</v>
      </c>
      <c r="F1651" s="71">
        <v>46022</v>
      </c>
      <c r="G1651" s="5">
        <v>2025</v>
      </c>
      <c r="H1651" s="5" t="s">
        <v>23</v>
      </c>
      <c r="I1651" s="6" t="s">
        <v>32</v>
      </c>
      <c r="J1651" s="5">
        <v>100</v>
      </c>
      <c r="K1651" s="5">
        <v>100</v>
      </c>
      <c r="L1651" s="8"/>
      <c r="M1651" s="14"/>
      <c r="N1651" s="5" t="s">
        <v>128</v>
      </c>
      <c r="O1651" s="5" t="s">
        <v>128</v>
      </c>
      <c r="P1651" s="5">
        <v>0</v>
      </c>
      <c r="Q1651" s="5">
        <v>0</v>
      </c>
      <c r="R1651" s="5" t="s">
        <v>875</v>
      </c>
      <c r="S1651" t="s">
        <v>263</v>
      </c>
    </row>
    <row r="1652" spans="1:19" hidden="1" x14ac:dyDescent="0.3">
      <c r="A1652" s="31">
        <v>339</v>
      </c>
      <c r="B1652" s="5" t="s">
        <v>2639</v>
      </c>
      <c r="C1652" s="5" t="s">
        <v>877</v>
      </c>
      <c r="D1652" s="5" t="s">
        <v>71</v>
      </c>
      <c r="E1652" s="5" t="s">
        <v>22</v>
      </c>
      <c r="F1652" s="71">
        <v>45291</v>
      </c>
      <c r="G1652" s="5">
        <v>2023</v>
      </c>
      <c r="H1652" s="5" t="s">
        <v>23</v>
      </c>
      <c r="I1652" s="6" t="s">
        <v>28</v>
      </c>
      <c r="J1652" s="5">
        <v>30</v>
      </c>
      <c r="K1652" s="48">
        <v>28.571428571428569</v>
      </c>
      <c r="L1652" s="30">
        <f t="shared" ref="L1652:L1674" si="100">IFERROR(IF(OR(J1652=0,K1652=""),"",IF(E1652="Positivo",MIN(MAX(K1652/J1652,0),1.3),MIN(MAX(J1652/K1652,0),1.3))),"")</f>
        <v>0.95238095238095233</v>
      </c>
      <c r="M1652" s="14">
        <f t="shared" ref="M1652:M1674" si="101">IFERROR(IF(OR(J1652=0,K1652=""),"",IF(E1652="Positivo",MAX(K1652/J1652,0),MAX(J1652/K1652,0))),"")</f>
        <v>0.95238095238095233</v>
      </c>
      <c r="N1652" s="31" t="s">
        <v>25</v>
      </c>
      <c r="O1652" s="5" t="s">
        <v>25</v>
      </c>
      <c r="P1652" s="15">
        <v>2</v>
      </c>
      <c r="Q1652" s="15">
        <v>2</v>
      </c>
      <c r="R1652" s="5" t="s">
        <v>878</v>
      </c>
    </row>
    <row r="1653" spans="1:19" hidden="1" x14ac:dyDescent="0.3">
      <c r="A1653" s="5">
        <v>339</v>
      </c>
      <c r="B1653" s="5" t="s">
        <v>2639</v>
      </c>
      <c r="C1653" s="5" t="s">
        <v>877</v>
      </c>
      <c r="D1653" s="5" t="s">
        <v>71</v>
      </c>
      <c r="E1653" s="5" t="s">
        <v>22</v>
      </c>
      <c r="F1653" s="71">
        <v>45657</v>
      </c>
      <c r="G1653" s="5">
        <v>2024</v>
      </c>
      <c r="H1653" s="5" t="s">
        <v>23</v>
      </c>
      <c r="I1653" s="6" t="s">
        <v>30</v>
      </c>
      <c r="J1653" s="5">
        <v>30</v>
      </c>
      <c r="K1653" s="5">
        <v>30.3</v>
      </c>
      <c r="L1653" s="14">
        <f t="shared" si="100"/>
        <v>1.01</v>
      </c>
      <c r="M1653" s="14">
        <f t="shared" si="101"/>
        <v>1.01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879</v>
      </c>
    </row>
    <row r="1654" spans="1:19" hidden="1" x14ac:dyDescent="0.3">
      <c r="A1654" s="21">
        <v>339</v>
      </c>
      <c r="B1654" s="5" t="s">
        <v>2639</v>
      </c>
      <c r="C1654" s="5" t="s">
        <v>877</v>
      </c>
      <c r="D1654" s="5" t="s">
        <v>71</v>
      </c>
      <c r="E1654" s="5" t="s">
        <v>22</v>
      </c>
      <c r="F1654" s="71">
        <v>46022</v>
      </c>
      <c r="G1654" s="5">
        <v>2025</v>
      </c>
      <c r="H1654" s="5" t="s">
        <v>23</v>
      </c>
      <c r="I1654" s="6" t="s">
        <v>32</v>
      </c>
      <c r="J1654" s="5">
        <v>30</v>
      </c>
      <c r="K1654" s="10">
        <v>35.29</v>
      </c>
      <c r="L1654" s="14">
        <f t="shared" si="100"/>
        <v>1.1763333333333332</v>
      </c>
      <c r="M1654" s="14">
        <f t="shared" si="101"/>
        <v>1.1763333333333332</v>
      </c>
      <c r="N1654" s="5" t="s">
        <v>25</v>
      </c>
      <c r="O1654" s="5" t="s">
        <v>25</v>
      </c>
      <c r="P1654" s="15">
        <v>0</v>
      </c>
      <c r="Q1654" s="15">
        <v>1</v>
      </c>
      <c r="R1654" s="5" t="s">
        <v>880</v>
      </c>
    </row>
    <row r="1655" spans="1:19" hidden="1" x14ac:dyDescent="0.3">
      <c r="A1655" s="21">
        <v>340</v>
      </c>
      <c r="B1655" s="5" t="s">
        <v>881</v>
      </c>
      <c r="C1655" s="5" t="s">
        <v>167</v>
      </c>
      <c r="D1655" s="5" t="s">
        <v>21</v>
      </c>
      <c r="E1655" s="5" t="s">
        <v>22</v>
      </c>
      <c r="F1655" s="71">
        <v>45016</v>
      </c>
      <c r="G1655" s="5">
        <v>2023</v>
      </c>
      <c r="H1655" s="5" t="s">
        <v>1516</v>
      </c>
      <c r="I1655" s="6" t="s">
        <v>1512</v>
      </c>
      <c r="J1655" s="5">
        <v>90</v>
      </c>
      <c r="K1655" s="48">
        <v>100</v>
      </c>
      <c r="L1655" s="14">
        <f t="shared" si="100"/>
        <v>1.1111111111111112</v>
      </c>
      <c r="M1655" s="14">
        <f t="shared" si="101"/>
        <v>1.1111111111111112</v>
      </c>
      <c r="N1655" s="5" t="s">
        <v>25</v>
      </c>
      <c r="O1655" s="5" t="s">
        <v>25</v>
      </c>
      <c r="P1655" s="15">
        <v>0</v>
      </c>
      <c r="Q1655" s="15">
        <v>0</v>
      </c>
      <c r="R1655" s="5" t="s">
        <v>2640</v>
      </c>
    </row>
    <row r="1656" spans="1:19" hidden="1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45107</v>
      </c>
      <c r="G1656" s="5">
        <v>2023</v>
      </c>
      <c r="H1656" s="5" t="s">
        <v>699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hidden="1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45199</v>
      </c>
      <c r="G1657" s="5">
        <v>2023</v>
      </c>
      <c r="H1657" s="5" t="s">
        <v>162</v>
      </c>
      <c r="I1657" s="6" t="s">
        <v>28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hidden="1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45291</v>
      </c>
      <c r="G1658" s="5">
        <v>2023</v>
      </c>
      <c r="H1658" s="5" t="s">
        <v>23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882</v>
      </c>
    </row>
    <row r="1659" spans="1:19" hidden="1" x14ac:dyDescent="0.3">
      <c r="A1659" s="26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45382</v>
      </c>
      <c r="G1659" s="5">
        <v>2024</v>
      </c>
      <c r="H1659" s="5" t="s">
        <v>1516</v>
      </c>
      <c r="I1659" s="6" t="s">
        <v>729</v>
      </c>
      <c r="J1659" s="5">
        <v>95</v>
      </c>
      <c r="K1659" s="48">
        <v>100</v>
      </c>
      <c r="L1659" s="14">
        <f t="shared" si="100"/>
        <v>1.0526315789473684</v>
      </c>
      <c r="M1659" s="14">
        <f t="shared" si="101"/>
        <v>1.0526315789473684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2643</v>
      </c>
    </row>
    <row r="1660" spans="1:19" hidden="1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45473</v>
      </c>
      <c r="G1660" s="5">
        <v>2024</v>
      </c>
      <c r="H1660" s="5" t="s">
        <v>699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hidden="1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45565</v>
      </c>
      <c r="G1661" s="5">
        <v>2024</v>
      </c>
      <c r="H1661" s="5" t="s">
        <v>162</v>
      </c>
      <c r="I1661" s="6" t="s">
        <v>30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hidden="1" x14ac:dyDescent="0.3">
      <c r="A1662" s="21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45657</v>
      </c>
      <c r="G1662" s="5">
        <v>2024</v>
      </c>
      <c r="H1662" s="5" t="s">
        <v>23</v>
      </c>
      <c r="I1662" s="6" t="s">
        <v>30</v>
      </c>
      <c r="J1662" s="5">
        <v>95</v>
      </c>
      <c r="K1662" s="10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883</v>
      </c>
    </row>
    <row r="1663" spans="1:19" hidden="1" x14ac:dyDescent="0.3">
      <c r="A1663" s="21">
        <v>341</v>
      </c>
      <c r="B1663" s="5" t="s">
        <v>884</v>
      </c>
      <c r="C1663" s="5" t="s">
        <v>20</v>
      </c>
      <c r="D1663" s="5" t="s">
        <v>27</v>
      </c>
      <c r="E1663" s="5" t="s">
        <v>22</v>
      </c>
      <c r="F1663" s="71">
        <v>45107</v>
      </c>
      <c r="G1663" s="5">
        <v>2023</v>
      </c>
      <c r="H1663" s="5" t="s">
        <v>699</v>
      </c>
      <c r="I1663" s="6" t="s">
        <v>1512</v>
      </c>
      <c r="J1663" s="5">
        <v>100</v>
      </c>
      <c r="K1663" s="10">
        <v>123.86966666667</v>
      </c>
      <c r="L1663" s="14">
        <f t="shared" si="100"/>
        <v>1.2386966666667001</v>
      </c>
      <c r="M1663" s="14">
        <f t="shared" si="101"/>
        <v>1.2386966666667001</v>
      </c>
      <c r="N1663" s="5" t="s">
        <v>205</v>
      </c>
      <c r="O1663" s="5" t="s">
        <v>205</v>
      </c>
      <c r="P1663" s="15">
        <v>0</v>
      </c>
      <c r="Q1663" s="15">
        <v>0</v>
      </c>
      <c r="R1663" s="5" t="s">
        <v>2646</v>
      </c>
    </row>
    <row r="1664" spans="1:19" hidden="1" x14ac:dyDescent="0.3">
      <c r="A1664" s="28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100</v>
      </c>
      <c r="K1664" s="9">
        <v>130.57</v>
      </c>
      <c r="L1664" s="14">
        <f t="shared" si="100"/>
        <v>1.3</v>
      </c>
      <c r="M1664" s="14">
        <f t="shared" si="101"/>
        <v>1.3056999999999999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885</v>
      </c>
    </row>
    <row r="1665" spans="1:18" hidden="1" x14ac:dyDescent="0.3">
      <c r="A1665" s="21">
        <v>341</v>
      </c>
      <c r="B1665" s="5" t="s">
        <v>886</v>
      </c>
      <c r="C1665" s="5" t="s">
        <v>20</v>
      </c>
      <c r="D1665" s="5" t="s">
        <v>27</v>
      </c>
      <c r="E1665" s="5" t="s">
        <v>22</v>
      </c>
      <c r="F1665" s="70">
        <v>45473</v>
      </c>
      <c r="G1665" s="5">
        <v>2024</v>
      </c>
      <c r="H1665" s="5" t="s">
        <v>699</v>
      </c>
      <c r="I1665" s="6" t="s">
        <v>729</v>
      </c>
      <c r="J1665" s="5">
        <v>100</v>
      </c>
      <c r="K1665" s="9">
        <v>125</v>
      </c>
      <c r="L1665" s="14">
        <f t="shared" si="100"/>
        <v>1.25</v>
      </c>
      <c r="M1665" s="14">
        <f t="shared" si="101"/>
        <v>1.25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2647</v>
      </c>
    </row>
    <row r="1666" spans="1:18" hidden="1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1">
        <v>45657</v>
      </c>
      <c r="G1666" s="5">
        <v>2024</v>
      </c>
      <c r="H1666" s="5" t="s">
        <v>23</v>
      </c>
      <c r="I1666" s="6" t="s">
        <v>30</v>
      </c>
      <c r="J1666" s="5">
        <v>100</v>
      </c>
      <c r="K1666" s="10">
        <v>102.44</v>
      </c>
      <c r="L1666" s="14">
        <f t="shared" si="100"/>
        <v>1.0244</v>
      </c>
      <c r="M1666" s="14">
        <f t="shared" si="101"/>
        <v>1.0244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887</v>
      </c>
    </row>
    <row r="1667" spans="1:18" hidden="1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45838</v>
      </c>
      <c r="G1667" s="5">
        <v>2025</v>
      </c>
      <c r="H1667" s="5" t="s">
        <v>699</v>
      </c>
      <c r="I1667" s="6" t="s">
        <v>700</v>
      </c>
      <c r="J1667" s="5">
        <v>100</v>
      </c>
      <c r="K1667" s="11">
        <v>102.25</v>
      </c>
      <c r="L1667" s="14">
        <f t="shared" si="100"/>
        <v>1.0225</v>
      </c>
      <c r="M1667" s="14">
        <f t="shared" si="101"/>
        <v>1.0225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2648</v>
      </c>
    </row>
    <row r="1668" spans="1:18" hidden="1" x14ac:dyDescent="0.3">
      <c r="A1668" s="21">
        <v>341</v>
      </c>
      <c r="B1668" s="5" t="s">
        <v>888</v>
      </c>
      <c r="C1668" s="5" t="s">
        <v>20</v>
      </c>
      <c r="D1668" s="5" t="s">
        <v>21</v>
      </c>
      <c r="E1668" s="5" t="s">
        <v>22</v>
      </c>
      <c r="F1668" s="71">
        <v>46022</v>
      </c>
      <c r="G1668" s="5">
        <v>2025</v>
      </c>
      <c r="H1668" s="5" t="s">
        <v>23</v>
      </c>
      <c r="I1668" s="6" t="s">
        <v>32</v>
      </c>
      <c r="J1668" s="5">
        <v>100</v>
      </c>
      <c r="K1668" s="9">
        <v>102.65</v>
      </c>
      <c r="L1668" s="14">
        <f t="shared" si="100"/>
        <v>1.0265</v>
      </c>
      <c r="M1668" s="14">
        <f t="shared" si="101"/>
        <v>1.0265</v>
      </c>
      <c r="N1668" s="5" t="s">
        <v>205</v>
      </c>
      <c r="O1668" s="11" t="s">
        <v>205</v>
      </c>
      <c r="P1668" s="15">
        <v>0</v>
      </c>
      <c r="Q1668" s="15">
        <v>0</v>
      </c>
      <c r="R1668" s="5" t="s">
        <v>889</v>
      </c>
    </row>
    <row r="1669" spans="1:18" hidden="1" x14ac:dyDescent="0.3">
      <c r="A1669" s="21">
        <v>344</v>
      </c>
      <c r="B1669" s="5" t="s">
        <v>890</v>
      </c>
      <c r="C1669" s="5" t="s">
        <v>40</v>
      </c>
      <c r="D1669" s="5" t="s">
        <v>27</v>
      </c>
      <c r="E1669" s="5" t="s">
        <v>22</v>
      </c>
      <c r="F1669" s="70">
        <v>45107</v>
      </c>
      <c r="G1669" s="5">
        <v>2023</v>
      </c>
      <c r="H1669" s="5" t="s">
        <v>699</v>
      </c>
      <c r="I1669" s="6" t="s">
        <v>1512</v>
      </c>
      <c r="J1669" s="5">
        <v>90</v>
      </c>
      <c r="K1669" s="9">
        <v>97.744360902256005</v>
      </c>
      <c r="L1669" s="14">
        <f t="shared" si="100"/>
        <v>1.0860484544695113</v>
      </c>
      <c r="M1669" s="14">
        <f t="shared" si="101"/>
        <v>1.0860484544695113</v>
      </c>
      <c r="N1669" s="5" t="s">
        <v>25</v>
      </c>
      <c r="O1669" s="11" t="s">
        <v>25</v>
      </c>
      <c r="P1669" s="15">
        <v>0</v>
      </c>
      <c r="Q1669" s="15">
        <v>0</v>
      </c>
      <c r="R1669" s="5" t="s">
        <v>2649</v>
      </c>
    </row>
    <row r="1670" spans="1:18" hidden="1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1">
        <v>45291</v>
      </c>
      <c r="G1670" s="5">
        <v>2023</v>
      </c>
      <c r="H1670" s="5" t="s">
        <v>23</v>
      </c>
      <c r="I1670" s="6" t="s">
        <v>28</v>
      </c>
      <c r="J1670" s="5">
        <v>90</v>
      </c>
      <c r="K1670" s="9">
        <v>97.76</v>
      </c>
      <c r="L1670" s="14">
        <f t="shared" si="100"/>
        <v>1.0862222222222222</v>
      </c>
      <c r="M1670" s="14">
        <f t="shared" si="101"/>
        <v>1.0862222222222222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891</v>
      </c>
    </row>
    <row r="1671" spans="1:18" hidden="1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45473</v>
      </c>
      <c r="G1671" s="5">
        <v>2024</v>
      </c>
      <c r="H1671" s="5" t="s">
        <v>699</v>
      </c>
      <c r="I1671" s="6" t="s">
        <v>729</v>
      </c>
      <c r="J1671" s="5">
        <v>93</v>
      </c>
      <c r="K1671" s="9">
        <v>97.34</v>
      </c>
      <c r="L1671" s="14">
        <f t="shared" si="100"/>
        <v>1.0466666666666666</v>
      </c>
      <c r="M1671" s="14">
        <f t="shared" si="101"/>
        <v>1.0466666666666666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2650</v>
      </c>
    </row>
    <row r="1672" spans="1:18" hidden="1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45657</v>
      </c>
      <c r="G1672" s="5">
        <v>2024</v>
      </c>
      <c r="H1672" s="5" t="s">
        <v>23</v>
      </c>
      <c r="I1672" s="6" t="s">
        <v>30</v>
      </c>
      <c r="J1672" s="5">
        <v>93</v>
      </c>
      <c r="K1672" s="9">
        <v>99.19</v>
      </c>
      <c r="L1672" s="14">
        <f t="shared" si="100"/>
        <v>1.0665591397849463</v>
      </c>
      <c r="M1672" s="14">
        <f t="shared" si="101"/>
        <v>1.0665591397849463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892</v>
      </c>
    </row>
    <row r="1673" spans="1:18" hidden="1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45838</v>
      </c>
      <c r="G1673" s="5">
        <v>2025</v>
      </c>
      <c r="H1673" s="5" t="s">
        <v>699</v>
      </c>
      <c r="I1673" s="6" t="s">
        <v>700</v>
      </c>
      <c r="J1673" s="5">
        <v>93</v>
      </c>
      <c r="K1673" s="9">
        <v>99.43</v>
      </c>
      <c r="L1673" s="14">
        <f t="shared" si="100"/>
        <v>1.0691397849462367</v>
      </c>
      <c r="M1673" s="14">
        <f t="shared" si="101"/>
        <v>1.0691397849462367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2651</v>
      </c>
    </row>
    <row r="1674" spans="1:18" hidden="1" x14ac:dyDescent="0.3">
      <c r="A1674" s="21">
        <v>344</v>
      </c>
      <c r="B1674" s="5" t="s">
        <v>890</v>
      </c>
      <c r="C1674" s="5" t="s">
        <v>40</v>
      </c>
      <c r="D1674" s="5" t="s">
        <v>21</v>
      </c>
      <c r="E1674" s="5" t="s">
        <v>22</v>
      </c>
      <c r="F1674" s="71">
        <v>46022</v>
      </c>
      <c r="G1674" s="5">
        <v>2025</v>
      </c>
      <c r="H1674" s="5" t="s">
        <v>23</v>
      </c>
      <c r="I1674" s="6" t="s">
        <v>32</v>
      </c>
      <c r="J1674" s="5">
        <v>93</v>
      </c>
      <c r="K1674" s="9">
        <v>100</v>
      </c>
      <c r="L1674" s="14">
        <f t="shared" si="100"/>
        <v>1.075268817204301</v>
      </c>
      <c r="M1674" s="14">
        <f t="shared" si="101"/>
        <v>1.075268817204301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893</v>
      </c>
    </row>
    <row r="1675" spans="1:18" hidden="1" x14ac:dyDescent="0.3">
      <c r="A1675" s="21">
        <v>345</v>
      </c>
      <c r="B1675" s="5" t="s">
        <v>894</v>
      </c>
      <c r="C1675" s="5" t="s">
        <v>40</v>
      </c>
      <c r="D1675" s="5" t="s">
        <v>71</v>
      </c>
      <c r="E1675" s="5" t="s">
        <v>22</v>
      </c>
      <c r="F1675" s="71">
        <v>45291</v>
      </c>
      <c r="G1675" s="5">
        <v>2023</v>
      </c>
      <c r="H1675" s="5" t="s">
        <v>23</v>
      </c>
      <c r="I1675" s="6" t="s">
        <v>28</v>
      </c>
      <c r="J1675" s="5"/>
      <c r="K1675" s="9">
        <v>94.85</v>
      </c>
      <c r="L1675" s="8"/>
      <c r="M1675" s="14"/>
      <c r="N1675" s="5" t="s">
        <v>355</v>
      </c>
      <c r="O1675" s="11" t="s">
        <v>25</v>
      </c>
      <c r="P1675" s="15">
        <v>0</v>
      </c>
      <c r="Q1675" s="15">
        <v>0</v>
      </c>
      <c r="R1675" s="5" t="s">
        <v>895</v>
      </c>
    </row>
    <row r="1676" spans="1:18" hidden="1" x14ac:dyDescent="0.3">
      <c r="A1676" s="21">
        <v>346</v>
      </c>
      <c r="B1676" s="5" t="s">
        <v>896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10">
        <v>83.91608391608392</v>
      </c>
      <c r="L1676" s="14"/>
      <c r="M1676" s="14"/>
      <c r="N1676" s="5" t="s">
        <v>355</v>
      </c>
      <c r="O1676" s="5" t="s">
        <v>25</v>
      </c>
      <c r="P1676" s="15">
        <v>0</v>
      </c>
      <c r="Q1676" s="15">
        <v>0</v>
      </c>
      <c r="R1676" s="5" t="s">
        <v>897</v>
      </c>
    </row>
    <row r="1677" spans="1:18" hidden="1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45657</v>
      </c>
      <c r="G1677" s="5">
        <v>2024</v>
      </c>
      <c r="H1677" s="5" t="s">
        <v>23</v>
      </c>
      <c r="I1677" s="6" t="s">
        <v>30</v>
      </c>
      <c r="J1677" s="5">
        <v>85</v>
      </c>
      <c r="K1677" s="10">
        <v>91.88</v>
      </c>
      <c r="L1677" s="14">
        <f t="shared" ref="L1677:L1708" si="102">IFERROR(IF(OR(J1677=0,K1677=""),"",IF(E1677="Positivo",MIN(MAX(K1677/J1677,0),1.3),MIN(MAX(J1677/K1677,0),1.3))),"")</f>
        <v>1.0809411764705881</v>
      </c>
      <c r="M1677" s="14">
        <f t="shared" ref="M1677:M1708" si="103">IFERROR(IF(OR(J1677=0,K1677=""),"",IF(E1677="Positivo",MAX(K1677/J1677,0),MAX(J1677/K1677,0))),"")</f>
        <v>1.0809411764705881</v>
      </c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898</v>
      </c>
    </row>
    <row r="1678" spans="1:18" hidden="1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85</v>
      </c>
      <c r="K1678" s="10">
        <v>97.28</v>
      </c>
      <c r="L1678" s="14">
        <f t="shared" si="102"/>
        <v>1.1444705882352941</v>
      </c>
      <c r="M1678" s="14">
        <f t="shared" si="103"/>
        <v>1.1444705882352941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899</v>
      </c>
    </row>
    <row r="1679" spans="1:18" hidden="1" x14ac:dyDescent="0.3">
      <c r="A1679" s="21">
        <v>347</v>
      </c>
      <c r="B1679" s="5" t="s">
        <v>900</v>
      </c>
      <c r="C1679" s="5" t="s">
        <v>901</v>
      </c>
      <c r="D1679" s="5" t="s">
        <v>21</v>
      </c>
      <c r="E1679" s="5" t="s">
        <v>41</v>
      </c>
      <c r="F1679" s="71">
        <v>45016</v>
      </c>
      <c r="G1679" s="5">
        <v>2023</v>
      </c>
      <c r="H1679" s="5" t="s">
        <v>1516</v>
      </c>
      <c r="I1679" s="6" t="s">
        <v>1512</v>
      </c>
      <c r="J1679" s="5">
        <v>0</v>
      </c>
      <c r="K1679" s="10">
        <v>5</v>
      </c>
      <c r="L1679" s="14" t="str">
        <f t="shared" si="102"/>
        <v/>
      </c>
      <c r="M1679" s="14" t="str">
        <f t="shared" si="103"/>
        <v/>
      </c>
      <c r="N1679" s="5" t="s">
        <v>128</v>
      </c>
      <c r="O1679" s="5" t="s">
        <v>128</v>
      </c>
      <c r="P1679" s="15">
        <v>0</v>
      </c>
      <c r="Q1679" s="15">
        <v>0</v>
      </c>
      <c r="R1679" s="5" t="s">
        <v>2652</v>
      </c>
    </row>
    <row r="1680" spans="1:18" hidden="1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45107</v>
      </c>
      <c r="G1680" s="5">
        <v>2023</v>
      </c>
      <c r="H1680" s="5" t="s">
        <v>699</v>
      </c>
      <c r="I1680" s="6" t="s">
        <v>1512</v>
      </c>
      <c r="J1680" s="5">
        <v>0</v>
      </c>
      <c r="K1680" s="10">
        <v>8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hidden="1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45199</v>
      </c>
      <c r="G1681" s="5">
        <v>2023</v>
      </c>
      <c r="H1681" s="5" t="s">
        <v>162</v>
      </c>
      <c r="I1681" s="6" t="s">
        <v>28</v>
      </c>
      <c r="J1681" s="5">
        <v>0</v>
      </c>
      <c r="K1681" s="10">
        <v>12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hidden="1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0">
        <v>45291</v>
      </c>
      <c r="G1682" s="5">
        <v>2023</v>
      </c>
      <c r="H1682" s="5" t="s">
        <v>23</v>
      </c>
      <c r="I1682" s="6" t="s">
        <v>28</v>
      </c>
      <c r="J1682" s="5">
        <v>0</v>
      </c>
      <c r="K1682" s="5">
        <v>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902</v>
      </c>
    </row>
    <row r="1683" spans="1:18" hidden="1" x14ac:dyDescent="0.3">
      <c r="A1683" s="5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1">
        <v>45382</v>
      </c>
      <c r="G1683" s="5">
        <v>2024</v>
      </c>
      <c r="H1683" s="5" t="s">
        <v>1516</v>
      </c>
      <c r="I1683" s="6" t="s">
        <v>729</v>
      </c>
      <c r="J1683" s="5">
        <v>5</v>
      </c>
      <c r="K1683" s="5">
        <v>0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2655</v>
      </c>
    </row>
    <row r="1684" spans="1:18" hidden="1" x14ac:dyDescent="0.3">
      <c r="A1684" s="26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45473</v>
      </c>
      <c r="G1684" s="5">
        <v>2024</v>
      </c>
      <c r="H1684" s="5" t="s">
        <v>699</v>
      </c>
      <c r="I1684" s="6" t="s">
        <v>729</v>
      </c>
      <c r="J1684" s="5">
        <v>5</v>
      </c>
      <c r="K1684" s="9">
        <v>3</v>
      </c>
      <c r="L1684" s="14">
        <f t="shared" si="102"/>
        <v>1.3</v>
      </c>
      <c r="M1684" s="14">
        <f t="shared" si="103"/>
        <v>1.6666666666666667</v>
      </c>
      <c r="N1684" s="5" t="s">
        <v>128</v>
      </c>
      <c r="O1684" s="5" t="s">
        <v>128</v>
      </c>
      <c r="P1684" s="15">
        <v>0</v>
      </c>
      <c r="Q1684" s="15">
        <v>0</v>
      </c>
      <c r="R1684" s="5" t="s">
        <v>2656</v>
      </c>
    </row>
    <row r="1685" spans="1:18" hidden="1" x14ac:dyDescent="0.3">
      <c r="A1685" s="21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45565</v>
      </c>
      <c r="G1685" s="5">
        <v>2024</v>
      </c>
      <c r="H1685" s="5" t="s">
        <v>162</v>
      </c>
      <c r="I1685" s="6" t="s">
        <v>30</v>
      </c>
      <c r="J1685" s="5">
        <v>5</v>
      </c>
      <c r="K1685" s="10">
        <v>0</v>
      </c>
      <c r="L1685" s="14" t="str">
        <f t="shared" si="102"/>
        <v/>
      </c>
      <c r="M1685" s="14" t="str">
        <f t="shared" si="103"/>
        <v/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hidden="1" x14ac:dyDescent="0.3">
      <c r="A1686" s="26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45657</v>
      </c>
      <c r="G1686" s="5">
        <v>2024</v>
      </c>
      <c r="H1686" s="5" t="s">
        <v>23</v>
      </c>
      <c r="I1686" s="6" t="s">
        <v>30</v>
      </c>
      <c r="J1686" s="5">
        <v>5</v>
      </c>
      <c r="K1686" s="5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903</v>
      </c>
    </row>
    <row r="1687" spans="1:18" hidden="1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45747</v>
      </c>
      <c r="G1687" s="5">
        <v>2025</v>
      </c>
      <c r="H1687" s="5" t="s">
        <v>1516</v>
      </c>
      <c r="I1687" s="6" t="s">
        <v>700</v>
      </c>
      <c r="J1687" s="5">
        <v>5</v>
      </c>
      <c r="K1687" s="5">
        <v>1</v>
      </c>
      <c r="L1687" s="14">
        <f t="shared" si="102"/>
        <v>1.3</v>
      </c>
      <c r="M1687" s="14">
        <f t="shared" si="103"/>
        <v>5</v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2658</v>
      </c>
    </row>
    <row r="1688" spans="1:18" hidden="1" x14ac:dyDescent="0.3">
      <c r="A1688" s="5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45838</v>
      </c>
      <c r="G1688" s="5">
        <v>2025</v>
      </c>
      <c r="H1688" s="5" t="s">
        <v>699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5">
        <v>0</v>
      </c>
      <c r="Q1688" s="5">
        <v>0</v>
      </c>
      <c r="R1688" s="5" t="s">
        <v>2659</v>
      </c>
    </row>
    <row r="1689" spans="1:18" hidden="1" x14ac:dyDescent="0.3">
      <c r="A1689" s="5">
        <v>347</v>
      </c>
      <c r="B1689" s="5" t="s">
        <v>900</v>
      </c>
      <c r="C1689" s="5" t="s">
        <v>901</v>
      </c>
      <c r="D1689" s="5" t="s">
        <v>27</v>
      </c>
      <c r="E1689" s="5" t="s">
        <v>41</v>
      </c>
      <c r="F1689" s="71">
        <v>45930</v>
      </c>
      <c r="G1689" s="5">
        <v>2025</v>
      </c>
      <c r="H1689" s="5" t="s">
        <v>162</v>
      </c>
      <c r="I1689" s="6" t="s">
        <v>32</v>
      </c>
      <c r="J1689" s="5">
        <v>5</v>
      </c>
      <c r="K1689" s="5">
        <v>6</v>
      </c>
      <c r="L1689" s="14">
        <f t="shared" si="102"/>
        <v>0.83333333333333337</v>
      </c>
      <c r="M1689" s="14">
        <f t="shared" si="103"/>
        <v>0.83333333333333337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hidden="1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46022</v>
      </c>
      <c r="G1690" s="5">
        <v>2025</v>
      </c>
      <c r="H1690" s="5" t="s">
        <v>23</v>
      </c>
      <c r="I1690" s="6" t="s">
        <v>32</v>
      </c>
      <c r="J1690" s="5">
        <v>5</v>
      </c>
      <c r="K1690" s="5">
        <v>1</v>
      </c>
      <c r="L1690" s="14">
        <f t="shared" si="102"/>
        <v>1.3</v>
      </c>
      <c r="M1690" s="14">
        <f t="shared" si="103"/>
        <v>5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904</v>
      </c>
    </row>
    <row r="1691" spans="1:18" hidden="1" x14ac:dyDescent="0.3">
      <c r="A1691" s="5">
        <v>348</v>
      </c>
      <c r="B1691" s="5" t="s">
        <v>905</v>
      </c>
      <c r="C1691" s="5" t="s">
        <v>901</v>
      </c>
      <c r="D1691" s="5" t="s">
        <v>21</v>
      </c>
      <c r="E1691" s="5" t="s">
        <v>22</v>
      </c>
      <c r="F1691" s="71">
        <v>45016</v>
      </c>
      <c r="G1691" s="5">
        <v>2023</v>
      </c>
      <c r="H1691" s="5" t="s">
        <v>1516</v>
      </c>
      <c r="I1691" s="6" t="s">
        <v>1512</v>
      </c>
      <c r="J1691" s="5">
        <v>99</v>
      </c>
      <c r="K1691" s="5">
        <v>99.936143039591002</v>
      </c>
      <c r="L1691" s="14">
        <f t="shared" si="102"/>
        <v>1.0094559902988991</v>
      </c>
      <c r="M1691" s="14">
        <f t="shared" si="103"/>
        <v>1.0094559902988991</v>
      </c>
      <c r="N1691" s="5" t="s">
        <v>25</v>
      </c>
      <c r="O1691" s="5" t="s">
        <v>25</v>
      </c>
      <c r="P1691" s="5">
        <v>0</v>
      </c>
      <c r="Q1691" s="5">
        <v>0</v>
      </c>
      <c r="R1691" s="5" t="s">
        <v>2661</v>
      </c>
    </row>
    <row r="1692" spans="1:18" hidden="1" x14ac:dyDescent="0.3">
      <c r="A1692" s="21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45107</v>
      </c>
      <c r="G1692" s="5">
        <v>2023</v>
      </c>
      <c r="H1692" s="5" t="s">
        <v>699</v>
      </c>
      <c r="I1692" s="6" t="s">
        <v>1512</v>
      </c>
      <c r="J1692" s="5">
        <v>99</v>
      </c>
      <c r="K1692" s="10">
        <v>99.699248120300993</v>
      </c>
      <c r="L1692" s="14">
        <f t="shared" si="102"/>
        <v>1.0070631123262725</v>
      </c>
      <c r="M1692" s="14">
        <f t="shared" si="103"/>
        <v>1.0070631123262725</v>
      </c>
      <c r="N1692" s="5" t="s">
        <v>25</v>
      </c>
      <c r="O1692" s="5" t="s">
        <v>25</v>
      </c>
      <c r="P1692" s="15">
        <v>0</v>
      </c>
      <c r="Q1692" s="15">
        <v>0</v>
      </c>
      <c r="R1692" s="5" t="s">
        <v>2662</v>
      </c>
    </row>
    <row r="1693" spans="1:18" hidden="1" x14ac:dyDescent="0.3">
      <c r="A1693" s="5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45199</v>
      </c>
      <c r="G1693" s="5">
        <v>2023</v>
      </c>
      <c r="H1693" s="5" t="s">
        <v>162</v>
      </c>
      <c r="I1693" s="6" t="s">
        <v>28</v>
      </c>
      <c r="J1693" s="5">
        <v>99</v>
      </c>
      <c r="K1693" s="5">
        <v>100</v>
      </c>
      <c r="L1693" s="14">
        <f t="shared" si="102"/>
        <v>1.0101010101010102</v>
      </c>
      <c r="M1693" s="14">
        <f t="shared" si="103"/>
        <v>1.0101010101010102</v>
      </c>
      <c r="N1693" s="5" t="s">
        <v>25</v>
      </c>
      <c r="O1693" s="5" t="s">
        <v>25</v>
      </c>
      <c r="P1693" s="5">
        <v>0</v>
      </c>
      <c r="Q1693" s="5">
        <v>0</v>
      </c>
      <c r="R1693" s="5" t="s">
        <v>2663</v>
      </c>
    </row>
    <row r="1694" spans="1:18" hidden="1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45291</v>
      </c>
      <c r="G1694" s="5">
        <v>2023</v>
      </c>
      <c r="H1694" s="5" t="s">
        <v>23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906</v>
      </c>
    </row>
    <row r="1695" spans="1:18" hidden="1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45382</v>
      </c>
      <c r="G1695" s="5">
        <v>2024</v>
      </c>
      <c r="H1695" s="5" t="s">
        <v>1516</v>
      </c>
      <c r="I1695" s="6" t="s">
        <v>729</v>
      </c>
      <c r="J1695" s="5">
        <v>99</v>
      </c>
      <c r="K1695" s="5">
        <v>99.95</v>
      </c>
      <c r="L1695" s="14">
        <f t="shared" si="102"/>
        <v>1.0095959595959596</v>
      </c>
      <c r="M1695" s="14">
        <f t="shared" si="103"/>
        <v>1.0095959595959596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2664</v>
      </c>
    </row>
    <row r="1696" spans="1:18" hidden="1" x14ac:dyDescent="0.3">
      <c r="A1696" s="24">
        <v>348</v>
      </c>
      <c r="B1696" s="16" t="s">
        <v>905</v>
      </c>
      <c r="C1696" s="16" t="s">
        <v>901</v>
      </c>
      <c r="D1696" s="16" t="s">
        <v>21</v>
      </c>
      <c r="E1696" s="16" t="s">
        <v>22</v>
      </c>
      <c r="F1696" s="77">
        <v>45473</v>
      </c>
      <c r="G1696" s="5">
        <v>2024</v>
      </c>
      <c r="H1696" s="5" t="s">
        <v>699</v>
      </c>
      <c r="I1696" s="6" t="s">
        <v>729</v>
      </c>
      <c r="J1696" s="5">
        <v>99</v>
      </c>
      <c r="K1696" s="5">
        <v>99.9</v>
      </c>
      <c r="L1696" s="14">
        <f t="shared" si="102"/>
        <v>1.009090909090909</v>
      </c>
      <c r="M1696" s="14">
        <f t="shared" si="103"/>
        <v>1.009090909090909</v>
      </c>
      <c r="N1696" s="16" t="s">
        <v>25</v>
      </c>
      <c r="O1696" s="16" t="s">
        <v>25</v>
      </c>
      <c r="P1696" s="15">
        <v>1</v>
      </c>
      <c r="Q1696" s="15">
        <v>1</v>
      </c>
      <c r="R1696" s="5" t="s">
        <v>2665</v>
      </c>
    </row>
    <row r="1697" spans="1:18" hidden="1" x14ac:dyDescent="0.3">
      <c r="A1697" s="5">
        <v>348</v>
      </c>
      <c r="B1697" s="5" t="s">
        <v>905</v>
      </c>
      <c r="C1697" s="5" t="s">
        <v>901</v>
      </c>
      <c r="D1697" s="5" t="s">
        <v>21</v>
      </c>
      <c r="E1697" s="5" t="s">
        <v>22</v>
      </c>
      <c r="F1697" s="71">
        <v>45565</v>
      </c>
      <c r="G1697" s="5">
        <v>2024</v>
      </c>
      <c r="H1697" s="5" t="s">
        <v>162</v>
      </c>
      <c r="I1697" s="6" t="s">
        <v>30</v>
      </c>
      <c r="J1697" s="5">
        <v>99</v>
      </c>
      <c r="K1697" s="5">
        <v>100</v>
      </c>
      <c r="L1697" s="14">
        <f t="shared" si="102"/>
        <v>1.0101010101010102</v>
      </c>
      <c r="M1697" s="14">
        <f t="shared" si="103"/>
        <v>1.0101010101010102</v>
      </c>
      <c r="N1697" s="5" t="s">
        <v>25</v>
      </c>
      <c r="O1697" s="5" t="s">
        <v>25</v>
      </c>
      <c r="P1697" s="5">
        <v>1</v>
      </c>
      <c r="Q1697" s="5">
        <v>1</v>
      </c>
      <c r="R1697" s="5" t="s">
        <v>2666</v>
      </c>
    </row>
    <row r="1698" spans="1:18" hidden="1" x14ac:dyDescent="0.3">
      <c r="A1698" s="21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0">
        <v>45657</v>
      </c>
      <c r="G1698" s="5">
        <v>2024</v>
      </c>
      <c r="H1698" s="5" t="s">
        <v>23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15">
        <v>1</v>
      </c>
      <c r="Q1698" s="15">
        <v>1</v>
      </c>
      <c r="R1698" s="5" t="s">
        <v>907</v>
      </c>
    </row>
    <row r="1699" spans="1:18" hidden="1" x14ac:dyDescent="0.3">
      <c r="A1699" s="5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1">
        <v>45747</v>
      </c>
      <c r="G1699" s="5">
        <v>2025</v>
      </c>
      <c r="H1699" s="5" t="s">
        <v>1516</v>
      </c>
      <c r="I1699" s="6" t="s">
        <v>700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2667</v>
      </c>
    </row>
    <row r="1700" spans="1:18" hidden="1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1</v>
      </c>
      <c r="Q1700" s="5">
        <v>1</v>
      </c>
      <c r="R1700" s="5" t="s">
        <v>2668</v>
      </c>
    </row>
    <row r="1701" spans="1:18" hidden="1" x14ac:dyDescent="0.3">
      <c r="A1701" s="5">
        <v>348</v>
      </c>
      <c r="B1701" s="5" t="s">
        <v>905</v>
      </c>
      <c r="C1701" s="5" t="s">
        <v>901</v>
      </c>
      <c r="D1701" s="5" t="s">
        <v>27</v>
      </c>
      <c r="E1701" s="5" t="s">
        <v>22</v>
      </c>
      <c r="F1701" s="71">
        <v>45930</v>
      </c>
      <c r="G1701" s="5">
        <v>2025</v>
      </c>
      <c r="H1701" s="5" t="s">
        <v>162</v>
      </c>
      <c r="I1701" s="6" t="s">
        <v>32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2669</v>
      </c>
    </row>
    <row r="1702" spans="1:18" hidden="1" x14ac:dyDescent="0.3">
      <c r="A1702" s="21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46022</v>
      </c>
      <c r="G1702" s="5">
        <v>2025</v>
      </c>
      <c r="H1702" s="5" t="s">
        <v>23</v>
      </c>
      <c r="I1702" s="6" t="s">
        <v>32</v>
      </c>
      <c r="J1702" s="5">
        <v>99</v>
      </c>
      <c r="K1702" s="10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15">
        <v>0</v>
      </c>
      <c r="Q1702" s="15">
        <v>0</v>
      </c>
      <c r="R1702" s="5" t="s">
        <v>908</v>
      </c>
    </row>
    <row r="1703" spans="1:18" hidden="1" x14ac:dyDescent="0.3">
      <c r="A1703" s="21">
        <v>351</v>
      </c>
      <c r="B1703" s="5" t="s">
        <v>913</v>
      </c>
      <c r="C1703" s="5" t="s">
        <v>901</v>
      </c>
      <c r="D1703" s="5" t="s">
        <v>21</v>
      </c>
      <c r="E1703" s="5" t="s">
        <v>41</v>
      </c>
      <c r="F1703" s="71">
        <v>45016</v>
      </c>
      <c r="G1703" s="5">
        <v>2023</v>
      </c>
      <c r="H1703" s="5" t="s">
        <v>1516</v>
      </c>
      <c r="I1703" s="6" t="s">
        <v>1512</v>
      </c>
      <c r="J1703" s="5">
        <v>0</v>
      </c>
      <c r="K1703" s="10">
        <v>11.41868512110727</v>
      </c>
      <c r="L1703" s="14" t="str">
        <f t="shared" si="102"/>
        <v/>
      </c>
      <c r="M1703" s="14" t="str">
        <f t="shared" si="103"/>
        <v/>
      </c>
      <c r="N1703" s="5" t="s">
        <v>128</v>
      </c>
      <c r="O1703" s="5" t="s">
        <v>136</v>
      </c>
      <c r="P1703" s="15">
        <v>0</v>
      </c>
      <c r="Q1703" s="15">
        <v>0</v>
      </c>
      <c r="R1703" s="5" t="s">
        <v>2670</v>
      </c>
    </row>
    <row r="1704" spans="1:18" hidden="1" x14ac:dyDescent="0.3">
      <c r="A1704" s="5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45107</v>
      </c>
      <c r="G1704" s="5">
        <v>2023</v>
      </c>
      <c r="H1704" s="5" t="s">
        <v>699</v>
      </c>
      <c r="I1704" s="6" t="s">
        <v>1512</v>
      </c>
      <c r="J1704" s="5">
        <v>0</v>
      </c>
      <c r="K1704" s="5">
        <v>8.2333989618757837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5">
        <v>0</v>
      </c>
      <c r="Q1704" s="5">
        <v>0</v>
      </c>
      <c r="R1704" s="5" t="s">
        <v>2671</v>
      </c>
    </row>
    <row r="1705" spans="1:18" hidden="1" x14ac:dyDescent="0.3">
      <c r="A1705" s="21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45199</v>
      </c>
      <c r="G1705" s="5">
        <v>2023</v>
      </c>
      <c r="H1705" s="5" t="s">
        <v>162</v>
      </c>
      <c r="I1705" s="6" t="s">
        <v>28</v>
      </c>
      <c r="J1705" s="5">
        <v>0</v>
      </c>
      <c r="K1705" s="10">
        <v>10.29796131730267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15">
        <v>0</v>
      </c>
      <c r="Q1705" s="15">
        <v>0</v>
      </c>
      <c r="R1705" s="5" t="s">
        <v>2672</v>
      </c>
    </row>
    <row r="1706" spans="1:18" hidden="1" x14ac:dyDescent="0.3">
      <c r="A1706" s="5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45291</v>
      </c>
      <c r="G1706" s="5">
        <v>2023</v>
      </c>
      <c r="H1706" s="5" t="s">
        <v>23</v>
      </c>
      <c r="I1706" s="6" t="s">
        <v>28</v>
      </c>
      <c r="J1706" s="5">
        <v>0</v>
      </c>
      <c r="K1706" s="5">
        <v>3.5442828816920029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5">
        <v>0</v>
      </c>
      <c r="Q1706" s="5">
        <v>0</v>
      </c>
      <c r="R1706" s="5" t="s">
        <v>914</v>
      </c>
    </row>
    <row r="1707" spans="1:18" hidden="1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45382</v>
      </c>
      <c r="G1707" s="5">
        <v>2024</v>
      </c>
      <c r="H1707" s="5" t="s">
        <v>1516</v>
      </c>
      <c r="I1707" s="6" t="s">
        <v>729</v>
      </c>
      <c r="J1707" s="5">
        <v>0</v>
      </c>
      <c r="K1707" s="5">
        <v>4.999240813847555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2673</v>
      </c>
    </row>
    <row r="1708" spans="1:18" hidden="1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45473</v>
      </c>
      <c r="G1708" s="5">
        <v>2024</v>
      </c>
      <c r="H1708" s="5" t="s">
        <v>699</v>
      </c>
      <c r="I1708" s="6" t="s">
        <v>729</v>
      </c>
      <c r="J1708" s="5">
        <v>0</v>
      </c>
      <c r="K1708" s="5">
        <v>12.52996115381436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1</v>
      </c>
      <c r="R1708" s="5" t="s">
        <v>2674</v>
      </c>
    </row>
    <row r="1709" spans="1:18" hidden="1" x14ac:dyDescent="0.3">
      <c r="A1709" s="21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0">
        <v>45565</v>
      </c>
      <c r="G1709" s="5">
        <v>2024</v>
      </c>
      <c r="H1709" s="5" t="s">
        <v>162</v>
      </c>
      <c r="I1709" s="6" t="s">
        <v>30</v>
      </c>
      <c r="J1709" s="5">
        <v>0</v>
      </c>
      <c r="K1709" s="9">
        <v>3.1795721695362609</v>
      </c>
      <c r="L1709" s="14" t="str">
        <f t="shared" ref="L1709:L1738" si="104">IFERROR(IF(OR(J1709=0,K1709=""),"",IF(E1709="Positivo",MIN(MAX(K1709/J1709,0),1.3),MIN(MAX(J1709/K1709,0),1.3))),"")</f>
        <v/>
      </c>
      <c r="M1709" s="14" t="str">
        <f t="shared" ref="M1709:M1738" si="105">IFERROR(IF(OR(J1709=0,K1709=""),"",IF(E1709="Positivo",MAX(K1709/J1709,0),MAX(J1709/K1709,0))),"")</f>
        <v/>
      </c>
      <c r="N1709" s="5" t="s">
        <v>128</v>
      </c>
      <c r="O1709" s="5" t="s">
        <v>136</v>
      </c>
      <c r="P1709" s="15">
        <v>0</v>
      </c>
      <c r="Q1709" s="15">
        <v>1</v>
      </c>
      <c r="R1709" s="5" t="s">
        <v>2675</v>
      </c>
    </row>
    <row r="1710" spans="1:18" hidden="1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45657</v>
      </c>
      <c r="G1710" s="5">
        <v>2024</v>
      </c>
      <c r="H1710" s="5" t="s">
        <v>23</v>
      </c>
      <c r="I1710" s="6" t="s">
        <v>30</v>
      </c>
      <c r="J1710" s="5">
        <v>0</v>
      </c>
      <c r="K1710" s="12">
        <v>1.497983483771846</v>
      </c>
      <c r="L1710" s="14" t="str">
        <f t="shared" si="104"/>
        <v/>
      </c>
      <c r="M1710" s="14" t="str">
        <f t="shared" si="105"/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915</v>
      </c>
    </row>
    <row r="1711" spans="1:18" hidden="1" x14ac:dyDescent="0.3">
      <c r="A1711" s="5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1">
        <v>45747</v>
      </c>
      <c r="G1711" s="5">
        <v>2025</v>
      </c>
      <c r="H1711" s="5" t="s">
        <v>1516</v>
      </c>
      <c r="I1711" s="6" t="s">
        <v>700</v>
      </c>
      <c r="J1711" s="5">
        <v>0</v>
      </c>
      <c r="K1711" s="5">
        <v>0.47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5">
        <v>0</v>
      </c>
      <c r="Q1711" s="5">
        <v>0</v>
      </c>
      <c r="R1711" s="5" t="s">
        <v>2676</v>
      </c>
    </row>
    <row r="1712" spans="1:18" hidden="1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45838</v>
      </c>
      <c r="G1712" s="5">
        <v>2025</v>
      </c>
      <c r="H1712" s="5" t="s">
        <v>699</v>
      </c>
      <c r="I1712" s="6" t="s">
        <v>700</v>
      </c>
      <c r="J1712" s="73">
        <v>0</v>
      </c>
      <c r="K1712" s="9">
        <v>0.65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1</v>
      </c>
      <c r="R1712" s="5" t="s">
        <v>2677</v>
      </c>
    </row>
    <row r="1713" spans="1:18" hidden="1" x14ac:dyDescent="0.3">
      <c r="A1713" s="5">
        <v>351</v>
      </c>
      <c r="B1713" s="5" t="s">
        <v>913</v>
      </c>
      <c r="C1713" s="5" t="s">
        <v>901</v>
      </c>
      <c r="D1713" s="5" t="s">
        <v>27</v>
      </c>
      <c r="E1713" s="5" t="s">
        <v>41</v>
      </c>
      <c r="F1713" s="71">
        <v>45930</v>
      </c>
      <c r="G1713" s="5">
        <v>2025</v>
      </c>
      <c r="H1713" s="5" t="s">
        <v>162</v>
      </c>
      <c r="I1713" s="6" t="s">
        <v>32</v>
      </c>
      <c r="J1713" s="5">
        <v>0</v>
      </c>
      <c r="K1713" s="5">
        <v>0.26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916</v>
      </c>
    </row>
    <row r="1714" spans="1:18" hidden="1" x14ac:dyDescent="0.3">
      <c r="A1714" s="21">
        <v>352</v>
      </c>
      <c r="B1714" s="5" t="s">
        <v>917</v>
      </c>
      <c r="C1714" s="5" t="s">
        <v>901</v>
      </c>
      <c r="D1714" s="5" t="s">
        <v>21</v>
      </c>
      <c r="E1714" s="5" t="s">
        <v>41</v>
      </c>
      <c r="F1714" s="71">
        <v>45016</v>
      </c>
      <c r="G1714" s="5">
        <v>2023</v>
      </c>
      <c r="H1714" s="5" t="s">
        <v>1516</v>
      </c>
      <c r="I1714" s="6" t="s">
        <v>1512</v>
      </c>
      <c r="J1714" s="5">
        <v>0</v>
      </c>
      <c r="K1714" s="10">
        <v>1.0385968556480199E-2</v>
      </c>
      <c r="L1714" s="14" t="str">
        <f t="shared" si="104"/>
        <v/>
      </c>
      <c r="M1714" s="14" t="str">
        <f t="shared" si="105"/>
        <v/>
      </c>
      <c r="N1714" s="5" t="s">
        <v>25</v>
      </c>
      <c r="O1714" s="5" t="s">
        <v>25</v>
      </c>
      <c r="P1714" s="15">
        <v>0</v>
      </c>
      <c r="Q1714" s="15">
        <v>2</v>
      </c>
      <c r="R1714" s="5" t="s">
        <v>2678</v>
      </c>
    </row>
    <row r="1715" spans="1:18" hidden="1" x14ac:dyDescent="0.3">
      <c r="A1715" s="5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45107</v>
      </c>
      <c r="G1715" s="5">
        <v>2023</v>
      </c>
      <c r="H1715" s="5" t="s">
        <v>699</v>
      </c>
      <c r="I1715" s="6" t="s">
        <v>1512</v>
      </c>
      <c r="J1715" s="5">
        <v>0</v>
      </c>
      <c r="K1715" s="5">
        <v>2.7700831024930699E-2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5">
        <v>0</v>
      </c>
      <c r="Q1715" s="5">
        <v>2</v>
      </c>
      <c r="R1715" s="5" t="s">
        <v>2679</v>
      </c>
    </row>
    <row r="1716" spans="1:18" hidden="1" x14ac:dyDescent="0.3">
      <c r="A1716" s="21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45199</v>
      </c>
      <c r="G1716" s="5">
        <v>2023</v>
      </c>
      <c r="H1716" s="5" t="s">
        <v>162</v>
      </c>
      <c r="I1716" s="6" t="s">
        <v>28</v>
      </c>
      <c r="J1716" s="5">
        <v>0</v>
      </c>
      <c r="K1716" s="10">
        <v>2.5117345096623198E-2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15">
        <v>0</v>
      </c>
      <c r="Q1716" s="15">
        <v>2</v>
      </c>
      <c r="R1716" s="5" t="s">
        <v>2680</v>
      </c>
    </row>
    <row r="1717" spans="1:18" hidden="1" x14ac:dyDescent="0.3">
      <c r="A1717" s="5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45291</v>
      </c>
      <c r="G1717" s="5">
        <v>2023</v>
      </c>
      <c r="H1717" s="5" t="s">
        <v>23</v>
      </c>
      <c r="I1717" s="6" t="s">
        <v>28</v>
      </c>
      <c r="J1717" s="5">
        <v>0</v>
      </c>
      <c r="K1717" s="5">
        <v>0.28327481646983721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5">
        <v>0</v>
      </c>
      <c r="Q1717" s="5">
        <v>2</v>
      </c>
      <c r="R1717" s="5" t="s">
        <v>918</v>
      </c>
    </row>
    <row r="1718" spans="1:18" hidden="1" x14ac:dyDescent="0.3">
      <c r="A1718" s="21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45382</v>
      </c>
      <c r="G1718" s="5">
        <v>2024</v>
      </c>
      <c r="H1718" s="5" t="s">
        <v>1516</v>
      </c>
      <c r="I1718" s="6" t="s">
        <v>729</v>
      </c>
      <c r="J1718" s="5">
        <v>0</v>
      </c>
      <c r="K1718" s="10">
        <v>2.4404380586315201E-2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15">
        <v>0</v>
      </c>
      <c r="Q1718" s="15">
        <v>2</v>
      </c>
      <c r="R1718" s="5" t="s">
        <v>2681</v>
      </c>
    </row>
    <row r="1719" spans="1:18" hidden="1" x14ac:dyDescent="0.3">
      <c r="A1719" s="5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45473</v>
      </c>
      <c r="G1719" s="5">
        <v>2024</v>
      </c>
      <c r="H1719" s="5" t="s">
        <v>699</v>
      </c>
      <c r="I1719" s="6" t="s">
        <v>729</v>
      </c>
      <c r="J1719" s="5">
        <v>0</v>
      </c>
      <c r="K1719" s="5">
        <v>0.14879897966413941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5">
        <v>2</v>
      </c>
      <c r="R1719" s="5" t="s">
        <v>2682</v>
      </c>
    </row>
    <row r="1720" spans="1:18" hidden="1" x14ac:dyDescent="0.3">
      <c r="A1720" s="21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45565</v>
      </c>
      <c r="G1720" s="5">
        <v>2024</v>
      </c>
      <c r="H1720" s="5" t="s">
        <v>162</v>
      </c>
      <c r="I1720" s="6" t="s">
        <v>30</v>
      </c>
      <c r="J1720" s="5">
        <v>0</v>
      </c>
      <c r="K1720" s="54">
        <v>9.651857499975E-4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15">
        <v>2</v>
      </c>
      <c r="R1720" s="5" t="s">
        <v>2683</v>
      </c>
    </row>
    <row r="1721" spans="1:18" hidden="1" x14ac:dyDescent="0.3">
      <c r="A1721" s="5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45657</v>
      </c>
      <c r="G1721" s="5">
        <v>2024</v>
      </c>
      <c r="H1721" s="5" t="s">
        <v>23</v>
      </c>
      <c r="I1721" s="6" t="s">
        <v>30</v>
      </c>
      <c r="J1721" s="5">
        <v>0</v>
      </c>
      <c r="K1721" s="54">
        <v>0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5">
        <v>2</v>
      </c>
      <c r="R1721" s="5" t="s">
        <v>919</v>
      </c>
    </row>
    <row r="1722" spans="1:18" hidden="1" x14ac:dyDescent="0.3">
      <c r="A1722" s="21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45747</v>
      </c>
      <c r="G1722" s="5">
        <v>2025</v>
      </c>
      <c r="H1722" s="5" t="s">
        <v>1516</v>
      </c>
      <c r="I1722" s="6" t="s">
        <v>700</v>
      </c>
      <c r="J1722" s="5">
        <v>0</v>
      </c>
      <c r="K1722" s="10">
        <v>0</v>
      </c>
      <c r="L1722" s="14" t="str">
        <f t="shared" si="104"/>
        <v/>
      </c>
      <c r="M1722" s="14" t="str">
        <f t="shared" si="105"/>
        <v/>
      </c>
      <c r="N1722" s="11" t="s">
        <v>25</v>
      </c>
      <c r="O1722" s="11" t="s">
        <v>25</v>
      </c>
      <c r="P1722" s="15">
        <v>0</v>
      </c>
      <c r="Q1722" s="15">
        <v>2</v>
      </c>
      <c r="R1722" s="5" t="s">
        <v>2684</v>
      </c>
    </row>
    <row r="1723" spans="1:18" hidden="1" x14ac:dyDescent="0.3">
      <c r="A1723" s="5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45838</v>
      </c>
      <c r="G1723" s="5">
        <v>2025</v>
      </c>
      <c r="H1723" s="5" t="s">
        <v>699</v>
      </c>
      <c r="I1723" s="6" t="s">
        <v>700</v>
      </c>
      <c r="J1723" s="5">
        <v>0</v>
      </c>
      <c r="K1723" s="5">
        <v>0.01</v>
      </c>
      <c r="L1723" s="14" t="str">
        <f t="shared" si="104"/>
        <v/>
      </c>
      <c r="M1723" s="14" t="str">
        <f t="shared" si="105"/>
        <v/>
      </c>
      <c r="N1723" s="5" t="s">
        <v>25</v>
      </c>
      <c r="O1723" s="17" t="s">
        <v>25</v>
      </c>
      <c r="P1723" s="5">
        <v>0</v>
      </c>
      <c r="Q1723" s="5">
        <v>2</v>
      </c>
      <c r="R1723" s="5" t="s">
        <v>2685</v>
      </c>
    </row>
    <row r="1724" spans="1:18" hidden="1" x14ac:dyDescent="0.3">
      <c r="A1724" s="21">
        <v>352</v>
      </c>
      <c r="B1724" s="5" t="s">
        <v>917</v>
      </c>
      <c r="C1724" s="5" t="s">
        <v>901</v>
      </c>
      <c r="D1724" s="5" t="s">
        <v>27</v>
      </c>
      <c r="E1724" s="5" t="s">
        <v>41</v>
      </c>
      <c r="F1724" s="71">
        <v>45930</v>
      </c>
      <c r="G1724" s="5">
        <v>2025</v>
      </c>
      <c r="H1724" s="5" t="s">
        <v>162</v>
      </c>
      <c r="I1724" s="6" t="s">
        <v>32</v>
      </c>
      <c r="J1724" s="5">
        <v>0</v>
      </c>
      <c r="K1724" s="10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5" t="s">
        <v>25</v>
      </c>
      <c r="P1724" s="15">
        <v>0</v>
      </c>
      <c r="Q1724" s="15">
        <v>2</v>
      </c>
      <c r="R1724" s="5" t="s">
        <v>920</v>
      </c>
    </row>
    <row r="1725" spans="1:18" hidden="1" x14ac:dyDescent="0.3">
      <c r="A1725" s="21">
        <v>353</v>
      </c>
      <c r="B1725" s="5" t="s">
        <v>921</v>
      </c>
      <c r="C1725" s="5" t="s">
        <v>922</v>
      </c>
      <c r="D1725" s="5" t="s">
        <v>27</v>
      </c>
      <c r="E1725" s="5" t="s">
        <v>22</v>
      </c>
      <c r="F1725" s="71">
        <v>45107</v>
      </c>
      <c r="G1725" s="5">
        <v>2023</v>
      </c>
      <c r="H1725" s="5" t="s">
        <v>699</v>
      </c>
      <c r="I1725" s="6" t="s">
        <v>1512</v>
      </c>
      <c r="J1725" s="5">
        <v>35</v>
      </c>
      <c r="K1725" s="10">
        <v>40.384615384615003</v>
      </c>
      <c r="L1725" s="14">
        <f t="shared" si="104"/>
        <v>1.1538461538461429</v>
      </c>
      <c r="M1725" s="14">
        <f t="shared" si="105"/>
        <v>1.1538461538461429</v>
      </c>
      <c r="N1725" s="5" t="s">
        <v>136</v>
      </c>
      <c r="O1725" s="5" t="s">
        <v>136</v>
      </c>
      <c r="P1725" s="15">
        <v>0</v>
      </c>
      <c r="Q1725" s="15">
        <v>0</v>
      </c>
      <c r="R1725" s="5" t="s">
        <v>2686</v>
      </c>
    </row>
    <row r="1726" spans="1:18" hidden="1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45291</v>
      </c>
      <c r="G1726" s="5">
        <v>2023</v>
      </c>
      <c r="H1726" s="5" t="s">
        <v>23</v>
      </c>
      <c r="I1726" s="6" t="s">
        <v>28</v>
      </c>
      <c r="J1726" s="5">
        <v>35</v>
      </c>
      <c r="K1726" s="5">
        <v>40.384615384615401</v>
      </c>
      <c r="L1726" s="14">
        <f t="shared" si="104"/>
        <v>1.1538461538461544</v>
      </c>
      <c r="M1726" s="14">
        <f t="shared" si="105"/>
        <v>1.1538461538461544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923</v>
      </c>
    </row>
    <row r="1727" spans="1:18" hidden="1" x14ac:dyDescent="0.3">
      <c r="A1727" s="21">
        <v>354</v>
      </c>
      <c r="B1727" s="5" t="s">
        <v>924</v>
      </c>
      <c r="C1727" s="5" t="s">
        <v>922</v>
      </c>
      <c r="D1727" s="5" t="s">
        <v>27</v>
      </c>
      <c r="E1727" s="5" t="s">
        <v>22</v>
      </c>
      <c r="F1727" s="71">
        <v>45107</v>
      </c>
      <c r="G1727" s="5">
        <v>2023</v>
      </c>
      <c r="H1727" s="5" t="s">
        <v>699</v>
      </c>
      <c r="I1727" s="6" t="s">
        <v>1512</v>
      </c>
      <c r="J1727" s="5">
        <v>10</v>
      </c>
      <c r="K1727" s="10">
        <v>5.07</v>
      </c>
      <c r="L1727" s="14">
        <f t="shared" si="104"/>
        <v>0.50700000000000001</v>
      </c>
      <c r="M1727" s="14">
        <f t="shared" si="105"/>
        <v>0.50700000000000001</v>
      </c>
      <c r="N1727" s="5" t="s">
        <v>136</v>
      </c>
      <c r="O1727" s="5" t="s">
        <v>136</v>
      </c>
      <c r="P1727" s="15">
        <v>2</v>
      </c>
      <c r="Q1727" s="15">
        <v>2</v>
      </c>
      <c r="R1727" s="5" t="s">
        <v>2687</v>
      </c>
    </row>
    <row r="1728" spans="1:18" hidden="1" x14ac:dyDescent="0.3">
      <c r="A1728" s="5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45291</v>
      </c>
      <c r="G1728" s="5">
        <v>2023</v>
      </c>
      <c r="H1728" s="5" t="s">
        <v>23</v>
      </c>
      <c r="I1728" s="6" t="s">
        <v>28</v>
      </c>
      <c r="J1728" s="5">
        <v>10</v>
      </c>
      <c r="K1728" s="5">
        <v>31.77</v>
      </c>
      <c r="L1728" s="14">
        <f t="shared" si="104"/>
        <v>1.3</v>
      </c>
      <c r="M1728" s="14">
        <f t="shared" si="105"/>
        <v>3.177</v>
      </c>
      <c r="N1728" s="5" t="s">
        <v>136</v>
      </c>
      <c r="O1728" s="5" t="s">
        <v>136</v>
      </c>
      <c r="P1728" s="5">
        <v>0</v>
      </c>
      <c r="Q1728" s="5">
        <v>0</v>
      </c>
      <c r="R1728" s="5" t="s">
        <v>925</v>
      </c>
    </row>
    <row r="1729" spans="1:19" hidden="1" x14ac:dyDescent="0.3">
      <c r="A1729" s="21">
        <v>355</v>
      </c>
      <c r="B1729" s="5" t="s">
        <v>926</v>
      </c>
      <c r="C1729" s="5" t="s">
        <v>927</v>
      </c>
      <c r="D1729" s="5" t="s">
        <v>71</v>
      </c>
      <c r="E1729" s="5" t="s">
        <v>22</v>
      </c>
      <c r="F1729" s="71">
        <v>45107</v>
      </c>
      <c r="G1729" s="5">
        <v>2023</v>
      </c>
      <c r="H1729" s="5" t="s">
        <v>699</v>
      </c>
      <c r="I1729" s="6" t="s">
        <v>1512</v>
      </c>
      <c r="J1729" s="5">
        <v>1</v>
      </c>
      <c r="K1729" s="10">
        <v>0.31754780991781001</v>
      </c>
      <c r="L1729" s="14">
        <f t="shared" si="104"/>
        <v>0.31754780991781001</v>
      </c>
      <c r="M1729" s="14">
        <f t="shared" si="105"/>
        <v>0.31754780991781001</v>
      </c>
      <c r="N1729" s="5" t="s">
        <v>128</v>
      </c>
      <c r="O1729" s="5" t="s">
        <v>136</v>
      </c>
      <c r="P1729" s="15">
        <v>1</v>
      </c>
      <c r="Q1729" s="15">
        <v>1</v>
      </c>
      <c r="R1729" s="5" t="s">
        <v>2688</v>
      </c>
    </row>
    <row r="1730" spans="1:19" hidden="1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45291</v>
      </c>
      <c r="G1730" s="5">
        <v>2023</v>
      </c>
      <c r="H1730" s="5" t="s">
        <v>23</v>
      </c>
      <c r="I1730" s="6" t="s">
        <v>28</v>
      </c>
      <c r="J1730" s="5">
        <v>1</v>
      </c>
      <c r="K1730" s="10">
        <v>1.64916004403234</v>
      </c>
      <c r="L1730" s="14">
        <f t="shared" si="104"/>
        <v>1.3</v>
      </c>
      <c r="M1730" s="14">
        <f t="shared" si="105"/>
        <v>1.64916004403234</v>
      </c>
      <c r="N1730" s="5" t="s">
        <v>136</v>
      </c>
      <c r="O1730" s="5" t="s">
        <v>136</v>
      </c>
      <c r="P1730" s="15">
        <v>0</v>
      </c>
      <c r="Q1730" s="15">
        <v>0</v>
      </c>
      <c r="R1730" s="5" t="s">
        <v>928</v>
      </c>
    </row>
    <row r="1731" spans="1:19" hidden="1" x14ac:dyDescent="0.3">
      <c r="A1731" s="5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45657</v>
      </c>
      <c r="G1731" s="5">
        <v>2024</v>
      </c>
      <c r="H1731" s="5" t="s">
        <v>23</v>
      </c>
      <c r="I1731" s="6" t="s">
        <v>30</v>
      </c>
      <c r="J1731" s="5">
        <v>1.7</v>
      </c>
      <c r="K1731" s="5">
        <v>1.69</v>
      </c>
      <c r="L1731" s="14">
        <f t="shared" si="104"/>
        <v>0.99411764705882355</v>
      </c>
      <c r="M1731" s="14">
        <f t="shared" si="105"/>
        <v>0.99411764705882355</v>
      </c>
      <c r="N1731" s="5"/>
      <c r="O1731" s="5"/>
      <c r="P1731" s="5">
        <v>0</v>
      </c>
      <c r="Q1731" s="5">
        <v>0</v>
      </c>
      <c r="R1731" s="5" t="s">
        <v>929</v>
      </c>
    </row>
    <row r="1732" spans="1:19" hidden="1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46022</v>
      </c>
      <c r="G1732" s="5">
        <v>2025</v>
      </c>
      <c r="H1732" s="5" t="s">
        <v>23</v>
      </c>
      <c r="I1732" s="6" t="s">
        <v>32</v>
      </c>
      <c r="J1732" s="5">
        <v>1.4</v>
      </c>
      <c r="K1732" s="5">
        <v>1.56</v>
      </c>
      <c r="L1732" s="14">
        <f t="shared" si="104"/>
        <v>1.1142857142857143</v>
      </c>
      <c r="M1732" s="14">
        <f t="shared" si="105"/>
        <v>1.1142857142857143</v>
      </c>
      <c r="N1732" s="5" t="s">
        <v>128</v>
      </c>
      <c r="O1732" s="5" t="s">
        <v>136</v>
      </c>
      <c r="P1732" s="15">
        <v>1</v>
      </c>
      <c r="Q1732" s="5">
        <v>1</v>
      </c>
      <c r="R1732" s="5" t="s">
        <v>930</v>
      </c>
    </row>
    <row r="1733" spans="1:19" hidden="1" x14ac:dyDescent="0.3">
      <c r="A1733" s="21">
        <v>356</v>
      </c>
      <c r="B1733" s="5" t="s">
        <v>931</v>
      </c>
      <c r="C1733" s="5" t="s">
        <v>927</v>
      </c>
      <c r="D1733" s="5" t="s">
        <v>27</v>
      </c>
      <c r="E1733" s="5" t="s">
        <v>41</v>
      </c>
      <c r="F1733" s="71">
        <v>45107</v>
      </c>
      <c r="G1733" s="5">
        <v>2023</v>
      </c>
      <c r="H1733" s="5" t="s">
        <v>699</v>
      </c>
      <c r="I1733" s="6" t="s">
        <v>1512</v>
      </c>
      <c r="J1733" s="73">
        <v>60</v>
      </c>
      <c r="K1733" s="9">
        <v>49.213961407602</v>
      </c>
      <c r="L1733" s="14">
        <f t="shared" si="104"/>
        <v>1.219166234212796</v>
      </c>
      <c r="M1733" s="14">
        <f t="shared" si="105"/>
        <v>1.219166234212796</v>
      </c>
      <c r="N1733" s="5" t="s">
        <v>25</v>
      </c>
      <c r="O1733" s="5" t="s">
        <v>25</v>
      </c>
      <c r="P1733" s="15">
        <v>0</v>
      </c>
      <c r="Q1733" s="15">
        <v>0</v>
      </c>
      <c r="R1733" s="5" t="s">
        <v>2689</v>
      </c>
    </row>
    <row r="1734" spans="1:19" hidden="1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45291</v>
      </c>
      <c r="G1734" s="5">
        <v>2023</v>
      </c>
      <c r="H1734" s="5" t="s">
        <v>23</v>
      </c>
      <c r="I1734" s="6" t="s">
        <v>28</v>
      </c>
      <c r="J1734" s="5">
        <v>60</v>
      </c>
      <c r="K1734" s="5">
        <v>61.54</v>
      </c>
      <c r="L1734" s="14">
        <f t="shared" si="104"/>
        <v>0.9749756256093598</v>
      </c>
      <c r="M1734" s="14">
        <f t="shared" si="105"/>
        <v>0.9749756256093598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932</v>
      </c>
    </row>
    <row r="1735" spans="1:19" hidden="1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60</v>
      </c>
      <c r="K1735" s="5">
        <v>54.08</v>
      </c>
      <c r="L1735" s="14">
        <f t="shared" si="104"/>
        <v>1.1094674556213018</v>
      </c>
      <c r="M1735" s="14">
        <f t="shared" si="105"/>
        <v>1.1094674556213018</v>
      </c>
      <c r="N1735" s="5" t="s">
        <v>25</v>
      </c>
      <c r="O1735" s="5" t="s">
        <v>25</v>
      </c>
      <c r="P1735" s="15">
        <v>1</v>
      </c>
      <c r="Q1735" s="15">
        <v>1</v>
      </c>
      <c r="R1735" s="5" t="s">
        <v>2690</v>
      </c>
    </row>
    <row r="1736" spans="1:19" hidden="1" x14ac:dyDescent="0.3">
      <c r="A1736" s="5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0">
        <v>45657</v>
      </c>
      <c r="G1736" s="5">
        <v>2024</v>
      </c>
      <c r="H1736" s="5" t="s">
        <v>23</v>
      </c>
      <c r="I1736" s="6" t="s">
        <v>30</v>
      </c>
      <c r="J1736" s="5">
        <v>60</v>
      </c>
      <c r="K1736" s="9">
        <v>65.55</v>
      </c>
      <c r="L1736" s="14">
        <f t="shared" si="104"/>
        <v>0.91533180778032042</v>
      </c>
      <c r="M1736" s="14">
        <f t="shared" si="105"/>
        <v>0.91533180778032042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933</v>
      </c>
    </row>
    <row r="1737" spans="1:19" hidden="1" x14ac:dyDescent="0.3">
      <c r="A1737" s="28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45838</v>
      </c>
      <c r="G1737" s="5">
        <v>2025</v>
      </c>
      <c r="H1737" s="5" t="s">
        <v>699</v>
      </c>
      <c r="I1737" s="6" t="s">
        <v>700</v>
      </c>
      <c r="J1737" s="3">
        <v>60</v>
      </c>
      <c r="K1737" s="9">
        <v>49.14</v>
      </c>
      <c r="L1737" s="14">
        <f t="shared" si="104"/>
        <v>1.2210012210012209</v>
      </c>
      <c r="M1737" s="14">
        <f t="shared" si="105"/>
        <v>1.2210012210012209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2691</v>
      </c>
    </row>
    <row r="1738" spans="1:19" hidden="1" x14ac:dyDescent="0.3">
      <c r="A1738" s="21">
        <v>356</v>
      </c>
      <c r="B1738" s="5" t="s">
        <v>931</v>
      </c>
      <c r="C1738" s="5" t="s">
        <v>927</v>
      </c>
      <c r="D1738" s="5" t="s">
        <v>21</v>
      </c>
      <c r="E1738" s="5" t="s">
        <v>41</v>
      </c>
      <c r="F1738" s="71">
        <v>46022</v>
      </c>
      <c r="G1738" s="5">
        <v>2025</v>
      </c>
      <c r="H1738" s="5" t="s">
        <v>23</v>
      </c>
      <c r="I1738" s="6" t="s">
        <v>32</v>
      </c>
      <c r="J1738" s="5">
        <v>60</v>
      </c>
      <c r="K1738" s="10">
        <v>64.77</v>
      </c>
      <c r="L1738" s="14">
        <f t="shared" si="104"/>
        <v>0.92635479388605846</v>
      </c>
      <c r="M1738" s="14">
        <f t="shared" si="105"/>
        <v>0.92635479388605846</v>
      </c>
      <c r="N1738" s="5" t="s">
        <v>25</v>
      </c>
      <c r="O1738" s="5" t="s">
        <v>25</v>
      </c>
      <c r="P1738" s="15">
        <v>0</v>
      </c>
      <c r="Q1738" s="15">
        <v>1</v>
      </c>
      <c r="R1738" s="5" t="s">
        <v>934</v>
      </c>
    </row>
    <row r="1739" spans="1:19" hidden="1" x14ac:dyDescent="0.3">
      <c r="A1739" s="28">
        <v>357</v>
      </c>
      <c r="B1739" s="5" t="s">
        <v>935</v>
      </c>
      <c r="C1739" s="5" t="s">
        <v>927</v>
      </c>
      <c r="D1739" s="5" t="s">
        <v>27</v>
      </c>
      <c r="E1739" s="5" t="s">
        <v>22</v>
      </c>
      <c r="F1739" s="71">
        <v>45107</v>
      </c>
      <c r="G1739" s="5">
        <v>2023</v>
      </c>
      <c r="H1739" s="5" t="s">
        <v>699</v>
      </c>
      <c r="I1739" s="6" t="s">
        <v>1512</v>
      </c>
      <c r="J1739" s="5"/>
      <c r="K1739" s="5">
        <v>3.0055354363175999</v>
      </c>
      <c r="L1739" s="14"/>
      <c r="M1739" s="14"/>
      <c r="N1739" s="5" t="s">
        <v>263</v>
      </c>
      <c r="O1739" s="5" t="s">
        <v>136</v>
      </c>
      <c r="P1739" s="15">
        <v>2</v>
      </c>
      <c r="Q1739" s="15">
        <v>2</v>
      </c>
      <c r="R1739" s="5" t="s">
        <v>2692</v>
      </c>
    </row>
    <row r="1740" spans="1:19" hidden="1" x14ac:dyDescent="0.3">
      <c r="A1740" s="21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45291</v>
      </c>
      <c r="G1740" s="5">
        <v>2023</v>
      </c>
      <c r="H1740" s="5" t="s">
        <v>23</v>
      </c>
      <c r="I1740" s="6" t="s">
        <v>28</v>
      </c>
      <c r="J1740" s="73"/>
      <c r="K1740" s="9">
        <v>4.45</v>
      </c>
      <c r="L1740" s="14"/>
      <c r="M1740" s="14"/>
      <c r="N1740" s="5" t="s">
        <v>263</v>
      </c>
      <c r="O1740" s="5" t="s">
        <v>136</v>
      </c>
      <c r="P1740" s="15">
        <v>0</v>
      </c>
      <c r="Q1740" s="15">
        <v>0</v>
      </c>
      <c r="R1740" s="5" t="s">
        <v>936</v>
      </c>
    </row>
    <row r="1741" spans="1:19" hidden="1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45473</v>
      </c>
      <c r="G1741" s="5">
        <v>2024</v>
      </c>
      <c r="H1741" s="5" t="s">
        <v>699</v>
      </c>
      <c r="I1741" s="6" t="s">
        <v>729</v>
      </c>
      <c r="J1741" s="5"/>
      <c r="K1741" s="10">
        <v>3.87</v>
      </c>
      <c r="L1741" s="14"/>
      <c r="M1741" s="14"/>
      <c r="N1741" s="5" t="s">
        <v>263</v>
      </c>
      <c r="O1741" s="5" t="s">
        <v>136</v>
      </c>
      <c r="P1741" s="15">
        <v>2</v>
      </c>
      <c r="Q1741" s="15">
        <v>2</v>
      </c>
      <c r="R1741" s="5" t="s">
        <v>2693</v>
      </c>
    </row>
    <row r="1742" spans="1:19" hidden="1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45657</v>
      </c>
      <c r="G1742" s="5">
        <v>2024</v>
      </c>
      <c r="H1742" s="5" t="s">
        <v>23</v>
      </c>
      <c r="I1742" s="6" t="s">
        <v>30</v>
      </c>
      <c r="J1742" s="5"/>
      <c r="K1742" s="10">
        <v>0.51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937</v>
      </c>
    </row>
    <row r="1743" spans="1:19" hidden="1" x14ac:dyDescent="0.3">
      <c r="A1743" s="5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45838</v>
      </c>
      <c r="G1743" s="5">
        <v>2025</v>
      </c>
      <c r="H1743" s="5" t="s">
        <v>699</v>
      </c>
      <c r="I1743" s="6" t="s">
        <v>700</v>
      </c>
      <c r="J1743" s="5"/>
      <c r="K1743" s="5">
        <v>0.85</v>
      </c>
      <c r="L1743" s="8"/>
      <c r="M1743" s="14"/>
      <c r="N1743" s="5" t="s">
        <v>263</v>
      </c>
      <c r="O1743" s="5" t="s">
        <v>136</v>
      </c>
      <c r="P1743" s="5">
        <v>2</v>
      </c>
      <c r="Q1743" s="5">
        <v>2</v>
      </c>
      <c r="R1743" s="5" t="s">
        <v>2694</v>
      </c>
    </row>
    <row r="1744" spans="1:19" hidden="1" x14ac:dyDescent="0.3">
      <c r="A1744" s="5">
        <v>357</v>
      </c>
      <c r="B1744" s="5" t="s">
        <v>938</v>
      </c>
      <c r="C1744" s="5" t="s">
        <v>927</v>
      </c>
      <c r="D1744" s="5" t="s">
        <v>21</v>
      </c>
      <c r="E1744" s="5" t="s">
        <v>22</v>
      </c>
      <c r="F1744" s="71">
        <v>46022</v>
      </c>
      <c r="G1744" s="5">
        <v>2025</v>
      </c>
      <c r="H1744" s="5" t="s">
        <v>23</v>
      </c>
      <c r="I1744" s="6" t="s">
        <v>32</v>
      </c>
      <c r="J1744" s="5">
        <v>10049277970</v>
      </c>
      <c r="K1744" s="5">
        <v>0.44</v>
      </c>
      <c r="L1744" s="8"/>
      <c r="M1744" s="14"/>
      <c r="N1744" s="5" t="s">
        <v>263</v>
      </c>
      <c r="O1744" s="5"/>
      <c r="P1744" s="5">
        <v>0</v>
      </c>
      <c r="Q1744" s="5">
        <v>2</v>
      </c>
      <c r="R1744" s="5" t="s">
        <v>939</v>
      </c>
      <c r="S1744" t="s">
        <v>263</v>
      </c>
    </row>
    <row r="1745" spans="1:19" hidden="1" x14ac:dyDescent="0.3">
      <c r="A1745" s="5">
        <v>358</v>
      </c>
      <c r="B1745" s="5" t="s">
        <v>940</v>
      </c>
      <c r="C1745" s="5" t="s">
        <v>941</v>
      </c>
      <c r="D1745" s="5" t="s">
        <v>27</v>
      </c>
      <c r="E1745" s="5" t="s">
        <v>22</v>
      </c>
      <c r="F1745" s="71">
        <v>45107</v>
      </c>
      <c r="G1745" s="5">
        <v>2023</v>
      </c>
      <c r="H1745" s="5" t="s">
        <v>699</v>
      </c>
      <c r="I1745" s="6" t="s">
        <v>1512</v>
      </c>
      <c r="J1745" s="5">
        <v>87</v>
      </c>
      <c r="K1745" s="5">
        <v>86.984536082473994</v>
      </c>
      <c r="L1745" s="14">
        <f t="shared" ref="L1745:L1757" si="106">IFERROR(IF(OR(J1745=0,K1745=""),"",IF(E1745="Positivo",MIN(MAX(K1745/J1745,0),1.3),MIN(MAX(J1745/K1745,0),1.3))),"")</f>
        <v>0.99982225382154011</v>
      </c>
      <c r="M1745" s="14">
        <f t="shared" ref="M1745:M1757" si="107">IFERROR(IF(OR(J1745=0,K1745=""),"",IF(E1745="Positivo",MAX(K1745/J1745,0),MAX(J1745/K1745,0))),"")</f>
        <v>0.99982225382154011</v>
      </c>
      <c r="N1745" s="5" t="s">
        <v>25</v>
      </c>
      <c r="O1745" s="5" t="s">
        <v>25</v>
      </c>
      <c r="P1745" s="5">
        <v>0</v>
      </c>
      <c r="Q1745" s="5">
        <v>0</v>
      </c>
      <c r="R1745" s="5" t="s">
        <v>2695</v>
      </c>
    </row>
    <row r="1746" spans="1:19" hidden="1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45291</v>
      </c>
      <c r="G1746" s="5">
        <v>2023</v>
      </c>
      <c r="H1746" s="5" t="s">
        <v>23</v>
      </c>
      <c r="I1746" s="6" t="s">
        <v>28</v>
      </c>
      <c r="J1746" s="5">
        <v>87</v>
      </c>
      <c r="K1746" s="5">
        <v>95</v>
      </c>
      <c r="L1746" s="14">
        <f t="shared" si="106"/>
        <v>1.0919540229885059</v>
      </c>
      <c r="M1746" s="14">
        <f t="shared" si="107"/>
        <v>1.0919540229885059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942</v>
      </c>
    </row>
    <row r="1747" spans="1:19" hidden="1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45473</v>
      </c>
      <c r="G1747" s="5">
        <v>2024</v>
      </c>
      <c r="H1747" s="5" t="s">
        <v>699</v>
      </c>
      <c r="I1747" s="6" t="s">
        <v>729</v>
      </c>
      <c r="J1747" s="5">
        <v>87</v>
      </c>
      <c r="K1747" s="5">
        <v>97.99</v>
      </c>
      <c r="L1747" s="14">
        <f t="shared" si="106"/>
        <v>1.1263218390804597</v>
      </c>
      <c r="M1747" s="14">
        <f t="shared" si="107"/>
        <v>1.1263218390804597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2696</v>
      </c>
    </row>
    <row r="1748" spans="1:19" hidden="1" x14ac:dyDescent="0.3">
      <c r="A1748" s="21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87</v>
      </c>
      <c r="K1748" s="10">
        <v>100</v>
      </c>
      <c r="L1748" s="14">
        <f t="shared" si="106"/>
        <v>1.1494252873563218</v>
      </c>
      <c r="M1748" s="55">
        <f t="shared" si="107"/>
        <v>1.1494252873563218</v>
      </c>
      <c r="N1748" s="5" t="s">
        <v>25</v>
      </c>
      <c r="O1748" s="5" t="s">
        <v>25</v>
      </c>
      <c r="P1748" s="15">
        <v>0</v>
      </c>
      <c r="Q1748" s="15">
        <v>0</v>
      </c>
      <c r="R1748" s="5" t="s">
        <v>943</v>
      </c>
    </row>
    <row r="1749" spans="1:19" hidden="1" x14ac:dyDescent="0.3">
      <c r="A1749" s="5">
        <v>358</v>
      </c>
      <c r="B1749" s="5" t="s">
        <v>944</v>
      </c>
      <c r="C1749" s="5" t="s">
        <v>941</v>
      </c>
      <c r="D1749" s="5" t="s">
        <v>21</v>
      </c>
      <c r="E1749" s="5" t="s">
        <v>22</v>
      </c>
      <c r="F1749" s="71">
        <v>45838</v>
      </c>
      <c r="G1749" s="5">
        <v>2025</v>
      </c>
      <c r="H1749" s="5" t="s">
        <v>699</v>
      </c>
      <c r="I1749" s="6" t="s">
        <v>700</v>
      </c>
      <c r="J1749" s="5">
        <v>100</v>
      </c>
      <c r="K1749" s="5">
        <v>100</v>
      </c>
      <c r="L1749" s="14">
        <f t="shared" si="106"/>
        <v>1</v>
      </c>
      <c r="M1749" s="14">
        <f t="shared" si="107"/>
        <v>1</v>
      </c>
      <c r="N1749" s="5" t="s">
        <v>25</v>
      </c>
      <c r="O1749" s="5" t="s">
        <v>25</v>
      </c>
      <c r="P1749" s="5">
        <v>0</v>
      </c>
      <c r="Q1749" s="5">
        <v>0</v>
      </c>
      <c r="R1749" s="5" t="s">
        <v>2697</v>
      </c>
    </row>
    <row r="1750" spans="1:19" hidden="1" x14ac:dyDescent="0.3">
      <c r="A1750" s="5">
        <v>358</v>
      </c>
      <c r="B1750" s="5" t="s">
        <v>940</v>
      </c>
      <c r="C1750" s="5" t="s">
        <v>941</v>
      </c>
      <c r="D1750" s="5" t="s">
        <v>27</v>
      </c>
      <c r="E1750" s="5" t="s">
        <v>22</v>
      </c>
      <c r="F1750" s="71">
        <v>46022</v>
      </c>
      <c r="G1750" s="5">
        <v>2025</v>
      </c>
      <c r="H1750" s="5" t="s">
        <v>23</v>
      </c>
      <c r="I1750" s="6" t="s">
        <v>32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945</v>
      </c>
    </row>
    <row r="1751" spans="1:19" hidden="1" x14ac:dyDescent="0.3">
      <c r="A1751" s="21">
        <v>359</v>
      </c>
      <c r="B1751" s="5" t="s">
        <v>948</v>
      </c>
      <c r="C1751" s="5" t="s">
        <v>653</v>
      </c>
      <c r="D1751" s="5" t="s">
        <v>21</v>
      </c>
      <c r="E1751" s="5" t="s">
        <v>22</v>
      </c>
      <c r="F1751" s="71">
        <v>45473</v>
      </c>
      <c r="G1751" s="5">
        <v>2024</v>
      </c>
      <c r="H1751" s="5" t="s">
        <v>699</v>
      </c>
      <c r="I1751" s="6" t="s">
        <v>729</v>
      </c>
      <c r="J1751" s="5">
        <v>80</v>
      </c>
      <c r="K1751" s="60">
        <v>0</v>
      </c>
      <c r="L1751" s="14">
        <f t="shared" si="106"/>
        <v>0</v>
      </c>
      <c r="M1751" s="14">
        <f t="shared" si="107"/>
        <v>0</v>
      </c>
      <c r="N1751" s="5" t="s">
        <v>25</v>
      </c>
      <c r="O1751" s="5" t="s">
        <v>25</v>
      </c>
      <c r="P1751" s="15">
        <v>0</v>
      </c>
      <c r="Q1751" s="15">
        <v>0</v>
      </c>
      <c r="R1751" s="5" t="s">
        <v>2698</v>
      </c>
    </row>
    <row r="1752" spans="1:19" hidden="1" x14ac:dyDescent="0.3">
      <c r="A1752" s="21">
        <v>359</v>
      </c>
      <c r="B1752" s="5" t="s">
        <v>946</v>
      </c>
      <c r="C1752" s="5" t="s">
        <v>653</v>
      </c>
      <c r="D1752" s="5" t="s">
        <v>27</v>
      </c>
      <c r="E1752" s="5" t="s">
        <v>22</v>
      </c>
      <c r="F1752" s="71">
        <v>45657</v>
      </c>
      <c r="G1752" s="5">
        <v>2024</v>
      </c>
      <c r="H1752" s="5" t="s">
        <v>23</v>
      </c>
      <c r="I1752" s="6" t="s">
        <v>30</v>
      </c>
      <c r="J1752" s="5">
        <v>80</v>
      </c>
      <c r="K1752" s="60">
        <v>86</v>
      </c>
      <c r="L1752" s="14">
        <f t="shared" si="106"/>
        <v>1.075</v>
      </c>
      <c r="M1752" s="14">
        <f t="shared" si="107"/>
        <v>1.075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947</v>
      </c>
    </row>
    <row r="1753" spans="1:19" hidden="1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45838</v>
      </c>
      <c r="G1753" s="5">
        <v>2025</v>
      </c>
      <c r="H1753" s="5" t="s">
        <v>699</v>
      </c>
      <c r="I1753" s="6" t="s">
        <v>700</v>
      </c>
      <c r="J1753" s="5">
        <v>80</v>
      </c>
      <c r="K1753" s="60">
        <v>90</v>
      </c>
      <c r="L1753" s="14">
        <f t="shared" si="106"/>
        <v>1.125</v>
      </c>
      <c r="M1753" s="14">
        <f t="shared" si="107"/>
        <v>1.125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2699</v>
      </c>
    </row>
    <row r="1754" spans="1:19" hidden="1" x14ac:dyDescent="0.3">
      <c r="A1754" s="21">
        <v>359</v>
      </c>
      <c r="B1754" s="5" t="s">
        <v>948</v>
      </c>
      <c r="C1754" s="5" t="s">
        <v>653</v>
      </c>
      <c r="D1754" s="5" t="s">
        <v>21</v>
      </c>
      <c r="E1754" s="5" t="s">
        <v>22</v>
      </c>
      <c r="F1754" s="71">
        <v>46022</v>
      </c>
      <c r="G1754" s="5">
        <v>2025</v>
      </c>
      <c r="H1754" s="5" t="s">
        <v>23</v>
      </c>
      <c r="I1754" s="6" t="s">
        <v>32</v>
      </c>
      <c r="J1754" s="5">
        <v>85</v>
      </c>
      <c r="K1754" s="60">
        <v>89.9</v>
      </c>
      <c r="L1754" s="14">
        <f t="shared" si="106"/>
        <v>1.0576470588235294</v>
      </c>
      <c r="M1754" s="14">
        <f t="shared" si="107"/>
        <v>1.0576470588235294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949</v>
      </c>
    </row>
    <row r="1755" spans="1:19" hidden="1" x14ac:dyDescent="0.3">
      <c r="A1755" s="21">
        <v>360</v>
      </c>
      <c r="B1755" s="5" t="s">
        <v>2700</v>
      </c>
      <c r="C1755" s="5" t="s">
        <v>2701</v>
      </c>
      <c r="D1755" s="5" t="s">
        <v>27</v>
      </c>
      <c r="E1755" s="5" t="s">
        <v>22</v>
      </c>
      <c r="F1755" s="71">
        <v>45107</v>
      </c>
      <c r="G1755" s="5">
        <v>2023</v>
      </c>
      <c r="H1755" s="5" t="s">
        <v>699</v>
      </c>
      <c r="I1755" s="6" t="s">
        <v>1512</v>
      </c>
      <c r="J1755" s="5">
        <v>0</v>
      </c>
      <c r="K1755" s="60">
        <v>0</v>
      </c>
      <c r="L1755" s="14" t="str">
        <f t="shared" si="106"/>
        <v/>
      </c>
      <c r="M1755" s="14" t="str">
        <f t="shared" si="107"/>
        <v/>
      </c>
      <c r="N1755" s="5"/>
      <c r="O1755" s="5"/>
      <c r="P1755" s="15">
        <v>0</v>
      </c>
      <c r="Q1755" s="15">
        <v>0</v>
      </c>
      <c r="R1755" s="5" t="s">
        <v>2702</v>
      </c>
    </row>
    <row r="1756" spans="1:19" hidden="1" x14ac:dyDescent="0.3">
      <c r="A1756" s="21">
        <v>360</v>
      </c>
      <c r="B1756" s="5" t="s">
        <v>2700</v>
      </c>
      <c r="C1756" s="5" t="s">
        <v>653</v>
      </c>
      <c r="D1756" s="5" t="s">
        <v>27</v>
      </c>
      <c r="E1756" s="5" t="s">
        <v>22</v>
      </c>
      <c r="F1756" s="71">
        <v>45291</v>
      </c>
      <c r="G1756" s="5">
        <v>2023</v>
      </c>
      <c r="H1756" s="5" t="s">
        <v>23</v>
      </c>
      <c r="I1756" s="6" t="s">
        <v>28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hidden="1" x14ac:dyDescent="0.3">
      <c r="A1757" s="21">
        <v>361</v>
      </c>
      <c r="B1757" s="5" t="s">
        <v>2704</v>
      </c>
      <c r="C1757" s="5" t="s">
        <v>951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4.5</v>
      </c>
      <c r="K1757" s="60">
        <v>4.5599999999999996</v>
      </c>
      <c r="L1757" s="14">
        <f t="shared" si="106"/>
        <v>1.0133333333333332</v>
      </c>
      <c r="M1757" s="14">
        <f t="shared" si="107"/>
        <v>1.0133333333333332</v>
      </c>
      <c r="N1757" s="5"/>
      <c r="O1757" s="5"/>
      <c r="P1757" s="15">
        <v>2</v>
      </c>
      <c r="Q1757" s="15">
        <v>2</v>
      </c>
      <c r="R1757" s="5" t="s">
        <v>952</v>
      </c>
    </row>
    <row r="1758" spans="1:19" hidden="1" x14ac:dyDescent="0.3">
      <c r="A1758" s="21">
        <v>361</v>
      </c>
      <c r="B1758" s="5" t="s">
        <v>950</v>
      </c>
      <c r="C1758" s="5" t="s">
        <v>951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/>
      <c r="K1758" s="10"/>
      <c r="L1758" s="14"/>
      <c r="M1758" s="14"/>
      <c r="N1758" s="5" t="s">
        <v>136</v>
      </c>
      <c r="O1758" s="5" t="s">
        <v>302</v>
      </c>
      <c r="P1758" s="15">
        <v>1</v>
      </c>
      <c r="Q1758" s="15">
        <v>2</v>
      </c>
      <c r="R1758" s="5" t="s">
        <v>953</v>
      </c>
      <c r="S1758" t="s">
        <v>302</v>
      </c>
    </row>
    <row r="1759" spans="1:19" hidden="1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4.5999999999999996</v>
      </c>
      <c r="K1759" s="10">
        <v>4.78</v>
      </c>
      <c r="L1759" s="14">
        <f>IFERROR(IF(OR(J1759=0,K1759=""),"",IF(E1759="Positivo",MIN(MAX(K1759/J1759,0),1.3),MIN(MAX(J1759/K1759,0),1.3))),"")</f>
        <v>1.0391304347826089</v>
      </c>
      <c r="M1759" s="14">
        <f>IFERROR(IF(OR(J1759=0,K1759=""),"",IF(E1759="Positivo",MAX(K1759/J1759,0),MAX(J1759/K1759,0))),"")</f>
        <v>1.0391304347826089</v>
      </c>
      <c r="N1759" s="5" t="s">
        <v>136</v>
      </c>
      <c r="O1759" s="5" t="s">
        <v>136</v>
      </c>
      <c r="P1759" s="15">
        <v>1</v>
      </c>
      <c r="Q1759" s="15">
        <v>2</v>
      </c>
      <c r="R1759" s="5" t="s">
        <v>954</v>
      </c>
    </row>
    <row r="1760" spans="1:19" hidden="1" x14ac:dyDescent="0.3">
      <c r="A1760" s="21">
        <v>362</v>
      </c>
      <c r="B1760" s="5" t="s">
        <v>955</v>
      </c>
      <c r="C1760" s="5" t="s">
        <v>956</v>
      </c>
      <c r="D1760" s="5" t="s">
        <v>21</v>
      </c>
      <c r="E1760" s="5" t="s">
        <v>22</v>
      </c>
      <c r="F1760" s="71">
        <v>45016</v>
      </c>
      <c r="G1760" s="5">
        <v>2023</v>
      </c>
      <c r="H1760" s="5" t="s">
        <v>1516</v>
      </c>
      <c r="I1760" s="6" t="s">
        <v>1512</v>
      </c>
      <c r="J1760" s="5"/>
      <c r="K1760" s="10"/>
      <c r="L1760" s="14"/>
      <c r="M1760" s="14"/>
      <c r="N1760" s="5" t="s">
        <v>25</v>
      </c>
      <c r="O1760" s="5" t="s">
        <v>302</v>
      </c>
      <c r="P1760" s="15">
        <v>0</v>
      </c>
      <c r="Q1760" s="15">
        <v>0</v>
      </c>
      <c r="R1760" s="5" t="s">
        <v>2705</v>
      </c>
      <c r="S1760" t="s">
        <v>302</v>
      </c>
    </row>
    <row r="1761" spans="1:19" hidden="1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45107</v>
      </c>
      <c r="G1761" s="5">
        <v>2023</v>
      </c>
      <c r="H1761" s="5" t="s">
        <v>699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hidden="1" x14ac:dyDescent="0.3">
      <c r="A1762" s="21">
        <v>362</v>
      </c>
      <c r="B1762" s="5" t="s">
        <v>955</v>
      </c>
      <c r="C1762" s="5" t="s">
        <v>956</v>
      </c>
      <c r="D1762" s="5" t="s">
        <v>27</v>
      </c>
      <c r="E1762" s="5" t="s">
        <v>22</v>
      </c>
      <c r="F1762" s="71">
        <v>45291</v>
      </c>
      <c r="G1762" s="5">
        <v>2023</v>
      </c>
      <c r="H1762" s="5" t="s">
        <v>23</v>
      </c>
      <c r="I1762" s="6" t="s">
        <v>28</v>
      </c>
      <c r="J1762" s="5">
        <v>100</v>
      </c>
      <c r="K1762" s="10">
        <v>99.156641448591998</v>
      </c>
      <c r="L1762" s="14">
        <f t="shared" ref="L1762:L1793" si="108">IFERROR(IF(OR(J1762=0,K1762=""),"",IF(E1762="Positivo",MIN(MAX(K1762/J1762,0),1.3),MIN(MAX(J1762/K1762,0),1.3))),"")</f>
        <v>0.99156641448591998</v>
      </c>
      <c r="M1762" s="14">
        <f t="shared" ref="M1762:M1793" si="109">IFERROR(IF(OR(J1762=0,K1762=""),"",IF(E1762="Positivo",MAX(K1762/J1762,0),MAX(J1762/K1762,0))),"")</f>
        <v>0.99156641448591998</v>
      </c>
      <c r="N1762" s="5" t="s">
        <v>25</v>
      </c>
      <c r="O1762" s="5" t="s">
        <v>25</v>
      </c>
      <c r="P1762" s="15">
        <v>0</v>
      </c>
      <c r="Q1762" s="15">
        <v>0</v>
      </c>
      <c r="R1762" s="5" t="s">
        <v>957</v>
      </c>
    </row>
    <row r="1763" spans="1:19" hidden="1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45473</v>
      </c>
      <c r="G1763" s="5">
        <v>2024</v>
      </c>
      <c r="H1763" s="5" t="s">
        <v>699</v>
      </c>
      <c r="I1763" s="6" t="s">
        <v>729</v>
      </c>
      <c r="J1763" s="5">
        <v>98</v>
      </c>
      <c r="K1763" s="10">
        <v>99.584323040380056</v>
      </c>
      <c r="L1763" s="14">
        <f t="shared" si="108"/>
        <v>1.0161665616365312</v>
      </c>
      <c r="M1763" s="14">
        <f t="shared" si="109"/>
        <v>1.0161665616365312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2707</v>
      </c>
    </row>
    <row r="1764" spans="1:19" hidden="1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45657</v>
      </c>
      <c r="G1764" s="5">
        <v>2024</v>
      </c>
      <c r="H1764" s="5" t="s">
        <v>23</v>
      </c>
      <c r="I1764" s="6" t="s">
        <v>30</v>
      </c>
      <c r="J1764" s="5">
        <v>98</v>
      </c>
      <c r="K1764" s="10">
        <v>99.49</v>
      </c>
      <c r="L1764" s="14">
        <f t="shared" si="108"/>
        <v>1.0152040816326531</v>
      </c>
      <c r="M1764" s="14">
        <f t="shared" si="109"/>
        <v>1.0152040816326531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958</v>
      </c>
    </row>
    <row r="1765" spans="1:19" hidden="1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45838</v>
      </c>
      <c r="G1765" s="5">
        <v>2025</v>
      </c>
      <c r="H1765" s="5" t="s">
        <v>699</v>
      </c>
      <c r="I1765" s="6" t="s">
        <v>700</v>
      </c>
      <c r="J1765" s="5">
        <v>98</v>
      </c>
      <c r="K1765" s="10">
        <v>99.63</v>
      </c>
      <c r="L1765" s="14">
        <f t="shared" si="108"/>
        <v>1.0166326530612244</v>
      </c>
      <c r="M1765" s="14">
        <f t="shared" si="109"/>
        <v>1.0166326530612244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2708</v>
      </c>
    </row>
    <row r="1766" spans="1:19" hidden="1" x14ac:dyDescent="0.3">
      <c r="A1766" s="21">
        <v>362</v>
      </c>
      <c r="B1766" s="5" t="s">
        <v>955</v>
      </c>
      <c r="C1766" s="5" t="s">
        <v>956</v>
      </c>
      <c r="D1766" s="5" t="s">
        <v>21</v>
      </c>
      <c r="E1766" s="5" t="s">
        <v>22</v>
      </c>
      <c r="F1766" s="71">
        <v>46022</v>
      </c>
      <c r="G1766" s="5">
        <v>2025</v>
      </c>
      <c r="H1766" s="5" t="s">
        <v>23</v>
      </c>
      <c r="I1766" s="6" t="s">
        <v>32</v>
      </c>
      <c r="J1766" s="5">
        <v>98</v>
      </c>
      <c r="K1766" s="10">
        <v>99.7</v>
      </c>
      <c r="L1766" s="14">
        <f t="shared" si="108"/>
        <v>1.0173469387755103</v>
      </c>
      <c r="M1766" s="14">
        <f t="shared" si="109"/>
        <v>1.0173469387755103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959</v>
      </c>
    </row>
    <row r="1767" spans="1:19" hidden="1" x14ac:dyDescent="0.3">
      <c r="A1767" s="21">
        <v>363</v>
      </c>
      <c r="B1767" s="5" t="s">
        <v>960</v>
      </c>
      <c r="C1767" s="5" t="s">
        <v>956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>
        <v>100</v>
      </c>
      <c r="K1767" s="10">
        <v>100</v>
      </c>
      <c r="L1767" s="14">
        <f t="shared" si="108"/>
        <v>1</v>
      </c>
      <c r="M1767" s="14">
        <f t="shared" si="109"/>
        <v>1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961</v>
      </c>
    </row>
    <row r="1768" spans="1:19" hidden="1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2709</v>
      </c>
    </row>
    <row r="1769" spans="1:19" hidden="1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962</v>
      </c>
    </row>
    <row r="1770" spans="1:19" hidden="1" x14ac:dyDescent="0.3">
      <c r="A1770" s="21">
        <v>363</v>
      </c>
      <c r="B1770" s="5" t="s">
        <v>960</v>
      </c>
      <c r="C1770" s="5" t="s">
        <v>956</v>
      </c>
      <c r="D1770" s="5" t="s">
        <v>21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2710</v>
      </c>
    </row>
    <row r="1771" spans="1:19" hidden="1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963</v>
      </c>
    </row>
    <row r="1772" spans="1:19" hidden="1" x14ac:dyDescent="0.3">
      <c r="A1772" s="21">
        <v>364</v>
      </c>
      <c r="B1772" s="5" t="s">
        <v>964</v>
      </c>
      <c r="C1772" s="5" t="s">
        <v>951</v>
      </c>
      <c r="D1772" s="5" t="s">
        <v>27</v>
      </c>
      <c r="E1772" s="5" t="s">
        <v>41</v>
      </c>
      <c r="F1772" s="71">
        <v>45107</v>
      </c>
      <c r="G1772" s="5">
        <v>2023</v>
      </c>
      <c r="H1772" s="5" t="s">
        <v>699</v>
      </c>
      <c r="I1772" s="6" t="s">
        <v>1512</v>
      </c>
      <c r="J1772" s="5">
        <v>0</v>
      </c>
      <c r="K1772" s="10">
        <v>30244</v>
      </c>
      <c r="L1772" s="14" t="str">
        <f t="shared" si="108"/>
        <v/>
      </c>
      <c r="M1772" s="14" t="str">
        <f t="shared" si="109"/>
        <v/>
      </c>
      <c r="N1772" s="5"/>
      <c r="O1772" s="5"/>
      <c r="P1772" s="15">
        <v>0</v>
      </c>
      <c r="Q1772" s="15">
        <v>0</v>
      </c>
      <c r="R1772" s="5" t="s">
        <v>2711</v>
      </c>
    </row>
    <row r="1773" spans="1:19" hidden="1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0</v>
      </c>
      <c r="K1773" s="10">
        <v>78450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965</v>
      </c>
    </row>
    <row r="1774" spans="1:19" hidden="1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100</v>
      </c>
      <c r="K1774" s="10">
        <v>132.72999999999999</v>
      </c>
      <c r="L1774" s="14">
        <f t="shared" si="108"/>
        <v>0.75340917652377015</v>
      </c>
      <c r="M1774" s="14">
        <f t="shared" si="109"/>
        <v>0.75340917652377015</v>
      </c>
      <c r="N1774" s="5"/>
      <c r="O1774" s="5"/>
      <c r="P1774" s="15">
        <v>0</v>
      </c>
      <c r="Q1774" s="15">
        <v>0</v>
      </c>
      <c r="R1774" s="5" t="s">
        <v>2712</v>
      </c>
    </row>
    <row r="1775" spans="1:19" hidden="1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100</v>
      </c>
      <c r="K1775" s="10">
        <v>98.09</v>
      </c>
      <c r="L1775" s="14">
        <f t="shared" si="108"/>
        <v>0.98089999999999999</v>
      </c>
      <c r="M1775" s="14">
        <f t="shared" si="109"/>
        <v>0.98089999999999999</v>
      </c>
      <c r="N1775" s="5"/>
      <c r="O1775" s="5"/>
      <c r="P1775" s="15">
        <v>0</v>
      </c>
      <c r="Q1775" s="15">
        <v>0</v>
      </c>
      <c r="R1775" s="5" t="s">
        <v>966</v>
      </c>
    </row>
    <row r="1776" spans="1:19" hidden="1" x14ac:dyDescent="0.3">
      <c r="A1776" s="21">
        <v>364</v>
      </c>
      <c r="B1776" s="5" t="s">
        <v>964</v>
      </c>
      <c r="C1776" s="5" t="s">
        <v>951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93.89</v>
      </c>
      <c r="L1776" s="14">
        <f t="shared" si="108"/>
        <v>0.93889999999999996</v>
      </c>
      <c r="M1776" s="14">
        <f t="shared" si="109"/>
        <v>0.93889999999999996</v>
      </c>
      <c r="N1776" s="5" t="s">
        <v>128</v>
      </c>
      <c r="O1776" s="5" t="s">
        <v>128</v>
      </c>
      <c r="P1776" s="15">
        <v>0</v>
      </c>
      <c r="Q1776" s="15">
        <v>0</v>
      </c>
      <c r="R1776" s="5" t="s">
        <v>2713</v>
      </c>
    </row>
    <row r="1777" spans="1:18" hidden="1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78.11</v>
      </c>
      <c r="L1777" s="14">
        <f t="shared" si="108"/>
        <v>0.78110000000000002</v>
      </c>
      <c r="M1777" s="14">
        <f t="shared" si="109"/>
        <v>0.78110000000000002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967</v>
      </c>
    </row>
    <row r="1778" spans="1:18" hidden="1" x14ac:dyDescent="0.3">
      <c r="A1778" s="21">
        <v>365</v>
      </c>
      <c r="B1778" s="5" t="s">
        <v>968</v>
      </c>
      <c r="C1778" s="5" t="s">
        <v>956</v>
      </c>
      <c r="D1778" s="5" t="s">
        <v>27</v>
      </c>
      <c r="E1778" s="5" t="s">
        <v>22</v>
      </c>
      <c r="F1778" s="71">
        <v>45291</v>
      </c>
      <c r="G1778" s="5">
        <v>2023</v>
      </c>
      <c r="H1778" s="5" t="s">
        <v>23</v>
      </c>
      <c r="I1778" s="6" t="s">
        <v>28</v>
      </c>
      <c r="J1778" s="5">
        <v>100</v>
      </c>
      <c r="K1778" s="10">
        <v>100</v>
      </c>
      <c r="L1778" s="14">
        <f t="shared" si="108"/>
        <v>1</v>
      </c>
      <c r="M1778" s="14">
        <f t="shared" si="109"/>
        <v>1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969</v>
      </c>
    </row>
    <row r="1779" spans="1:18" hidden="1" x14ac:dyDescent="0.3">
      <c r="A1779" s="21">
        <v>366</v>
      </c>
      <c r="B1779" s="5" t="s">
        <v>970</v>
      </c>
      <c r="C1779" s="5" t="s">
        <v>956</v>
      </c>
      <c r="D1779" s="5" t="s">
        <v>71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971</v>
      </c>
    </row>
    <row r="1780" spans="1:18" hidden="1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45657</v>
      </c>
      <c r="G1780" s="5">
        <v>2024</v>
      </c>
      <c r="H1780" s="5" t="s">
        <v>23</v>
      </c>
      <c r="I1780" s="6" t="s">
        <v>30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972</v>
      </c>
    </row>
    <row r="1781" spans="1:18" hidden="1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128</v>
      </c>
      <c r="O1781" s="5" t="s">
        <v>128</v>
      </c>
      <c r="P1781" s="15">
        <v>0</v>
      </c>
      <c r="Q1781" s="15">
        <v>0</v>
      </c>
      <c r="R1781" s="5" t="s">
        <v>973</v>
      </c>
    </row>
    <row r="1782" spans="1:18" hidden="1" x14ac:dyDescent="0.3">
      <c r="A1782" s="21">
        <v>367</v>
      </c>
      <c r="B1782" s="5" t="s">
        <v>974</v>
      </c>
      <c r="C1782" s="5" t="s">
        <v>951</v>
      </c>
      <c r="D1782" s="5" t="s">
        <v>71</v>
      </c>
      <c r="E1782" s="5" t="s">
        <v>22</v>
      </c>
      <c r="F1782" s="71">
        <v>45291</v>
      </c>
      <c r="G1782" s="5">
        <v>2023</v>
      </c>
      <c r="H1782" s="5" t="s">
        <v>23</v>
      </c>
      <c r="I1782" s="6" t="s">
        <v>28</v>
      </c>
      <c r="J1782" s="5">
        <v>5</v>
      </c>
      <c r="K1782" s="10">
        <v>6.2497567052045619</v>
      </c>
      <c r="L1782" s="14">
        <f t="shared" si="108"/>
        <v>1.2499513410409124</v>
      </c>
      <c r="M1782" s="14">
        <f t="shared" si="109"/>
        <v>1.2499513410409124</v>
      </c>
      <c r="N1782" s="5" t="s">
        <v>25</v>
      </c>
      <c r="O1782" s="5" t="s">
        <v>25</v>
      </c>
      <c r="P1782" s="15">
        <v>2</v>
      </c>
      <c r="Q1782" s="15">
        <v>2</v>
      </c>
      <c r="R1782" s="5" t="s">
        <v>975</v>
      </c>
    </row>
    <row r="1783" spans="1:18" hidden="1" x14ac:dyDescent="0.3">
      <c r="A1783" s="21">
        <v>367</v>
      </c>
      <c r="B1783" s="5" t="s">
        <v>2714</v>
      </c>
      <c r="C1783" s="5" t="s">
        <v>951</v>
      </c>
      <c r="D1783" s="5" t="s">
        <v>71</v>
      </c>
      <c r="E1783" s="5" t="s">
        <v>22</v>
      </c>
      <c r="F1783" s="71">
        <v>45657</v>
      </c>
      <c r="G1783" s="5">
        <v>2024</v>
      </c>
      <c r="H1783" s="5" t="s">
        <v>23</v>
      </c>
      <c r="I1783" s="6" t="s">
        <v>30</v>
      </c>
      <c r="J1783" s="5">
        <v>5</v>
      </c>
      <c r="K1783" s="10">
        <v>4.96</v>
      </c>
      <c r="L1783" s="14">
        <f t="shared" si="108"/>
        <v>0.99199999999999999</v>
      </c>
      <c r="M1783" s="14">
        <f t="shared" si="109"/>
        <v>0.99199999999999999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976</v>
      </c>
    </row>
    <row r="1784" spans="1:18" hidden="1" x14ac:dyDescent="0.3">
      <c r="A1784" s="21">
        <v>367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46022</v>
      </c>
      <c r="G1784" s="5">
        <v>2025</v>
      </c>
      <c r="H1784" s="5" t="s">
        <v>23</v>
      </c>
      <c r="I1784" s="6" t="s">
        <v>32</v>
      </c>
      <c r="J1784" s="5">
        <v>5</v>
      </c>
      <c r="K1784" s="10">
        <v>3.82</v>
      </c>
      <c r="L1784" s="14">
        <f t="shared" si="108"/>
        <v>0.76400000000000001</v>
      </c>
      <c r="M1784" s="14">
        <f t="shared" si="109"/>
        <v>0.76400000000000001</v>
      </c>
      <c r="N1784" s="5" t="s">
        <v>25</v>
      </c>
      <c r="O1784" s="5" t="s">
        <v>25</v>
      </c>
      <c r="P1784" s="15">
        <v>0</v>
      </c>
      <c r="Q1784" s="15">
        <v>2</v>
      </c>
      <c r="R1784" s="5" t="s">
        <v>977</v>
      </c>
    </row>
    <row r="1785" spans="1:18" hidden="1" x14ac:dyDescent="0.3">
      <c r="A1785" s="21">
        <v>368</v>
      </c>
      <c r="B1785" s="5" t="s">
        <v>978</v>
      </c>
      <c r="C1785" s="5" t="s">
        <v>979</v>
      </c>
      <c r="D1785" s="5" t="s">
        <v>21</v>
      </c>
      <c r="E1785" s="5" t="s">
        <v>22</v>
      </c>
      <c r="F1785" s="71">
        <v>45199</v>
      </c>
      <c r="G1785" s="5">
        <v>2023</v>
      </c>
      <c r="H1785" s="5" t="s">
        <v>162</v>
      </c>
      <c r="I1785" s="6" t="s">
        <v>28</v>
      </c>
      <c r="J1785" s="5">
        <v>90</v>
      </c>
      <c r="K1785" s="10">
        <v>95</v>
      </c>
      <c r="L1785" s="14">
        <f t="shared" si="108"/>
        <v>1.0555555555555556</v>
      </c>
      <c r="M1785" s="14">
        <f t="shared" si="109"/>
        <v>1.0555555555555556</v>
      </c>
      <c r="N1785" s="5" t="s">
        <v>25</v>
      </c>
      <c r="O1785" s="5" t="s">
        <v>25</v>
      </c>
      <c r="P1785" s="15">
        <v>0</v>
      </c>
      <c r="Q1785" s="15">
        <v>0</v>
      </c>
      <c r="R1785" s="5" t="s">
        <v>2715</v>
      </c>
    </row>
    <row r="1786" spans="1:18" hidden="1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45291</v>
      </c>
      <c r="G1786" s="5">
        <v>2023</v>
      </c>
      <c r="H1786" s="5" t="s">
        <v>23</v>
      </c>
      <c r="I1786" s="6" t="s">
        <v>28</v>
      </c>
      <c r="J1786" s="5">
        <v>90</v>
      </c>
      <c r="K1786" s="10">
        <v>94</v>
      </c>
      <c r="L1786" s="14">
        <f t="shared" si="108"/>
        <v>1.0444444444444445</v>
      </c>
      <c r="M1786" s="14">
        <f t="shared" si="109"/>
        <v>1.0444444444444445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980</v>
      </c>
    </row>
    <row r="1787" spans="1:18" hidden="1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45382</v>
      </c>
      <c r="G1787" s="5">
        <v>2024</v>
      </c>
      <c r="H1787" s="5" t="s">
        <v>1516</v>
      </c>
      <c r="I1787" s="6" t="s">
        <v>729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2716</v>
      </c>
    </row>
    <row r="1788" spans="1:18" hidden="1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45473</v>
      </c>
      <c r="G1788" s="5">
        <v>2024</v>
      </c>
      <c r="H1788" s="5" t="s">
        <v>699</v>
      </c>
      <c r="I1788" s="6" t="s">
        <v>729</v>
      </c>
      <c r="J1788" s="5">
        <v>90</v>
      </c>
      <c r="K1788" s="10">
        <v>95</v>
      </c>
      <c r="L1788" s="14">
        <f t="shared" si="108"/>
        <v>1.0555555555555556</v>
      </c>
      <c r="M1788" s="14">
        <f t="shared" si="109"/>
        <v>1.0555555555555556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hidden="1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45565</v>
      </c>
      <c r="G1789" s="5">
        <v>2024</v>
      </c>
      <c r="H1789" s="5" t="s">
        <v>162</v>
      </c>
      <c r="I1789" s="6" t="s">
        <v>30</v>
      </c>
      <c r="J1789" s="5">
        <v>90</v>
      </c>
      <c r="K1789" s="10">
        <v>94</v>
      </c>
      <c r="L1789" s="14">
        <f t="shared" si="108"/>
        <v>1.0444444444444445</v>
      </c>
      <c r="M1789" s="14">
        <f t="shared" si="109"/>
        <v>1.0444444444444445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hidden="1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981</v>
      </c>
    </row>
    <row r="1791" spans="1:18" hidden="1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45747</v>
      </c>
      <c r="G1791" s="5">
        <v>2025</v>
      </c>
      <c r="H1791" s="5" t="s">
        <v>1516</v>
      </c>
      <c r="I1791" s="6" t="s">
        <v>700</v>
      </c>
      <c r="J1791" s="5">
        <v>93</v>
      </c>
      <c r="K1791" s="10">
        <v>94</v>
      </c>
      <c r="L1791" s="14">
        <f t="shared" si="108"/>
        <v>1.010752688172043</v>
      </c>
      <c r="M1791" s="14">
        <f t="shared" si="109"/>
        <v>1.010752688172043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2719</v>
      </c>
    </row>
    <row r="1792" spans="1:18" hidden="1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93</v>
      </c>
      <c r="K1792" s="10">
        <v>96</v>
      </c>
      <c r="L1792" s="14">
        <f t="shared" si="108"/>
        <v>1.032258064516129</v>
      </c>
      <c r="M1792" s="14">
        <f t="shared" si="109"/>
        <v>1.032258064516129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hidden="1" x14ac:dyDescent="0.3">
      <c r="A1793" s="21">
        <v>368</v>
      </c>
      <c r="B1793" s="5" t="s">
        <v>978</v>
      </c>
      <c r="C1793" s="5" t="s">
        <v>982</v>
      </c>
      <c r="D1793" s="5" t="s">
        <v>27</v>
      </c>
      <c r="E1793" s="5" t="s">
        <v>22</v>
      </c>
      <c r="F1793" s="71">
        <v>45930</v>
      </c>
      <c r="G1793" s="5">
        <v>2025</v>
      </c>
      <c r="H1793" s="5" t="s">
        <v>162</v>
      </c>
      <c r="I1793" s="6" t="s">
        <v>32</v>
      </c>
      <c r="J1793" s="5">
        <v>93</v>
      </c>
      <c r="K1793" s="10">
        <v>95</v>
      </c>
      <c r="L1793" s="14">
        <f t="shared" si="108"/>
        <v>1.021505376344086</v>
      </c>
      <c r="M1793" s="14">
        <f t="shared" si="109"/>
        <v>1.021505376344086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hidden="1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46022</v>
      </c>
      <c r="G1794" s="5">
        <v>2025</v>
      </c>
      <c r="H1794" s="5" t="s">
        <v>23</v>
      </c>
      <c r="I1794" s="6" t="s">
        <v>32</v>
      </c>
      <c r="J1794" s="5">
        <v>93</v>
      </c>
      <c r="K1794" s="10">
        <v>95</v>
      </c>
      <c r="L1794" s="14">
        <f t="shared" ref="L1794:L1817" si="110">IFERROR(IF(OR(J1794=0,K1794=""),"",IF(E1794="Positivo",MIN(MAX(K1794/J1794,0),1.3),MIN(MAX(J1794/K1794,0),1.3))),"")</f>
        <v>1.021505376344086</v>
      </c>
      <c r="M1794" s="14">
        <f t="shared" ref="M1794:M1829" si="111">IFERROR(IF(OR(J1794=0,K1794=""),"",IF(E1794="Positivo",MAX(K1794/J1794,0),MAX(J1794/K1794,0))),"")</f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983</v>
      </c>
    </row>
    <row r="1795" spans="1:18" hidden="1" x14ac:dyDescent="0.3">
      <c r="A1795" s="21">
        <v>369</v>
      </c>
      <c r="B1795" s="5" t="s">
        <v>984</v>
      </c>
      <c r="C1795" s="5" t="s">
        <v>951</v>
      </c>
      <c r="D1795" s="5" t="s">
        <v>27</v>
      </c>
      <c r="E1795" s="5" t="s">
        <v>22</v>
      </c>
      <c r="F1795" s="71">
        <v>45107</v>
      </c>
      <c r="G1795" s="5">
        <v>2023</v>
      </c>
      <c r="H1795" s="5" t="s">
        <v>699</v>
      </c>
      <c r="I1795" s="6" t="s">
        <v>1512</v>
      </c>
      <c r="J1795" s="5">
        <v>0</v>
      </c>
      <c r="K1795" s="10">
        <v>78</v>
      </c>
      <c r="L1795" s="14" t="str">
        <f t="shared" si="110"/>
        <v/>
      </c>
      <c r="M1795" s="14" t="str">
        <f t="shared" si="111"/>
        <v/>
      </c>
      <c r="N1795" s="5" t="s">
        <v>355</v>
      </c>
      <c r="O1795" s="5" t="s">
        <v>25</v>
      </c>
      <c r="P1795" s="15">
        <v>0</v>
      </c>
      <c r="Q1795" s="15">
        <v>0</v>
      </c>
      <c r="R1795" s="5" t="s">
        <v>2722</v>
      </c>
    </row>
    <row r="1796" spans="1:18" hidden="1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45291</v>
      </c>
      <c r="G1796" s="5">
        <v>2023</v>
      </c>
      <c r="H1796" s="5" t="s">
        <v>23</v>
      </c>
      <c r="I1796" s="6" t="s">
        <v>28</v>
      </c>
      <c r="J1796" s="5">
        <v>0</v>
      </c>
      <c r="K1796" s="10">
        <v>96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985</v>
      </c>
    </row>
    <row r="1797" spans="1:18" hidden="1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45473</v>
      </c>
      <c r="G1797" s="5">
        <v>2024</v>
      </c>
      <c r="H1797" s="5" t="s">
        <v>699</v>
      </c>
      <c r="I1797" s="6" t="s">
        <v>729</v>
      </c>
      <c r="J1797" s="5">
        <v>100</v>
      </c>
      <c r="K1797" s="10">
        <v>76.25</v>
      </c>
      <c r="L1797" s="14">
        <f t="shared" si="110"/>
        <v>0.76249999999999996</v>
      </c>
      <c r="M1797" s="14">
        <f t="shared" si="111"/>
        <v>0.76249999999999996</v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2723</v>
      </c>
    </row>
    <row r="1798" spans="1:18" hidden="1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45657</v>
      </c>
      <c r="G1798" s="5">
        <v>2024</v>
      </c>
      <c r="H1798" s="5" t="s">
        <v>23</v>
      </c>
      <c r="I1798" s="6" t="s">
        <v>30</v>
      </c>
      <c r="J1798" s="5">
        <v>100</v>
      </c>
      <c r="K1798" s="10">
        <v>71.3</v>
      </c>
      <c r="L1798" s="14">
        <f t="shared" si="110"/>
        <v>0.71299999999999997</v>
      </c>
      <c r="M1798" s="14">
        <f t="shared" si="111"/>
        <v>0.71299999999999997</v>
      </c>
      <c r="N1798" s="5"/>
      <c r="O1798" s="5"/>
      <c r="P1798" s="15">
        <v>0</v>
      </c>
      <c r="Q1798" s="15">
        <v>0</v>
      </c>
      <c r="R1798" s="5" t="s">
        <v>986</v>
      </c>
    </row>
    <row r="1799" spans="1:18" hidden="1" x14ac:dyDescent="0.3">
      <c r="A1799" s="21">
        <v>369</v>
      </c>
      <c r="B1799" s="5" t="s">
        <v>984</v>
      </c>
      <c r="C1799" s="5" t="s">
        <v>951</v>
      </c>
      <c r="D1799" s="5" t="s">
        <v>21</v>
      </c>
      <c r="E1799" s="5" t="s">
        <v>22</v>
      </c>
      <c r="F1799" s="71">
        <v>45838</v>
      </c>
      <c r="G1799" s="5">
        <v>2025</v>
      </c>
      <c r="H1799" s="5" t="s">
        <v>699</v>
      </c>
      <c r="I1799" s="6" t="s">
        <v>700</v>
      </c>
      <c r="J1799" s="5">
        <v>100</v>
      </c>
      <c r="K1799" s="10">
        <v>88.89</v>
      </c>
      <c r="L1799" s="14">
        <f t="shared" si="110"/>
        <v>0.88890000000000002</v>
      </c>
      <c r="M1799" s="14">
        <f t="shared" si="111"/>
        <v>0.88890000000000002</v>
      </c>
      <c r="N1799" s="5" t="s">
        <v>128</v>
      </c>
      <c r="O1799" s="5" t="s">
        <v>128</v>
      </c>
      <c r="P1799" s="15">
        <v>0</v>
      </c>
      <c r="Q1799" s="15">
        <v>0</v>
      </c>
      <c r="R1799" s="5" t="s">
        <v>2724</v>
      </c>
    </row>
    <row r="1800" spans="1:18" hidden="1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46022</v>
      </c>
      <c r="G1800" s="5">
        <v>2025</v>
      </c>
      <c r="H1800" s="5" t="s">
        <v>23</v>
      </c>
      <c r="I1800" s="6" t="s">
        <v>32</v>
      </c>
      <c r="J1800" s="5">
        <v>100</v>
      </c>
      <c r="K1800" s="10">
        <v>108.26</v>
      </c>
      <c r="L1800" s="14">
        <f t="shared" si="110"/>
        <v>1.0826</v>
      </c>
      <c r="M1800" s="14">
        <f t="shared" si="111"/>
        <v>1.0826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987</v>
      </c>
    </row>
    <row r="1801" spans="1:18" hidden="1" x14ac:dyDescent="0.3">
      <c r="A1801">
        <v>370</v>
      </c>
      <c r="B1801" t="s">
        <v>988</v>
      </c>
      <c r="C1801" t="s">
        <v>951</v>
      </c>
      <c r="D1801" t="s">
        <v>27</v>
      </c>
      <c r="E1801" t="s">
        <v>22</v>
      </c>
      <c r="F1801" s="79">
        <v>45107</v>
      </c>
      <c r="G1801">
        <v>2023</v>
      </c>
      <c r="H1801" t="s">
        <v>699</v>
      </c>
      <c r="I1801" t="s">
        <v>1512</v>
      </c>
      <c r="J1801">
        <v>0</v>
      </c>
      <c r="K1801">
        <v>0</v>
      </c>
      <c r="L1801" s="39" t="str">
        <f t="shared" si="110"/>
        <v/>
      </c>
      <c r="M1801" s="39" t="str">
        <f t="shared" si="111"/>
        <v/>
      </c>
      <c r="P1801">
        <v>0</v>
      </c>
      <c r="Q1801">
        <v>0</v>
      </c>
      <c r="R1801" t="s">
        <v>2725</v>
      </c>
    </row>
    <row r="1802" spans="1:18" hidden="1" x14ac:dyDescent="0.3">
      <c r="A1802">
        <v>371</v>
      </c>
      <c r="B1802" t="s">
        <v>990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100</v>
      </c>
      <c r="K1802">
        <v>157.50274243635999</v>
      </c>
      <c r="L1802" s="39">
        <f t="shared" si="110"/>
        <v>1.3</v>
      </c>
      <c r="M1802" s="39">
        <f t="shared" si="111"/>
        <v>1.5750274243636</v>
      </c>
      <c r="N1802" t="s">
        <v>205</v>
      </c>
      <c r="O1802" t="s">
        <v>205</v>
      </c>
      <c r="P1802">
        <v>0</v>
      </c>
      <c r="Q1802">
        <v>0</v>
      </c>
      <c r="R1802" t="s">
        <v>2726</v>
      </c>
    </row>
    <row r="1803" spans="1:18" hidden="1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45291</v>
      </c>
      <c r="G1803">
        <v>2023</v>
      </c>
      <c r="H1803" t="s">
        <v>23</v>
      </c>
      <c r="I1803" t="s">
        <v>28</v>
      </c>
      <c r="J1803">
        <v>100</v>
      </c>
      <c r="K1803">
        <v>173.07</v>
      </c>
      <c r="L1803" s="39">
        <f t="shared" si="110"/>
        <v>1.3</v>
      </c>
      <c r="M1803" s="39">
        <f t="shared" si="111"/>
        <v>1.7306999999999999</v>
      </c>
      <c r="N1803" t="s">
        <v>205</v>
      </c>
      <c r="O1803" t="s">
        <v>205</v>
      </c>
      <c r="P1803">
        <v>0</v>
      </c>
      <c r="Q1803">
        <v>0</v>
      </c>
      <c r="R1803" t="s">
        <v>991</v>
      </c>
    </row>
    <row r="1804" spans="1:18" hidden="1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45473</v>
      </c>
      <c r="G1804">
        <v>2024</v>
      </c>
      <c r="H1804" t="s">
        <v>699</v>
      </c>
      <c r="I1804" t="s">
        <v>729</v>
      </c>
      <c r="J1804">
        <v>100</v>
      </c>
      <c r="K1804">
        <v>149.72</v>
      </c>
      <c r="L1804" s="39">
        <f t="shared" si="110"/>
        <v>1.3</v>
      </c>
      <c r="M1804" s="39">
        <f t="shared" si="111"/>
        <v>1.4972000000000001</v>
      </c>
      <c r="N1804" t="s">
        <v>205</v>
      </c>
      <c r="O1804" t="s">
        <v>205</v>
      </c>
      <c r="P1804">
        <v>0</v>
      </c>
      <c r="Q1804">
        <v>0</v>
      </c>
      <c r="R1804" t="s">
        <v>2727</v>
      </c>
    </row>
    <row r="1805" spans="1:18" hidden="1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45657</v>
      </c>
      <c r="G1805">
        <v>2024</v>
      </c>
      <c r="H1805" t="s">
        <v>23</v>
      </c>
      <c r="I1805" t="s">
        <v>30</v>
      </c>
      <c r="J1805">
        <v>100</v>
      </c>
      <c r="K1805">
        <v>96.99</v>
      </c>
      <c r="L1805" s="39">
        <f t="shared" si="110"/>
        <v>0.96989999999999998</v>
      </c>
      <c r="M1805" s="39">
        <f t="shared" si="111"/>
        <v>0.96989999999999998</v>
      </c>
      <c r="N1805" t="s">
        <v>205</v>
      </c>
      <c r="O1805" t="s">
        <v>205</v>
      </c>
      <c r="P1805">
        <v>0</v>
      </c>
      <c r="Q1805">
        <v>0</v>
      </c>
      <c r="R1805" t="s">
        <v>992</v>
      </c>
    </row>
    <row r="1806" spans="1:18" hidden="1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45838</v>
      </c>
      <c r="G1806">
        <v>2025</v>
      </c>
      <c r="H1806" t="s">
        <v>699</v>
      </c>
      <c r="I1806" t="s">
        <v>700</v>
      </c>
      <c r="J1806">
        <v>100</v>
      </c>
      <c r="K1806">
        <v>73.69</v>
      </c>
      <c r="L1806" s="39">
        <f t="shared" si="110"/>
        <v>0.7369</v>
      </c>
      <c r="M1806" s="39">
        <f t="shared" si="111"/>
        <v>0.7369</v>
      </c>
      <c r="N1806" t="s">
        <v>205</v>
      </c>
      <c r="O1806" t="s">
        <v>205</v>
      </c>
      <c r="P1806">
        <v>0</v>
      </c>
      <c r="Q1806">
        <v>0</v>
      </c>
      <c r="R1806" t="s">
        <v>2728</v>
      </c>
    </row>
    <row r="1807" spans="1:18" hidden="1" x14ac:dyDescent="0.3">
      <c r="A1807">
        <v>371</v>
      </c>
      <c r="B1807" t="s">
        <v>990</v>
      </c>
      <c r="C1807" t="s">
        <v>951</v>
      </c>
      <c r="D1807" t="s">
        <v>21</v>
      </c>
      <c r="E1807" t="s">
        <v>22</v>
      </c>
      <c r="F1807" s="79">
        <v>46022</v>
      </c>
      <c r="G1807">
        <v>2025</v>
      </c>
      <c r="H1807" t="s">
        <v>23</v>
      </c>
      <c r="I1807" t="s">
        <v>32</v>
      </c>
      <c r="J1807">
        <v>100</v>
      </c>
      <c r="K1807">
        <v>83.42</v>
      </c>
      <c r="L1807" s="39">
        <f t="shared" si="110"/>
        <v>0.83420000000000005</v>
      </c>
      <c r="M1807" s="39">
        <f t="shared" si="111"/>
        <v>0.83420000000000005</v>
      </c>
      <c r="N1807" t="s">
        <v>205</v>
      </c>
      <c r="O1807" t="s">
        <v>205</v>
      </c>
      <c r="P1807">
        <v>0</v>
      </c>
      <c r="Q1807">
        <v>0</v>
      </c>
      <c r="R1807" t="s">
        <v>993</v>
      </c>
    </row>
    <row r="1808" spans="1:18" hidden="1" x14ac:dyDescent="0.3">
      <c r="A1808">
        <v>372</v>
      </c>
      <c r="B1808" t="s">
        <v>994</v>
      </c>
      <c r="C1808" t="s">
        <v>979</v>
      </c>
      <c r="D1808" t="s">
        <v>21</v>
      </c>
      <c r="E1808" t="s">
        <v>22</v>
      </c>
      <c r="F1808" s="79">
        <v>45199</v>
      </c>
      <c r="G1808">
        <v>2023</v>
      </c>
      <c r="H1808" t="s">
        <v>162</v>
      </c>
      <c r="I1808" t="s">
        <v>28</v>
      </c>
      <c r="J1808">
        <v>87</v>
      </c>
      <c r="K1808">
        <v>96</v>
      </c>
      <c r="L1808" s="39">
        <f t="shared" si="110"/>
        <v>1.103448275862069</v>
      </c>
      <c r="M1808" s="39">
        <f t="shared" si="111"/>
        <v>1.103448275862069</v>
      </c>
      <c r="N1808" t="s">
        <v>25</v>
      </c>
      <c r="O1808" t="s">
        <v>25</v>
      </c>
      <c r="P1808">
        <v>0</v>
      </c>
      <c r="Q1808">
        <v>0</v>
      </c>
      <c r="R1808" t="s">
        <v>2729</v>
      </c>
    </row>
    <row r="1809" spans="1:18" hidden="1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87</v>
      </c>
      <c r="K1809">
        <v>95</v>
      </c>
      <c r="L1809" s="39">
        <f t="shared" si="110"/>
        <v>1.0919540229885059</v>
      </c>
      <c r="M1809" s="39">
        <f t="shared" si="111"/>
        <v>1.0919540229885059</v>
      </c>
      <c r="N1809" t="s">
        <v>25</v>
      </c>
      <c r="O1809" t="s">
        <v>25</v>
      </c>
      <c r="P1809">
        <v>0</v>
      </c>
      <c r="Q1809">
        <v>0</v>
      </c>
      <c r="R1809" t="s">
        <v>995</v>
      </c>
    </row>
    <row r="1810" spans="1:18" hidden="1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45382</v>
      </c>
      <c r="G1810">
        <v>2024</v>
      </c>
      <c r="H1810" t="s">
        <v>1516</v>
      </c>
      <c r="I1810" t="s">
        <v>729</v>
      </c>
      <c r="J1810">
        <v>87</v>
      </c>
      <c r="K1810">
        <v>93</v>
      </c>
      <c r="L1810" s="39">
        <f t="shared" si="110"/>
        <v>1.0689655172413792</v>
      </c>
      <c r="M1810" s="39">
        <f t="shared" si="111"/>
        <v>1.0689655172413792</v>
      </c>
      <c r="N1810" t="s">
        <v>25</v>
      </c>
      <c r="O1810" t="s">
        <v>25</v>
      </c>
      <c r="P1810">
        <v>0</v>
      </c>
      <c r="Q1810">
        <v>0</v>
      </c>
      <c r="R1810" t="s">
        <v>2730</v>
      </c>
    </row>
    <row r="1811" spans="1:18" hidden="1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45473</v>
      </c>
      <c r="G1811">
        <v>2024</v>
      </c>
      <c r="H1811" t="s">
        <v>699</v>
      </c>
      <c r="I1811" t="s">
        <v>729</v>
      </c>
      <c r="J1811">
        <v>87</v>
      </c>
      <c r="K1811">
        <v>90</v>
      </c>
      <c r="L1811" s="39">
        <f t="shared" si="110"/>
        <v>1.0344827586206897</v>
      </c>
      <c r="M1811" s="39">
        <f t="shared" si="111"/>
        <v>1.0344827586206897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hidden="1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45565</v>
      </c>
      <c r="G1812">
        <v>2024</v>
      </c>
      <c r="H1812" t="s">
        <v>162</v>
      </c>
      <c r="I1812" t="s">
        <v>30</v>
      </c>
      <c r="J1812">
        <v>87</v>
      </c>
      <c r="K1812">
        <v>91</v>
      </c>
      <c r="L1812" s="39">
        <f t="shared" si="110"/>
        <v>1.0459770114942528</v>
      </c>
      <c r="M1812" s="39">
        <f t="shared" si="111"/>
        <v>1.0459770114942528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hidden="1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45657</v>
      </c>
      <c r="G1813">
        <v>2024</v>
      </c>
      <c r="H1813" t="s">
        <v>23</v>
      </c>
      <c r="I1813" t="s">
        <v>30</v>
      </c>
      <c r="J1813">
        <v>87</v>
      </c>
      <c r="K1813">
        <v>93</v>
      </c>
      <c r="L1813" s="39">
        <f t="shared" si="110"/>
        <v>1.0689655172413792</v>
      </c>
      <c r="M1813" s="39">
        <f t="shared" si="111"/>
        <v>1.0689655172413792</v>
      </c>
      <c r="N1813" t="s">
        <v>25</v>
      </c>
      <c r="O1813" t="s">
        <v>25</v>
      </c>
      <c r="P1813">
        <v>0</v>
      </c>
      <c r="Q1813">
        <v>0</v>
      </c>
      <c r="R1813" t="s">
        <v>996</v>
      </c>
    </row>
    <row r="1814" spans="1:18" hidden="1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45747</v>
      </c>
      <c r="G1814">
        <v>2025</v>
      </c>
      <c r="H1814" t="s">
        <v>1516</v>
      </c>
      <c r="I1814" t="s">
        <v>700</v>
      </c>
      <c r="J1814">
        <v>90</v>
      </c>
      <c r="K1814">
        <v>98</v>
      </c>
      <c r="L1814" s="39">
        <f t="shared" si="110"/>
        <v>1.0888888888888888</v>
      </c>
      <c r="M1814" s="39">
        <f t="shared" si="111"/>
        <v>1.0888888888888888</v>
      </c>
      <c r="N1814" t="s">
        <v>25</v>
      </c>
      <c r="O1814" t="s">
        <v>25</v>
      </c>
      <c r="P1814">
        <v>0</v>
      </c>
      <c r="Q1814">
        <v>0</v>
      </c>
      <c r="R1814" t="s">
        <v>2733</v>
      </c>
    </row>
    <row r="1815" spans="1:18" hidden="1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45838</v>
      </c>
      <c r="G1815">
        <v>2025</v>
      </c>
      <c r="H1815" t="s">
        <v>699</v>
      </c>
      <c r="I1815" t="s">
        <v>700</v>
      </c>
      <c r="J1815">
        <v>90</v>
      </c>
      <c r="K1815">
        <v>90</v>
      </c>
      <c r="L1815" s="39">
        <f t="shared" si="110"/>
        <v>1</v>
      </c>
      <c r="M1815" s="39">
        <f t="shared" si="111"/>
        <v>1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hidden="1" x14ac:dyDescent="0.3">
      <c r="A1816">
        <v>372</v>
      </c>
      <c r="B1816" t="s">
        <v>994</v>
      </c>
      <c r="C1816" t="s">
        <v>982</v>
      </c>
      <c r="D1816" t="s">
        <v>27</v>
      </c>
      <c r="E1816" t="s">
        <v>22</v>
      </c>
      <c r="F1816" s="79">
        <v>45930</v>
      </c>
      <c r="G1816">
        <v>2025</v>
      </c>
      <c r="H1816" t="s">
        <v>162</v>
      </c>
      <c r="I1816" t="s">
        <v>32</v>
      </c>
      <c r="J1816">
        <v>90</v>
      </c>
      <c r="K1816">
        <v>97</v>
      </c>
      <c r="L1816" s="39">
        <f t="shared" si="110"/>
        <v>1.0777777777777777</v>
      </c>
      <c r="M1816" s="39">
        <f t="shared" si="111"/>
        <v>1.0777777777777777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hidden="1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46022</v>
      </c>
      <c r="G1817">
        <v>2025</v>
      </c>
      <c r="H1817" t="s">
        <v>23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997</v>
      </c>
    </row>
    <row r="1818" spans="1:18" hidden="1" x14ac:dyDescent="0.3">
      <c r="A1818">
        <v>373</v>
      </c>
      <c r="B1818" t="s">
        <v>998</v>
      </c>
      <c r="C1818" t="s">
        <v>567</v>
      </c>
      <c r="D1818" t="s">
        <v>21</v>
      </c>
      <c r="E1818" t="s">
        <v>22</v>
      </c>
      <c r="F1818" s="79">
        <v>45107</v>
      </c>
      <c r="G1818">
        <v>2023</v>
      </c>
      <c r="H1818" t="s">
        <v>699</v>
      </c>
      <c r="I1818" t="s">
        <v>1512</v>
      </c>
      <c r="J1818">
        <v>100</v>
      </c>
      <c r="K1818">
        <v>107.17166666667001</v>
      </c>
      <c r="L1818" s="39">
        <f t="shared" ref="L1818:L1828" si="112">IFERROR(IF(OR(J1818=0,K1818=""),"",IF(E1818="Positivo",MIN(MAX(K1818/J1818,0),1),MIN(MAX(J1818/K1818,0),1))),"")</f>
        <v>1</v>
      </c>
      <c r="M1818" s="39">
        <f t="shared" si="111"/>
        <v>1.0717166666667</v>
      </c>
      <c r="N1818" t="s">
        <v>25</v>
      </c>
      <c r="O1818" t="s">
        <v>25</v>
      </c>
      <c r="P1818">
        <v>0</v>
      </c>
      <c r="Q1818">
        <v>0</v>
      </c>
      <c r="R1818" t="s">
        <v>2736</v>
      </c>
    </row>
    <row r="1819" spans="1:18" hidden="1" x14ac:dyDescent="0.3">
      <c r="A1819">
        <v>373</v>
      </c>
      <c r="B1819" t="s">
        <v>998</v>
      </c>
      <c r="C1819" t="s">
        <v>567</v>
      </c>
      <c r="D1819" t="s">
        <v>21</v>
      </c>
      <c r="E1819" t="s">
        <v>22</v>
      </c>
      <c r="F1819" s="79">
        <v>45199</v>
      </c>
      <c r="G1819">
        <v>2023</v>
      </c>
      <c r="H1819" t="s">
        <v>162</v>
      </c>
      <c r="I1819" t="s">
        <v>28</v>
      </c>
      <c r="J1819">
        <v>100</v>
      </c>
      <c r="K1819">
        <v>91.508333333332999</v>
      </c>
      <c r="L1819" s="39">
        <f t="shared" si="112"/>
        <v>0.91508333333333003</v>
      </c>
      <c r="M1819" s="39">
        <f t="shared" si="111"/>
        <v>0.91508333333333003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hidden="1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45291</v>
      </c>
      <c r="G1820">
        <v>2023</v>
      </c>
      <c r="H1820" t="s">
        <v>23</v>
      </c>
      <c r="I1820" t="s">
        <v>28</v>
      </c>
      <c r="J1820">
        <v>100</v>
      </c>
      <c r="K1820">
        <v>97.166666666666998</v>
      </c>
      <c r="L1820" s="39">
        <f t="shared" si="112"/>
        <v>0.97166666666667001</v>
      </c>
      <c r="M1820" s="39">
        <f t="shared" si="111"/>
        <v>0.97166666666667001</v>
      </c>
      <c r="N1820" t="s">
        <v>25</v>
      </c>
      <c r="O1820" t="s">
        <v>25</v>
      </c>
      <c r="P1820">
        <v>0</v>
      </c>
      <c r="Q1820">
        <v>0</v>
      </c>
      <c r="R1820" t="s">
        <v>999</v>
      </c>
    </row>
    <row r="1821" spans="1:18" hidden="1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45382</v>
      </c>
      <c r="G1821">
        <v>2024</v>
      </c>
      <c r="H1821" t="s">
        <v>1516</v>
      </c>
      <c r="I1821" t="s">
        <v>729</v>
      </c>
      <c r="J1821">
        <v>100</v>
      </c>
      <c r="K1821">
        <v>89.02</v>
      </c>
      <c r="L1821" s="39">
        <f t="shared" si="112"/>
        <v>0.89019999999999999</v>
      </c>
      <c r="M1821" s="39">
        <f t="shared" si="111"/>
        <v>0.89019999999999999</v>
      </c>
      <c r="N1821" t="s">
        <v>25</v>
      </c>
      <c r="O1821" t="s">
        <v>25</v>
      </c>
      <c r="P1821">
        <v>0</v>
      </c>
      <c r="Q1821">
        <v>0</v>
      </c>
      <c r="R1821" t="s">
        <v>2738</v>
      </c>
    </row>
    <row r="1822" spans="1:18" hidden="1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45473</v>
      </c>
      <c r="G1822">
        <v>2024</v>
      </c>
      <c r="H1822" t="s">
        <v>699</v>
      </c>
      <c r="I1822" t="s">
        <v>729</v>
      </c>
      <c r="J1822">
        <v>100</v>
      </c>
      <c r="K1822">
        <v>106.8</v>
      </c>
      <c r="L1822" s="39">
        <f t="shared" si="112"/>
        <v>1</v>
      </c>
      <c r="M1822" s="39">
        <f t="shared" si="111"/>
        <v>1.0680000000000001</v>
      </c>
      <c r="N1822" t="s">
        <v>25</v>
      </c>
      <c r="O1822" t="s">
        <v>25</v>
      </c>
      <c r="P1822">
        <v>0</v>
      </c>
      <c r="Q1822">
        <v>0</v>
      </c>
      <c r="R1822" t="s">
        <v>2739</v>
      </c>
    </row>
    <row r="1823" spans="1:18" hidden="1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45565</v>
      </c>
      <c r="G1823">
        <v>2024</v>
      </c>
      <c r="H1823" t="s">
        <v>162</v>
      </c>
      <c r="I1823" t="s">
        <v>30</v>
      </c>
      <c r="J1823">
        <v>100</v>
      </c>
      <c r="K1823">
        <v>99.61</v>
      </c>
      <c r="L1823" s="39">
        <f t="shared" si="112"/>
        <v>0.99609999999999999</v>
      </c>
      <c r="M1823" s="39">
        <f t="shared" si="111"/>
        <v>0.99609999999999999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hidden="1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45657</v>
      </c>
      <c r="G1824">
        <v>2024</v>
      </c>
      <c r="H1824" t="s">
        <v>23</v>
      </c>
      <c r="I1824" t="s">
        <v>30</v>
      </c>
      <c r="J1824">
        <v>100</v>
      </c>
      <c r="K1824">
        <v>98.67</v>
      </c>
      <c r="L1824" s="39">
        <f t="shared" si="112"/>
        <v>0.98670000000000002</v>
      </c>
      <c r="M1824" s="39">
        <f t="shared" si="111"/>
        <v>0.98670000000000002</v>
      </c>
      <c r="N1824" t="s">
        <v>25</v>
      </c>
      <c r="O1824" t="s">
        <v>25</v>
      </c>
      <c r="P1824">
        <v>0</v>
      </c>
      <c r="Q1824">
        <v>0</v>
      </c>
      <c r="R1824" t="s">
        <v>1000</v>
      </c>
    </row>
    <row r="1825" spans="1:19" hidden="1" x14ac:dyDescent="0.3">
      <c r="A1825">
        <v>373</v>
      </c>
      <c r="B1825" t="s">
        <v>998</v>
      </c>
      <c r="C1825" t="s">
        <v>567</v>
      </c>
      <c r="D1825" t="s">
        <v>27</v>
      </c>
      <c r="E1825" t="s">
        <v>22</v>
      </c>
      <c r="F1825" s="79">
        <v>45747</v>
      </c>
      <c r="G1825">
        <v>2025</v>
      </c>
      <c r="H1825" t="s">
        <v>1516</v>
      </c>
      <c r="I1825" t="s">
        <v>700</v>
      </c>
      <c r="J1825">
        <v>100</v>
      </c>
      <c r="K1825">
        <v>107.46</v>
      </c>
      <c r="L1825" s="39">
        <f t="shared" si="112"/>
        <v>1</v>
      </c>
      <c r="M1825" s="39">
        <f t="shared" si="111"/>
        <v>1.0746</v>
      </c>
      <c r="N1825" t="s">
        <v>25</v>
      </c>
      <c r="O1825" t="s">
        <v>25</v>
      </c>
      <c r="P1825">
        <v>0</v>
      </c>
      <c r="Q1825">
        <v>0</v>
      </c>
      <c r="R1825" t="s">
        <v>2741</v>
      </c>
    </row>
    <row r="1826" spans="1:19" hidden="1" x14ac:dyDescent="0.3">
      <c r="A1826">
        <v>373</v>
      </c>
      <c r="B1826" t="s">
        <v>998</v>
      </c>
      <c r="C1826" t="s">
        <v>567</v>
      </c>
      <c r="D1826" t="s">
        <v>27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101.75</v>
      </c>
      <c r="L1826" s="39">
        <f t="shared" si="112"/>
        <v>1</v>
      </c>
      <c r="M1826" s="39">
        <f t="shared" si="111"/>
        <v>1.0175000000000001</v>
      </c>
      <c r="N1826" t="s">
        <v>25</v>
      </c>
      <c r="O1826" t="s">
        <v>25</v>
      </c>
      <c r="P1826">
        <v>0</v>
      </c>
      <c r="Q1826">
        <v>0</v>
      </c>
      <c r="R1826" t="s">
        <v>2742</v>
      </c>
    </row>
    <row r="1827" spans="1:19" hidden="1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45930</v>
      </c>
      <c r="G1827">
        <v>2025</v>
      </c>
      <c r="H1827" t="s">
        <v>162</v>
      </c>
      <c r="I1827" t="s">
        <v>32</v>
      </c>
      <c r="J1827">
        <v>100</v>
      </c>
      <c r="K1827">
        <v>96.32</v>
      </c>
      <c r="L1827" s="39">
        <f t="shared" si="112"/>
        <v>0.96319999999999995</v>
      </c>
      <c r="M1827" s="39">
        <f t="shared" si="111"/>
        <v>0.96319999999999995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hidden="1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46022</v>
      </c>
      <c r="G1828">
        <v>2025</v>
      </c>
      <c r="H1828" t="s">
        <v>23</v>
      </c>
      <c r="I1828" t="s">
        <v>32</v>
      </c>
      <c r="J1828">
        <v>100</v>
      </c>
      <c r="K1828">
        <v>99.33</v>
      </c>
      <c r="L1828" s="39">
        <f t="shared" si="112"/>
        <v>0.99329999999999996</v>
      </c>
      <c r="M1828" s="39">
        <f t="shared" si="111"/>
        <v>0.99329999999999996</v>
      </c>
      <c r="N1828" t="s">
        <v>25</v>
      </c>
      <c r="O1828" t="s">
        <v>25</v>
      </c>
      <c r="P1828">
        <v>0</v>
      </c>
      <c r="Q1828">
        <v>0</v>
      </c>
      <c r="R1828" t="s">
        <v>1001</v>
      </c>
    </row>
    <row r="1829" spans="1:19" hidden="1" x14ac:dyDescent="0.3">
      <c r="A1829">
        <v>374</v>
      </c>
      <c r="B1829" t="s">
        <v>1002</v>
      </c>
      <c r="C1829" t="s">
        <v>956</v>
      </c>
      <c r="D1829" t="s">
        <v>27</v>
      </c>
      <c r="E1829" t="s">
        <v>22</v>
      </c>
      <c r="F1829" s="79">
        <v>45291</v>
      </c>
      <c r="G1829">
        <v>2023</v>
      </c>
      <c r="H1829" t="s">
        <v>23</v>
      </c>
      <c r="I1829" t="s">
        <v>28</v>
      </c>
      <c r="J1829">
        <v>100</v>
      </c>
      <c r="K1829">
        <v>100</v>
      </c>
      <c r="L1829" s="39">
        <f>IFERROR(IF(OR(J1829=0,K1829=""),"",IF(E1829="Positivo",MIN(MAX(K1829/J1829,0),1.3),MIN(MAX(J1829/K1829,0),1.3))),"")</f>
        <v>1</v>
      </c>
      <c r="M1829" s="39">
        <f t="shared" si="111"/>
        <v>1</v>
      </c>
      <c r="N1829" t="s">
        <v>25</v>
      </c>
      <c r="O1829" t="s">
        <v>25</v>
      </c>
      <c r="P1829">
        <v>0</v>
      </c>
      <c r="Q1829">
        <v>0</v>
      </c>
      <c r="R1829" t="s">
        <v>1003</v>
      </c>
    </row>
    <row r="1830" spans="1:19" hidden="1" x14ac:dyDescent="0.3">
      <c r="A1830">
        <v>375</v>
      </c>
      <c r="B1830" t="s">
        <v>1004</v>
      </c>
      <c r="C1830" t="s">
        <v>956</v>
      </c>
      <c r="D1830" t="s">
        <v>21</v>
      </c>
      <c r="E1830" t="s">
        <v>22</v>
      </c>
      <c r="F1830" s="79">
        <v>45016</v>
      </c>
      <c r="G1830">
        <v>2023</v>
      </c>
      <c r="H1830" t="s">
        <v>1516</v>
      </c>
      <c r="I1830" t="s">
        <v>1512</v>
      </c>
      <c r="J1830">
        <v>100</v>
      </c>
      <c r="L1830" s="39"/>
      <c r="M1830" s="39"/>
      <c r="N1830" t="s">
        <v>25</v>
      </c>
      <c r="O1830" t="s">
        <v>302</v>
      </c>
      <c r="P1830">
        <v>0</v>
      </c>
      <c r="Q1830">
        <v>0</v>
      </c>
      <c r="R1830" t="s">
        <v>2744</v>
      </c>
      <c r="S1830" t="s">
        <v>302</v>
      </c>
    </row>
    <row r="1831" spans="1:19" hidden="1" x14ac:dyDescent="0.3">
      <c r="A1831">
        <v>375</v>
      </c>
      <c r="B1831" t="s">
        <v>1004</v>
      </c>
      <c r="C1831" t="s">
        <v>956</v>
      </c>
      <c r="D1831" t="s">
        <v>21</v>
      </c>
      <c r="E1831" t="s">
        <v>22</v>
      </c>
      <c r="F1831" s="79">
        <v>45107</v>
      </c>
      <c r="G1831">
        <v>2023</v>
      </c>
      <c r="H1831" t="s">
        <v>699</v>
      </c>
      <c r="I1831" t="s">
        <v>1512</v>
      </c>
      <c r="J1831">
        <v>100</v>
      </c>
      <c r="K1831">
        <v>0</v>
      </c>
      <c r="L1831" s="39">
        <f t="shared" ref="L1831:L1862" si="113">IFERROR(IF(OR(J1831=0,K1831=""),"",IF(E1831="Positivo",MIN(MAX(K1831/J1831,0),1.3),MIN(MAX(J1831/K1831,0),1.3))),"")</f>
        <v>0</v>
      </c>
      <c r="M1831" s="39">
        <f t="shared" ref="M1831:M1862" si="114">IFERROR(IF(OR(J1831=0,K1831=""),"",IF(E1831="Positivo",MAX(K1831/J1831,0),MAX(J1831/K1831,0))),"")</f>
        <v>0</v>
      </c>
      <c r="N1831" t="s">
        <v>25</v>
      </c>
      <c r="O1831" t="s">
        <v>25</v>
      </c>
      <c r="P1831">
        <v>0</v>
      </c>
      <c r="Q1831">
        <v>0</v>
      </c>
      <c r="R1831" t="s">
        <v>2745</v>
      </c>
    </row>
    <row r="1832" spans="1:19" hidden="1" x14ac:dyDescent="0.3">
      <c r="A1832">
        <v>375</v>
      </c>
      <c r="B1832" t="s">
        <v>1004</v>
      </c>
      <c r="C1832" t="s">
        <v>956</v>
      </c>
      <c r="D1832" t="s">
        <v>27</v>
      </c>
      <c r="E1832" t="s">
        <v>22</v>
      </c>
      <c r="F1832" s="79">
        <v>45291</v>
      </c>
      <c r="G1832">
        <v>2023</v>
      </c>
      <c r="H1832" t="s">
        <v>23</v>
      </c>
      <c r="I1832" t="s">
        <v>28</v>
      </c>
      <c r="J1832">
        <v>100</v>
      </c>
      <c r="K1832">
        <v>100</v>
      </c>
      <c r="L1832" s="39">
        <f t="shared" si="113"/>
        <v>1</v>
      </c>
      <c r="M1832" s="39">
        <f t="shared" si="114"/>
        <v>1</v>
      </c>
      <c r="N1832" t="s">
        <v>25</v>
      </c>
      <c r="O1832" t="s">
        <v>25</v>
      </c>
      <c r="P1832">
        <v>0</v>
      </c>
      <c r="Q1832">
        <v>0</v>
      </c>
      <c r="R1832" t="s">
        <v>1005</v>
      </c>
    </row>
    <row r="1833" spans="1:19" hidden="1" x14ac:dyDescent="0.3">
      <c r="A1833">
        <v>375</v>
      </c>
      <c r="B1833" t="s">
        <v>1004</v>
      </c>
      <c r="C1833" t="s">
        <v>956</v>
      </c>
      <c r="D1833" t="s">
        <v>27</v>
      </c>
      <c r="E1833" t="s">
        <v>22</v>
      </c>
      <c r="F1833" s="79">
        <v>45473</v>
      </c>
      <c r="G1833">
        <v>2024</v>
      </c>
      <c r="H1833" t="s">
        <v>699</v>
      </c>
      <c r="I1833" t="s">
        <v>729</v>
      </c>
      <c r="J1833">
        <v>100</v>
      </c>
      <c r="K1833">
        <v>100</v>
      </c>
      <c r="L1833" s="39">
        <f t="shared" si="113"/>
        <v>1</v>
      </c>
      <c r="M1833" s="39">
        <f t="shared" si="114"/>
        <v>1</v>
      </c>
      <c r="N1833" t="s">
        <v>25</v>
      </c>
      <c r="O1833" t="s">
        <v>25</v>
      </c>
      <c r="P1833">
        <v>0</v>
      </c>
      <c r="Q1833">
        <v>0</v>
      </c>
      <c r="R1833" t="s">
        <v>2746</v>
      </c>
    </row>
    <row r="1834" spans="1:19" hidden="1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45657</v>
      </c>
      <c r="G1834">
        <v>2024</v>
      </c>
      <c r="H1834" t="s">
        <v>23</v>
      </c>
      <c r="I1834" t="s">
        <v>30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1006</v>
      </c>
    </row>
    <row r="1835" spans="1:19" hidden="1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45838</v>
      </c>
      <c r="G1835">
        <v>2025</v>
      </c>
      <c r="H1835" t="s">
        <v>699</v>
      </c>
      <c r="I1835" t="s">
        <v>700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2747</v>
      </c>
    </row>
    <row r="1836" spans="1:19" hidden="1" x14ac:dyDescent="0.3">
      <c r="A1836">
        <v>375</v>
      </c>
      <c r="B1836" t="s">
        <v>1004</v>
      </c>
      <c r="C1836" t="s">
        <v>956</v>
      </c>
      <c r="D1836" t="s">
        <v>21</v>
      </c>
      <c r="E1836" t="s">
        <v>22</v>
      </c>
      <c r="F1836" s="79">
        <v>46022</v>
      </c>
      <c r="G1836">
        <v>2025</v>
      </c>
      <c r="H1836" t="s">
        <v>23</v>
      </c>
      <c r="I1836" t="s">
        <v>32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1007</v>
      </c>
    </row>
    <row r="1837" spans="1:19" hidden="1" x14ac:dyDescent="0.3">
      <c r="A1837">
        <v>376</v>
      </c>
      <c r="B1837" t="s">
        <v>2748</v>
      </c>
      <c r="C1837" t="s">
        <v>159</v>
      </c>
      <c r="D1837" t="s">
        <v>27</v>
      </c>
      <c r="E1837" t="s">
        <v>22</v>
      </c>
      <c r="F1837" s="79">
        <v>45107</v>
      </c>
      <c r="G1837">
        <v>2023</v>
      </c>
      <c r="H1837" t="s">
        <v>699</v>
      </c>
      <c r="I1837" t="s">
        <v>1512</v>
      </c>
      <c r="J1837">
        <v>95</v>
      </c>
      <c r="K1837">
        <v>149.72237633949999</v>
      </c>
      <c r="L1837" s="39">
        <f t="shared" si="113"/>
        <v>1.3</v>
      </c>
      <c r="M1837" s="39">
        <f t="shared" si="114"/>
        <v>1.5760250140999998</v>
      </c>
      <c r="N1837" t="s">
        <v>205</v>
      </c>
      <c r="O1837" t="s">
        <v>205</v>
      </c>
      <c r="P1837">
        <v>0</v>
      </c>
      <c r="Q1837">
        <v>0</v>
      </c>
      <c r="R1837" t="s">
        <v>2749</v>
      </c>
    </row>
    <row r="1838" spans="1:19" hidden="1" x14ac:dyDescent="0.3">
      <c r="A1838">
        <v>376</v>
      </c>
      <c r="B1838" t="s">
        <v>2748</v>
      </c>
      <c r="C1838" t="s">
        <v>159</v>
      </c>
      <c r="D1838" t="s">
        <v>27</v>
      </c>
      <c r="E1838" t="s">
        <v>22</v>
      </c>
      <c r="F1838" s="79">
        <v>45291</v>
      </c>
      <c r="G1838">
        <v>2023</v>
      </c>
      <c r="H1838" t="s">
        <v>23</v>
      </c>
      <c r="I1838" t="s">
        <v>28</v>
      </c>
      <c r="J1838">
        <v>95</v>
      </c>
      <c r="K1838">
        <v>101.26</v>
      </c>
      <c r="L1838" s="39">
        <f t="shared" si="113"/>
        <v>1.0658947368421052</v>
      </c>
      <c r="M1838" s="39">
        <f t="shared" si="114"/>
        <v>1.0658947368421052</v>
      </c>
      <c r="N1838" t="s">
        <v>205</v>
      </c>
      <c r="O1838" t="s">
        <v>205</v>
      </c>
      <c r="P1838">
        <v>0</v>
      </c>
      <c r="Q1838">
        <v>0</v>
      </c>
      <c r="R1838" t="s">
        <v>1009</v>
      </c>
    </row>
    <row r="1839" spans="1:19" hidden="1" x14ac:dyDescent="0.3">
      <c r="A1839">
        <v>376</v>
      </c>
      <c r="B1839" t="s">
        <v>2748</v>
      </c>
      <c r="C1839" t="s">
        <v>159</v>
      </c>
      <c r="D1839" t="s">
        <v>27</v>
      </c>
      <c r="E1839" t="s">
        <v>22</v>
      </c>
      <c r="F1839" s="79">
        <v>45473</v>
      </c>
      <c r="G1839">
        <v>2024</v>
      </c>
      <c r="H1839" t="s">
        <v>699</v>
      </c>
      <c r="I1839" t="s">
        <v>729</v>
      </c>
      <c r="J1839">
        <v>95</v>
      </c>
      <c r="K1839">
        <v>104</v>
      </c>
      <c r="L1839" s="39">
        <f t="shared" si="113"/>
        <v>1.0947368421052632</v>
      </c>
      <c r="M1839" s="39">
        <f t="shared" si="114"/>
        <v>1.0947368421052632</v>
      </c>
      <c r="N1839" t="s">
        <v>205</v>
      </c>
      <c r="O1839" t="s">
        <v>205</v>
      </c>
      <c r="P1839">
        <v>0</v>
      </c>
      <c r="Q1839">
        <v>0</v>
      </c>
      <c r="R1839" t="s">
        <v>2750</v>
      </c>
    </row>
    <row r="1840" spans="1:19" hidden="1" x14ac:dyDescent="0.3">
      <c r="A1840">
        <v>376</v>
      </c>
      <c r="B1840" t="s">
        <v>1008</v>
      </c>
      <c r="C1840" t="s">
        <v>159</v>
      </c>
      <c r="D1840" t="s">
        <v>27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95</v>
      </c>
      <c r="K1840">
        <v>109.1</v>
      </c>
      <c r="L1840" s="39">
        <f t="shared" si="113"/>
        <v>1.1484210526315788</v>
      </c>
      <c r="M1840" s="39">
        <f t="shared" si="114"/>
        <v>1.1484210526315788</v>
      </c>
      <c r="N1840" t="s">
        <v>205</v>
      </c>
      <c r="O1840" t="s">
        <v>205</v>
      </c>
      <c r="P1840">
        <v>0</v>
      </c>
      <c r="Q1840">
        <v>0</v>
      </c>
      <c r="R1840" t="s">
        <v>1010</v>
      </c>
    </row>
    <row r="1841" spans="1:18" hidden="1" x14ac:dyDescent="0.3">
      <c r="A1841">
        <v>376</v>
      </c>
      <c r="B1841" t="s">
        <v>1008</v>
      </c>
      <c r="C1841" t="s">
        <v>159</v>
      </c>
      <c r="D1841" t="s">
        <v>27</v>
      </c>
      <c r="E1841" t="s">
        <v>22</v>
      </c>
      <c r="F1841" s="79">
        <v>45838</v>
      </c>
      <c r="G1841">
        <v>2025</v>
      </c>
      <c r="H1841" t="s">
        <v>699</v>
      </c>
      <c r="I1841" t="s">
        <v>700</v>
      </c>
      <c r="J1841">
        <v>95</v>
      </c>
      <c r="K1841">
        <v>117.87</v>
      </c>
      <c r="L1841" s="39">
        <f t="shared" si="113"/>
        <v>1.2407368421052631</v>
      </c>
      <c r="M1841" s="39">
        <f t="shared" si="114"/>
        <v>1.2407368421052631</v>
      </c>
      <c r="N1841" t="s">
        <v>205</v>
      </c>
      <c r="O1841" t="s">
        <v>205</v>
      </c>
      <c r="P1841">
        <v>0</v>
      </c>
      <c r="Q1841">
        <v>0</v>
      </c>
      <c r="R1841" t="s">
        <v>2751</v>
      </c>
    </row>
    <row r="1842" spans="1:18" hidden="1" x14ac:dyDescent="0.3">
      <c r="A1842">
        <v>376</v>
      </c>
      <c r="B1842" t="s">
        <v>1008</v>
      </c>
      <c r="C1842" t="s">
        <v>159</v>
      </c>
      <c r="D1842" t="s">
        <v>21</v>
      </c>
      <c r="E1842" t="s">
        <v>22</v>
      </c>
      <c r="F1842" s="79">
        <v>46022</v>
      </c>
      <c r="G1842">
        <v>2025</v>
      </c>
      <c r="H1842" t="s">
        <v>23</v>
      </c>
      <c r="I1842" t="s">
        <v>32</v>
      </c>
      <c r="J1842">
        <v>95</v>
      </c>
      <c r="K1842">
        <v>117.51</v>
      </c>
      <c r="L1842" s="39">
        <f t="shared" si="113"/>
        <v>1.2369473684210528</v>
      </c>
      <c r="M1842" s="39">
        <f t="shared" si="114"/>
        <v>1.2369473684210528</v>
      </c>
      <c r="N1842" t="s">
        <v>205</v>
      </c>
      <c r="O1842" t="s">
        <v>205</v>
      </c>
      <c r="P1842">
        <v>0</v>
      </c>
      <c r="Q1842">
        <v>0</v>
      </c>
      <c r="R1842" t="s">
        <v>1011</v>
      </c>
    </row>
    <row r="1843" spans="1:18" hidden="1" x14ac:dyDescent="0.3">
      <c r="A1843">
        <v>377</v>
      </c>
      <c r="B1843" t="s">
        <v>1012</v>
      </c>
      <c r="C1843" t="s">
        <v>159</v>
      </c>
      <c r="D1843" t="s">
        <v>27</v>
      </c>
      <c r="E1843" t="s">
        <v>41</v>
      </c>
      <c r="F1843" s="79">
        <v>45107</v>
      </c>
      <c r="G1843">
        <v>2023</v>
      </c>
      <c r="H1843" t="s">
        <v>699</v>
      </c>
      <c r="I1843" t="s">
        <v>1512</v>
      </c>
      <c r="J1843">
        <v>100</v>
      </c>
      <c r="K1843">
        <v>22.314798348501999</v>
      </c>
      <c r="L1843" s="39">
        <f t="shared" si="113"/>
        <v>1.3</v>
      </c>
      <c r="M1843" s="39">
        <f t="shared" si="114"/>
        <v>4.4813311076464668</v>
      </c>
      <c r="N1843" t="s">
        <v>205</v>
      </c>
      <c r="O1843" t="s">
        <v>205</v>
      </c>
      <c r="P1843">
        <v>0</v>
      </c>
      <c r="Q1843">
        <v>0</v>
      </c>
      <c r="R1843" t="s">
        <v>2752</v>
      </c>
    </row>
    <row r="1844" spans="1:18" hidden="1" x14ac:dyDescent="0.3">
      <c r="A1844">
        <v>377</v>
      </c>
      <c r="B1844" t="s">
        <v>1012</v>
      </c>
      <c r="C1844" t="s">
        <v>159</v>
      </c>
      <c r="D1844" t="s">
        <v>27</v>
      </c>
      <c r="E1844" t="s">
        <v>41</v>
      </c>
      <c r="F1844" s="79">
        <v>45291</v>
      </c>
      <c r="G1844">
        <v>2023</v>
      </c>
      <c r="H1844" t="s">
        <v>23</v>
      </c>
      <c r="I1844" t="s">
        <v>28</v>
      </c>
      <c r="J1844">
        <v>100</v>
      </c>
      <c r="K1844">
        <v>60.77</v>
      </c>
      <c r="L1844" s="39">
        <f t="shared" si="113"/>
        <v>1.3</v>
      </c>
      <c r="M1844" s="39">
        <f t="shared" si="114"/>
        <v>1.6455487905216388</v>
      </c>
      <c r="N1844" t="s">
        <v>205</v>
      </c>
      <c r="O1844" t="s">
        <v>205</v>
      </c>
      <c r="P1844">
        <v>0</v>
      </c>
      <c r="Q1844">
        <v>0</v>
      </c>
      <c r="R1844" t="s">
        <v>1013</v>
      </c>
    </row>
    <row r="1845" spans="1:18" hidden="1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45473</v>
      </c>
      <c r="G1845">
        <v>2024</v>
      </c>
      <c r="H1845" t="s">
        <v>699</v>
      </c>
      <c r="I1845" t="s">
        <v>729</v>
      </c>
      <c r="J1845">
        <v>100</v>
      </c>
      <c r="K1845">
        <v>48.24</v>
      </c>
      <c r="L1845" s="39">
        <f t="shared" si="113"/>
        <v>1.3</v>
      </c>
      <c r="M1845" s="39">
        <f t="shared" si="114"/>
        <v>2.0729684908789388</v>
      </c>
      <c r="N1845" t="s">
        <v>205</v>
      </c>
      <c r="O1845" t="s">
        <v>205</v>
      </c>
      <c r="P1845">
        <v>0</v>
      </c>
      <c r="Q1845">
        <v>0</v>
      </c>
      <c r="R1845" t="s">
        <v>2753</v>
      </c>
    </row>
    <row r="1846" spans="1:18" hidden="1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45657</v>
      </c>
      <c r="G1846">
        <v>2024</v>
      </c>
      <c r="H1846" t="s">
        <v>23</v>
      </c>
      <c r="I1846" t="s">
        <v>30</v>
      </c>
      <c r="J1846">
        <v>100</v>
      </c>
      <c r="K1846">
        <v>125.01</v>
      </c>
      <c r="L1846" s="39">
        <f t="shared" si="113"/>
        <v>0.7999360051195904</v>
      </c>
      <c r="M1846" s="39">
        <f t="shared" si="114"/>
        <v>0.7999360051195904</v>
      </c>
      <c r="N1846" t="s">
        <v>205</v>
      </c>
      <c r="O1846" t="s">
        <v>205</v>
      </c>
      <c r="P1846">
        <v>0</v>
      </c>
      <c r="Q1846">
        <v>0</v>
      </c>
      <c r="R1846" t="s">
        <v>1014</v>
      </c>
    </row>
    <row r="1847" spans="1:18" hidden="1" x14ac:dyDescent="0.3">
      <c r="A1847">
        <v>377</v>
      </c>
      <c r="B1847" t="s">
        <v>1012</v>
      </c>
      <c r="C1847" t="s">
        <v>159</v>
      </c>
      <c r="D1847" t="s">
        <v>71</v>
      </c>
      <c r="E1847" t="s">
        <v>22</v>
      </c>
      <c r="F1847" s="79">
        <v>46022</v>
      </c>
      <c r="G1847">
        <v>2025</v>
      </c>
      <c r="H1847" t="s">
        <v>23</v>
      </c>
      <c r="I1847" t="s">
        <v>32</v>
      </c>
      <c r="J1847">
        <v>100</v>
      </c>
      <c r="K1847">
        <v>107.11</v>
      </c>
      <c r="L1847" s="39">
        <f t="shared" si="113"/>
        <v>1.0710999999999999</v>
      </c>
      <c r="M1847" s="39">
        <f t="shared" si="114"/>
        <v>1.0710999999999999</v>
      </c>
      <c r="N1847" t="s">
        <v>205</v>
      </c>
      <c r="O1847" t="s">
        <v>205</v>
      </c>
      <c r="P1847">
        <v>0</v>
      </c>
      <c r="Q1847">
        <v>0</v>
      </c>
      <c r="R1847" t="s">
        <v>1015</v>
      </c>
    </row>
    <row r="1848" spans="1:18" hidden="1" x14ac:dyDescent="0.3">
      <c r="A1848">
        <v>378</v>
      </c>
      <c r="B1848" t="s">
        <v>1016</v>
      </c>
      <c r="C1848" t="s">
        <v>177</v>
      </c>
      <c r="D1848" t="s">
        <v>54</v>
      </c>
      <c r="E1848" t="s">
        <v>22</v>
      </c>
      <c r="F1848" s="79">
        <v>44957</v>
      </c>
      <c r="G1848">
        <v>2023</v>
      </c>
      <c r="H1848" t="s">
        <v>59</v>
      </c>
      <c r="I1848" t="s">
        <v>1512</v>
      </c>
      <c r="J1848">
        <v>92</v>
      </c>
      <c r="K1848">
        <v>100</v>
      </c>
      <c r="L1848" s="39">
        <f t="shared" si="113"/>
        <v>1.0869565217391304</v>
      </c>
      <c r="M1848" s="39">
        <f t="shared" si="114"/>
        <v>1.0869565217391304</v>
      </c>
      <c r="N1848" t="s">
        <v>25</v>
      </c>
      <c r="O1848" t="s">
        <v>25</v>
      </c>
      <c r="P1848">
        <v>0</v>
      </c>
      <c r="Q1848">
        <v>0</v>
      </c>
      <c r="R1848" t="s">
        <v>2754</v>
      </c>
    </row>
    <row r="1849" spans="1:18" hidden="1" x14ac:dyDescent="0.3">
      <c r="A1849">
        <v>378</v>
      </c>
      <c r="B1849" t="s">
        <v>1016</v>
      </c>
      <c r="C1849" t="s">
        <v>177</v>
      </c>
      <c r="D1849" t="s">
        <v>54</v>
      </c>
      <c r="E1849" t="s">
        <v>22</v>
      </c>
      <c r="F1849" s="79">
        <v>44985</v>
      </c>
      <c r="G1849">
        <v>2023</v>
      </c>
      <c r="H1849" t="s">
        <v>210</v>
      </c>
      <c r="I1849" t="s">
        <v>1512</v>
      </c>
      <c r="J1849">
        <v>92</v>
      </c>
      <c r="K1849">
        <v>100</v>
      </c>
      <c r="L1849" s="39">
        <f t="shared" si="113"/>
        <v>1.0869565217391304</v>
      </c>
      <c r="M1849" s="39">
        <f t="shared" si="114"/>
        <v>1.0869565217391304</v>
      </c>
      <c r="N1849" t="s">
        <v>25</v>
      </c>
      <c r="O1849" t="s">
        <v>25</v>
      </c>
      <c r="P1849">
        <v>0</v>
      </c>
      <c r="Q1849">
        <v>0</v>
      </c>
      <c r="R1849" t="s">
        <v>2755</v>
      </c>
    </row>
    <row r="1850" spans="1:18" hidden="1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45016</v>
      </c>
      <c r="G1850">
        <v>2023</v>
      </c>
      <c r="H1850" t="s">
        <v>1516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hidden="1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45046</v>
      </c>
      <c r="G1851">
        <v>2023</v>
      </c>
      <c r="H1851" t="s">
        <v>1540</v>
      </c>
      <c r="I1851" t="s">
        <v>1512</v>
      </c>
      <c r="J1851">
        <v>92</v>
      </c>
      <c r="K1851">
        <v>90.5</v>
      </c>
      <c r="L1851" s="39">
        <f t="shared" si="113"/>
        <v>0.98369565217391308</v>
      </c>
      <c r="M1851" s="39">
        <f t="shared" si="114"/>
        <v>0.98369565217391308</v>
      </c>
      <c r="N1851" t="s">
        <v>25</v>
      </c>
      <c r="O1851" t="s">
        <v>25</v>
      </c>
      <c r="P1851">
        <v>1</v>
      </c>
      <c r="Q1851">
        <v>1</v>
      </c>
      <c r="R1851" t="s">
        <v>2757</v>
      </c>
    </row>
    <row r="1852" spans="1:18" hidden="1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45077</v>
      </c>
      <c r="G1852">
        <v>2023</v>
      </c>
      <c r="H1852" t="s">
        <v>1542</v>
      </c>
      <c r="I1852" t="s">
        <v>1512</v>
      </c>
      <c r="J1852">
        <v>92</v>
      </c>
      <c r="K1852">
        <v>83.5</v>
      </c>
      <c r="L1852" s="39">
        <f t="shared" si="113"/>
        <v>0.90760869565217395</v>
      </c>
      <c r="M1852" s="39">
        <f t="shared" si="114"/>
        <v>0.90760869565217395</v>
      </c>
      <c r="N1852" t="s">
        <v>25</v>
      </c>
      <c r="O1852" t="s">
        <v>25</v>
      </c>
      <c r="P1852">
        <v>1</v>
      </c>
      <c r="Q1852">
        <v>1</v>
      </c>
      <c r="R1852" t="s">
        <v>2758</v>
      </c>
    </row>
    <row r="1853" spans="1:18" hidden="1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45107</v>
      </c>
      <c r="G1853">
        <v>2023</v>
      </c>
      <c r="H1853" t="s">
        <v>699</v>
      </c>
      <c r="I1853" t="s">
        <v>1512</v>
      </c>
      <c r="J1853">
        <v>92</v>
      </c>
      <c r="K1853">
        <v>89</v>
      </c>
      <c r="L1853" s="39">
        <f t="shared" si="113"/>
        <v>0.96739130434782605</v>
      </c>
      <c r="M1853" s="39">
        <f t="shared" si="114"/>
        <v>0.96739130434782605</v>
      </c>
      <c r="N1853" t="s">
        <v>25</v>
      </c>
      <c r="O1853" t="s">
        <v>25</v>
      </c>
      <c r="P1853">
        <v>0</v>
      </c>
      <c r="Q1853">
        <v>0</v>
      </c>
      <c r="R1853" t="s">
        <v>2759</v>
      </c>
    </row>
    <row r="1854" spans="1:18" hidden="1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45138</v>
      </c>
      <c r="G1854">
        <v>2023</v>
      </c>
      <c r="H1854" t="s">
        <v>260</v>
      </c>
      <c r="I1854" t="s">
        <v>28</v>
      </c>
      <c r="J1854">
        <v>92</v>
      </c>
      <c r="K1854">
        <v>94</v>
      </c>
      <c r="L1854" s="39">
        <f t="shared" si="113"/>
        <v>1.0217391304347827</v>
      </c>
      <c r="M1854" s="39">
        <f t="shared" si="114"/>
        <v>1.0217391304347827</v>
      </c>
      <c r="N1854" t="s">
        <v>25</v>
      </c>
      <c r="O1854" t="s">
        <v>25</v>
      </c>
      <c r="P1854">
        <v>0</v>
      </c>
      <c r="Q1854">
        <v>0</v>
      </c>
      <c r="R1854" t="s">
        <v>2760</v>
      </c>
    </row>
    <row r="1855" spans="1:18" hidden="1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45169</v>
      </c>
      <c r="G1855">
        <v>2023</v>
      </c>
      <c r="H1855" t="s">
        <v>1546</v>
      </c>
      <c r="I1855" t="s">
        <v>28</v>
      </c>
      <c r="J1855">
        <v>92</v>
      </c>
      <c r="K1855">
        <v>97.5</v>
      </c>
      <c r="L1855" s="39">
        <f t="shared" si="113"/>
        <v>1.0597826086956521</v>
      </c>
      <c r="M1855" s="39">
        <f t="shared" si="114"/>
        <v>1.0597826086956521</v>
      </c>
      <c r="N1855" t="s">
        <v>25</v>
      </c>
      <c r="O1855" t="s">
        <v>25</v>
      </c>
      <c r="P1855">
        <v>1</v>
      </c>
      <c r="Q1855">
        <v>1</v>
      </c>
      <c r="R1855" t="s">
        <v>2761</v>
      </c>
    </row>
    <row r="1856" spans="1:18" hidden="1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45199</v>
      </c>
      <c r="G1856">
        <v>2023</v>
      </c>
      <c r="H1856" t="s">
        <v>162</v>
      </c>
      <c r="I1856" t="s">
        <v>28</v>
      </c>
      <c r="J1856">
        <v>92</v>
      </c>
      <c r="K1856">
        <v>99</v>
      </c>
      <c r="L1856" s="39">
        <f t="shared" si="113"/>
        <v>1.076086956521739</v>
      </c>
      <c r="M1856" s="39">
        <f t="shared" si="114"/>
        <v>1.076086956521739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hidden="1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45230</v>
      </c>
      <c r="G1857">
        <v>2023</v>
      </c>
      <c r="H1857" t="s">
        <v>150</v>
      </c>
      <c r="I1857" t="s">
        <v>28</v>
      </c>
      <c r="J1857">
        <v>92</v>
      </c>
      <c r="K1857">
        <v>96</v>
      </c>
      <c r="L1857" s="39">
        <f t="shared" si="113"/>
        <v>1.0434782608695652</v>
      </c>
      <c r="M1857" s="39">
        <f t="shared" si="114"/>
        <v>1.0434782608695652</v>
      </c>
      <c r="N1857" t="s">
        <v>25</v>
      </c>
      <c r="O1857" t="s">
        <v>25</v>
      </c>
      <c r="P1857">
        <v>0</v>
      </c>
      <c r="Q1857">
        <v>0</v>
      </c>
      <c r="R1857" t="s">
        <v>2763</v>
      </c>
    </row>
    <row r="1858" spans="1:18" hidden="1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45260</v>
      </c>
      <c r="G1858">
        <v>2023</v>
      </c>
      <c r="H1858" t="s">
        <v>1550</v>
      </c>
      <c r="I1858" t="s">
        <v>28</v>
      </c>
      <c r="J1858">
        <v>92</v>
      </c>
      <c r="K1858">
        <v>96.91</v>
      </c>
      <c r="L1858" s="39">
        <f t="shared" si="113"/>
        <v>1.0533695652173913</v>
      </c>
      <c r="M1858" s="39">
        <f t="shared" si="114"/>
        <v>1.0533695652173913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hidden="1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45291</v>
      </c>
      <c r="G1859">
        <v>2023</v>
      </c>
      <c r="H1859" t="s">
        <v>23</v>
      </c>
      <c r="I1859" t="s">
        <v>28</v>
      </c>
      <c r="J1859">
        <v>92</v>
      </c>
      <c r="K1859">
        <v>100.52</v>
      </c>
      <c r="L1859" s="39">
        <f t="shared" si="113"/>
        <v>1.0926086956521739</v>
      </c>
      <c r="M1859" s="39">
        <f t="shared" si="114"/>
        <v>1.0926086956521739</v>
      </c>
      <c r="N1859" t="s">
        <v>25</v>
      </c>
      <c r="O1859" t="s">
        <v>25</v>
      </c>
      <c r="P1859">
        <v>0</v>
      </c>
      <c r="Q1859">
        <v>0</v>
      </c>
      <c r="R1859" t="s">
        <v>1017</v>
      </c>
    </row>
    <row r="1860" spans="1:18" hidden="1" x14ac:dyDescent="0.3">
      <c r="A1860">
        <v>378</v>
      </c>
      <c r="B1860" t="s">
        <v>1016</v>
      </c>
      <c r="C1860" t="s">
        <v>53</v>
      </c>
      <c r="D1860" t="s">
        <v>54</v>
      </c>
      <c r="E1860" t="s">
        <v>22</v>
      </c>
      <c r="F1860" s="79">
        <v>45322</v>
      </c>
      <c r="G1860">
        <v>2024</v>
      </c>
      <c r="H1860" t="s">
        <v>59</v>
      </c>
      <c r="I1860" t="s">
        <v>729</v>
      </c>
      <c r="J1860">
        <v>92</v>
      </c>
      <c r="K1860">
        <v>0</v>
      </c>
      <c r="L1860" s="39">
        <f t="shared" si="113"/>
        <v>0</v>
      </c>
      <c r="M1860" s="39">
        <f t="shared" si="114"/>
        <v>0</v>
      </c>
      <c r="N1860" t="s">
        <v>25</v>
      </c>
      <c r="O1860" t="s">
        <v>25</v>
      </c>
      <c r="P1860">
        <v>0</v>
      </c>
      <c r="Q1860">
        <v>0</v>
      </c>
      <c r="R1860" t="s">
        <v>2765</v>
      </c>
    </row>
    <row r="1861" spans="1:18" hidden="1" x14ac:dyDescent="0.3">
      <c r="A1861">
        <v>378</v>
      </c>
      <c r="B1861" t="s">
        <v>1016</v>
      </c>
      <c r="C1861" t="s">
        <v>53</v>
      </c>
      <c r="D1861" t="s">
        <v>54</v>
      </c>
      <c r="E1861" t="s">
        <v>22</v>
      </c>
      <c r="F1861" s="79">
        <v>45351</v>
      </c>
      <c r="G1861">
        <v>2024</v>
      </c>
      <c r="H1861" t="s">
        <v>210</v>
      </c>
      <c r="I1861" t="s">
        <v>729</v>
      </c>
      <c r="J1861">
        <v>92</v>
      </c>
      <c r="K1861">
        <v>0</v>
      </c>
      <c r="L1861" s="39">
        <f t="shared" si="113"/>
        <v>0</v>
      </c>
      <c r="M1861" s="39">
        <f t="shared" si="114"/>
        <v>0</v>
      </c>
      <c r="N1861" t="s">
        <v>25</v>
      </c>
      <c r="O1861" t="s">
        <v>25</v>
      </c>
      <c r="P1861">
        <v>0</v>
      </c>
      <c r="Q1861">
        <v>0</v>
      </c>
      <c r="R1861" t="s">
        <v>2766</v>
      </c>
    </row>
    <row r="1862" spans="1:18" hidden="1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45382</v>
      </c>
      <c r="G1862">
        <v>2024</v>
      </c>
      <c r="H1862" t="s">
        <v>1516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hidden="1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45412</v>
      </c>
      <c r="G1863">
        <v>2024</v>
      </c>
      <c r="H1863" t="s">
        <v>1540</v>
      </c>
      <c r="I1863" t="s">
        <v>729</v>
      </c>
      <c r="J1863">
        <v>92</v>
      </c>
      <c r="K1863">
        <v>0</v>
      </c>
      <c r="L1863" s="39">
        <f t="shared" ref="L1863:L1888" si="115">IFERROR(IF(OR(J1863=0,K1863=""),"",IF(E1863="Positivo",MIN(MAX(K1863/J1863,0),1.3),MIN(MAX(J1863/K1863,0),1.3))),"")</f>
        <v>0</v>
      </c>
      <c r="M1863" s="39">
        <f t="shared" ref="M1863:M1888" si="116">IFERROR(IF(OR(J1863=0,K1863=""),"",IF(E1863="Positivo",MAX(K1863/J1863,0),MAX(J1863/K1863,0))),"")</f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hidden="1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45443</v>
      </c>
      <c r="G1864">
        <v>2024</v>
      </c>
      <c r="H1864" t="s">
        <v>1542</v>
      </c>
      <c r="I1864" t="s">
        <v>729</v>
      </c>
      <c r="J1864">
        <v>92</v>
      </c>
      <c r="K1864">
        <v>98.5</v>
      </c>
      <c r="L1864" s="39">
        <f t="shared" si="115"/>
        <v>1.0706521739130435</v>
      </c>
      <c r="M1864" s="39">
        <f t="shared" si="116"/>
        <v>1.0706521739130435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hidden="1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45473</v>
      </c>
      <c r="G1865">
        <v>2024</v>
      </c>
      <c r="H1865" t="s">
        <v>699</v>
      </c>
      <c r="I1865" t="s">
        <v>729</v>
      </c>
      <c r="J1865">
        <v>92</v>
      </c>
      <c r="K1865">
        <v>98.5</v>
      </c>
      <c r="L1865" s="39">
        <f t="shared" si="115"/>
        <v>1.0706521739130435</v>
      </c>
      <c r="M1865" s="39">
        <f t="shared" si="116"/>
        <v>1.0706521739130435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hidden="1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45504</v>
      </c>
      <c r="G1866">
        <v>2024</v>
      </c>
      <c r="H1866" t="s">
        <v>260</v>
      </c>
      <c r="I1866" t="s">
        <v>30</v>
      </c>
      <c r="J1866">
        <v>92</v>
      </c>
      <c r="K1866">
        <v>0</v>
      </c>
      <c r="L1866" s="39">
        <f t="shared" si="115"/>
        <v>0</v>
      </c>
      <c r="M1866" s="39">
        <f t="shared" si="116"/>
        <v>0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hidden="1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45535</v>
      </c>
      <c r="G1867">
        <v>2024</v>
      </c>
      <c r="H1867" t="s">
        <v>1546</v>
      </c>
      <c r="I1867" t="s">
        <v>30</v>
      </c>
      <c r="J1867">
        <v>92</v>
      </c>
      <c r="K1867">
        <v>0</v>
      </c>
      <c r="L1867" s="39">
        <f t="shared" si="115"/>
        <v>0</v>
      </c>
      <c r="M1867" s="39">
        <f t="shared" si="116"/>
        <v>0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hidden="1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45565</v>
      </c>
      <c r="G1868">
        <v>2024</v>
      </c>
      <c r="H1868" t="s">
        <v>162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hidden="1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45596</v>
      </c>
      <c r="G1869">
        <v>2024</v>
      </c>
      <c r="H1869" t="s">
        <v>150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hidden="1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45626</v>
      </c>
      <c r="G1870">
        <v>2024</v>
      </c>
      <c r="H1870" t="s">
        <v>1550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hidden="1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45657</v>
      </c>
      <c r="G1871">
        <v>2024</v>
      </c>
      <c r="H1871" t="s">
        <v>23</v>
      </c>
      <c r="I1871" t="s">
        <v>30</v>
      </c>
      <c r="J1871">
        <v>0</v>
      </c>
      <c r="K1871">
        <v>0</v>
      </c>
      <c r="L1871" s="39" t="str">
        <f t="shared" si="115"/>
        <v/>
      </c>
      <c r="M1871" s="39" t="str">
        <f t="shared" si="116"/>
        <v/>
      </c>
      <c r="N1871" t="s">
        <v>25</v>
      </c>
      <c r="O1871" t="s">
        <v>25</v>
      </c>
      <c r="P1871">
        <v>0</v>
      </c>
      <c r="Q1871">
        <v>0</v>
      </c>
      <c r="R1871" t="s">
        <v>1018</v>
      </c>
    </row>
    <row r="1872" spans="1:18" hidden="1" x14ac:dyDescent="0.3">
      <c r="A1872">
        <v>380</v>
      </c>
      <c r="B1872" t="s">
        <v>1024</v>
      </c>
      <c r="C1872" t="s">
        <v>1020</v>
      </c>
      <c r="D1872" t="s">
        <v>27</v>
      </c>
      <c r="E1872" t="s">
        <v>22</v>
      </c>
      <c r="F1872" s="79">
        <v>45107</v>
      </c>
      <c r="G1872">
        <v>2023</v>
      </c>
      <c r="H1872" t="s">
        <v>699</v>
      </c>
      <c r="I1872" t="s">
        <v>1512</v>
      </c>
      <c r="J1872">
        <f>24659314309/1000000</f>
        <v>24659.314309000001</v>
      </c>
      <c r="K1872">
        <f>25754085546/1000000</f>
        <v>25754.085545999998</v>
      </c>
      <c r="L1872" s="39">
        <f t="shared" si="115"/>
        <v>1.0443958507232471</v>
      </c>
      <c r="M1872" s="39">
        <f t="shared" si="116"/>
        <v>1.0443958507232471</v>
      </c>
      <c r="N1872" t="s">
        <v>205</v>
      </c>
      <c r="O1872" t="s">
        <v>205</v>
      </c>
      <c r="P1872">
        <v>0</v>
      </c>
      <c r="Q1872">
        <v>0</v>
      </c>
      <c r="R1872" t="s">
        <v>2779</v>
      </c>
    </row>
    <row r="1873" spans="1:18" hidden="1" x14ac:dyDescent="0.3">
      <c r="A1873">
        <v>380</v>
      </c>
      <c r="B1873" t="s">
        <v>1024</v>
      </c>
      <c r="C1873" t="s">
        <v>1020</v>
      </c>
      <c r="D1873" t="s">
        <v>27</v>
      </c>
      <c r="E1873" t="s">
        <v>22</v>
      </c>
      <c r="F1873" s="79">
        <v>45291</v>
      </c>
      <c r="G1873">
        <v>2023</v>
      </c>
      <c r="H1873" t="s">
        <v>23</v>
      </c>
      <c r="I1873" t="s">
        <v>28</v>
      </c>
      <c r="J1873">
        <f>24724802794/1000000</f>
        <v>24724.802793999999</v>
      </c>
      <c r="K1873">
        <f>25340546506/1000000</f>
        <v>25340.546505999999</v>
      </c>
      <c r="L1873" s="39">
        <f t="shared" si="115"/>
        <v>1.0249038876924601</v>
      </c>
      <c r="M1873" s="39">
        <f t="shared" si="116"/>
        <v>1.0249038876924601</v>
      </c>
      <c r="N1873" t="s">
        <v>205</v>
      </c>
      <c r="O1873" t="s">
        <v>205</v>
      </c>
      <c r="P1873">
        <v>0</v>
      </c>
      <c r="Q1873">
        <v>0</v>
      </c>
      <c r="R1873" t="s">
        <v>1025</v>
      </c>
    </row>
    <row r="1874" spans="1:18" hidden="1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45473</v>
      </c>
      <c r="G1874">
        <v>2024</v>
      </c>
      <c r="H1874" t="s">
        <v>699</v>
      </c>
      <c r="I1874" t="s">
        <v>729</v>
      </c>
      <c r="J1874">
        <f>29596269870/1000000</f>
        <v>29596.26987</v>
      </c>
      <c r="K1874">
        <f>28449632913/1000000</f>
        <v>28449.632913000001</v>
      </c>
      <c r="L1874" s="39">
        <f t="shared" si="115"/>
        <v>0.96125738270273453</v>
      </c>
      <c r="M1874" s="39">
        <f t="shared" si="116"/>
        <v>0.96125738270273453</v>
      </c>
      <c r="N1874" t="s">
        <v>205</v>
      </c>
      <c r="O1874" t="s">
        <v>205</v>
      </c>
      <c r="P1874">
        <v>0</v>
      </c>
      <c r="Q1874">
        <v>0</v>
      </c>
      <c r="R1874" t="s">
        <v>2780</v>
      </c>
    </row>
    <row r="1875" spans="1:18" hidden="1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45657</v>
      </c>
      <c r="G1875">
        <v>2024</v>
      </c>
      <c r="H1875" t="s">
        <v>23</v>
      </c>
      <c r="I1875" t="s">
        <v>30</v>
      </c>
      <c r="J1875">
        <v>100</v>
      </c>
      <c r="K1875">
        <v>78.92</v>
      </c>
      <c r="L1875" s="39">
        <f t="shared" si="115"/>
        <v>0.78920000000000001</v>
      </c>
      <c r="M1875" s="39">
        <f t="shared" si="116"/>
        <v>0.78920000000000001</v>
      </c>
      <c r="N1875" t="s">
        <v>205</v>
      </c>
      <c r="O1875" t="s">
        <v>205</v>
      </c>
      <c r="P1875">
        <v>0</v>
      </c>
      <c r="Q1875">
        <v>0</v>
      </c>
      <c r="R1875" t="s">
        <v>1026</v>
      </c>
    </row>
    <row r="1876" spans="1:18" hidden="1" x14ac:dyDescent="0.3">
      <c r="A1876">
        <v>381</v>
      </c>
      <c r="B1876" t="s">
        <v>1027</v>
      </c>
      <c r="C1876" t="s">
        <v>1020</v>
      </c>
      <c r="D1876" t="s">
        <v>27</v>
      </c>
      <c r="E1876" t="s">
        <v>22</v>
      </c>
      <c r="F1876" s="79">
        <v>45107</v>
      </c>
      <c r="G1876">
        <v>2023</v>
      </c>
      <c r="H1876" t="s">
        <v>699</v>
      </c>
      <c r="I1876" t="s">
        <v>1512</v>
      </c>
      <c r="J1876">
        <v>100</v>
      </c>
      <c r="K1876">
        <v>104.27170868347</v>
      </c>
      <c r="L1876" s="39">
        <f t="shared" si="115"/>
        <v>1.0427170868347</v>
      </c>
      <c r="M1876" s="39">
        <f t="shared" si="116"/>
        <v>1.0427170868347</v>
      </c>
      <c r="N1876" t="s">
        <v>128</v>
      </c>
      <c r="O1876" t="s">
        <v>128</v>
      </c>
      <c r="P1876">
        <v>0</v>
      </c>
      <c r="Q1876">
        <v>0</v>
      </c>
      <c r="R1876" t="s">
        <v>2781</v>
      </c>
    </row>
    <row r="1877" spans="1:18" hidden="1" x14ac:dyDescent="0.3">
      <c r="A1877">
        <v>381</v>
      </c>
      <c r="B1877" t="s">
        <v>1027</v>
      </c>
      <c r="C1877" t="s">
        <v>1020</v>
      </c>
      <c r="D1877" t="s">
        <v>27</v>
      </c>
      <c r="E1877" t="s">
        <v>22</v>
      </c>
      <c r="F1877" s="79">
        <v>45291</v>
      </c>
      <c r="G1877">
        <v>2023</v>
      </c>
      <c r="H1877" t="s">
        <v>23</v>
      </c>
      <c r="I1877" t="s">
        <v>28</v>
      </c>
      <c r="J1877">
        <v>100</v>
      </c>
      <c r="K1877">
        <v>113.7</v>
      </c>
      <c r="L1877" s="39">
        <f t="shared" si="115"/>
        <v>1.137</v>
      </c>
      <c r="M1877" s="39">
        <f t="shared" si="116"/>
        <v>1.137</v>
      </c>
      <c r="N1877" t="s">
        <v>128</v>
      </c>
      <c r="O1877" t="s">
        <v>128</v>
      </c>
      <c r="P1877">
        <v>0</v>
      </c>
      <c r="Q1877">
        <v>0</v>
      </c>
      <c r="R1877" t="s">
        <v>1028</v>
      </c>
    </row>
    <row r="1878" spans="1:18" hidden="1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45473</v>
      </c>
      <c r="G1878">
        <v>2024</v>
      </c>
      <c r="H1878" t="s">
        <v>699</v>
      </c>
      <c r="I1878" t="s">
        <v>729</v>
      </c>
      <c r="J1878">
        <v>100</v>
      </c>
      <c r="K1878">
        <v>105.26</v>
      </c>
      <c r="L1878" s="39">
        <f t="shared" si="115"/>
        <v>1.0526</v>
      </c>
      <c r="M1878" s="39">
        <f t="shared" si="116"/>
        <v>1.0526</v>
      </c>
      <c r="N1878" t="s">
        <v>128</v>
      </c>
      <c r="O1878" t="s">
        <v>128</v>
      </c>
      <c r="P1878">
        <v>0</v>
      </c>
      <c r="Q1878">
        <v>0</v>
      </c>
      <c r="R1878" t="s">
        <v>2782</v>
      </c>
    </row>
    <row r="1879" spans="1:18" hidden="1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45657</v>
      </c>
      <c r="G1879">
        <v>2024</v>
      </c>
      <c r="H1879" t="s">
        <v>23</v>
      </c>
      <c r="I1879" t="s">
        <v>30</v>
      </c>
      <c r="J1879">
        <v>100</v>
      </c>
      <c r="K1879">
        <v>89.19</v>
      </c>
      <c r="L1879" s="39">
        <f t="shared" si="115"/>
        <v>0.89190000000000003</v>
      </c>
      <c r="M1879" s="39">
        <f t="shared" si="116"/>
        <v>0.89190000000000003</v>
      </c>
      <c r="N1879" t="s">
        <v>128</v>
      </c>
      <c r="O1879" t="s">
        <v>128</v>
      </c>
      <c r="P1879">
        <v>0</v>
      </c>
      <c r="Q1879">
        <v>0</v>
      </c>
      <c r="R1879" t="s">
        <v>1029</v>
      </c>
    </row>
    <row r="1880" spans="1:18" hidden="1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45838</v>
      </c>
      <c r="G1880">
        <v>2025</v>
      </c>
      <c r="H1880" t="s">
        <v>699</v>
      </c>
      <c r="I1880" t="s">
        <v>700</v>
      </c>
      <c r="J1880">
        <v>100</v>
      </c>
      <c r="K1880">
        <v>98.22</v>
      </c>
      <c r="L1880" s="39">
        <f t="shared" si="115"/>
        <v>0.98219999999999996</v>
      </c>
      <c r="M1880" s="39">
        <f t="shared" si="116"/>
        <v>0.98219999999999996</v>
      </c>
      <c r="N1880" t="s">
        <v>128</v>
      </c>
      <c r="O1880" t="s">
        <v>128</v>
      </c>
      <c r="P1880">
        <v>0</v>
      </c>
      <c r="Q1880">
        <v>0</v>
      </c>
      <c r="R1880" t="s">
        <v>2783</v>
      </c>
    </row>
    <row r="1881" spans="1:18" hidden="1" x14ac:dyDescent="0.3">
      <c r="A1881">
        <v>381</v>
      </c>
      <c r="B1881" t="s">
        <v>1027</v>
      </c>
      <c r="C1881" t="s">
        <v>1020</v>
      </c>
      <c r="D1881" t="s">
        <v>21</v>
      </c>
      <c r="E1881" t="s">
        <v>22</v>
      </c>
      <c r="F1881" s="79">
        <v>46022</v>
      </c>
      <c r="G1881">
        <v>2025</v>
      </c>
      <c r="H1881" t="s">
        <v>23</v>
      </c>
      <c r="I1881" t="s">
        <v>32</v>
      </c>
      <c r="J1881">
        <v>100</v>
      </c>
      <c r="K1881">
        <v>113.66</v>
      </c>
      <c r="L1881" s="39">
        <f t="shared" si="115"/>
        <v>1.1366000000000001</v>
      </c>
      <c r="M1881" s="39">
        <f t="shared" si="116"/>
        <v>1.1366000000000001</v>
      </c>
      <c r="N1881" t="s">
        <v>128</v>
      </c>
      <c r="O1881" t="s">
        <v>128</v>
      </c>
      <c r="P1881">
        <v>0</v>
      </c>
      <c r="Q1881">
        <v>0</v>
      </c>
      <c r="R1881" t="s">
        <v>1030</v>
      </c>
    </row>
    <row r="1882" spans="1:18" hidden="1" x14ac:dyDescent="0.3">
      <c r="A1882">
        <v>382</v>
      </c>
      <c r="B1882" t="s">
        <v>1031</v>
      </c>
      <c r="C1882" t="s">
        <v>1020</v>
      </c>
      <c r="D1882" t="s">
        <v>27</v>
      </c>
      <c r="E1882" t="s">
        <v>22</v>
      </c>
      <c r="F1882" s="79">
        <v>45107</v>
      </c>
      <c r="G1882">
        <v>2023</v>
      </c>
      <c r="H1882" t="s">
        <v>699</v>
      </c>
      <c r="I1882" t="s">
        <v>1512</v>
      </c>
      <c r="J1882">
        <v>100</v>
      </c>
      <c r="K1882">
        <v>101.25041131950999</v>
      </c>
      <c r="L1882" s="39">
        <f t="shared" si="115"/>
        <v>1.0125041131951</v>
      </c>
      <c r="M1882" s="39">
        <f t="shared" si="116"/>
        <v>1.0125041131951</v>
      </c>
      <c r="N1882" t="s">
        <v>128</v>
      </c>
      <c r="O1882" t="s">
        <v>128</v>
      </c>
      <c r="P1882">
        <v>0</v>
      </c>
      <c r="Q1882">
        <v>0</v>
      </c>
      <c r="R1882" t="s">
        <v>2784</v>
      </c>
    </row>
    <row r="1883" spans="1:18" hidden="1" x14ac:dyDescent="0.3">
      <c r="A1883">
        <v>382</v>
      </c>
      <c r="B1883" t="s">
        <v>1031</v>
      </c>
      <c r="C1883" t="s">
        <v>1020</v>
      </c>
      <c r="D1883" t="s">
        <v>27</v>
      </c>
      <c r="E1883" t="s">
        <v>22</v>
      </c>
      <c r="F1883" s="79">
        <v>45291</v>
      </c>
      <c r="G1883">
        <v>2023</v>
      </c>
      <c r="H1883" t="s">
        <v>23</v>
      </c>
      <c r="I1883" t="s">
        <v>28</v>
      </c>
      <c r="J1883">
        <v>100</v>
      </c>
      <c r="K1883">
        <v>103.01</v>
      </c>
      <c r="L1883" s="39">
        <f t="shared" si="115"/>
        <v>1.0301</v>
      </c>
      <c r="M1883" s="39">
        <f t="shared" si="116"/>
        <v>1.0301</v>
      </c>
      <c r="N1883" t="s">
        <v>128</v>
      </c>
      <c r="O1883" t="s">
        <v>128</v>
      </c>
      <c r="P1883">
        <v>0</v>
      </c>
      <c r="Q1883">
        <v>0</v>
      </c>
      <c r="R1883" t="s">
        <v>1032</v>
      </c>
    </row>
    <row r="1884" spans="1:18" hidden="1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45473</v>
      </c>
      <c r="G1884">
        <v>2024</v>
      </c>
      <c r="H1884" t="s">
        <v>699</v>
      </c>
      <c r="I1884" t="s">
        <v>729</v>
      </c>
      <c r="J1884">
        <v>100</v>
      </c>
      <c r="K1884">
        <v>93.7</v>
      </c>
      <c r="L1884" s="39">
        <f t="shared" si="115"/>
        <v>0.93700000000000006</v>
      </c>
      <c r="M1884" s="39">
        <f t="shared" si="116"/>
        <v>0.93700000000000006</v>
      </c>
      <c r="N1884" t="s">
        <v>128</v>
      </c>
      <c r="O1884" t="s">
        <v>128</v>
      </c>
      <c r="P1884">
        <v>0</v>
      </c>
      <c r="Q1884">
        <v>0</v>
      </c>
      <c r="R1884" t="s">
        <v>2785</v>
      </c>
    </row>
    <row r="1885" spans="1:18" hidden="1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45657</v>
      </c>
      <c r="G1885">
        <v>2024</v>
      </c>
      <c r="H1885" t="s">
        <v>23</v>
      </c>
      <c r="I1885" t="s">
        <v>30</v>
      </c>
      <c r="J1885">
        <v>100</v>
      </c>
      <c r="K1885">
        <v>98.13</v>
      </c>
      <c r="L1885" s="39">
        <f t="shared" si="115"/>
        <v>0.98129999999999995</v>
      </c>
      <c r="M1885" s="39">
        <f t="shared" si="116"/>
        <v>0.98129999999999995</v>
      </c>
      <c r="N1885" t="s">
        <v>128</v>
      </c>
      <c r="O1885" t="s">
        <v>128</v>
      </c>
      <c r="P1885">
        <v>0</v>
      </c>
      <c r="Q1885">
        <v>0</v>
      </c>
      <c r="R1885" t="s">
        <v>1033</v>
      </c>
    </row>
    <row r="1886" spans="1:18" hidden="1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45838</v>
      </c>
      <c r="G1886">
        <v>2025</v>
      </c>
      <c r="H1886" t="s">
        <v>699</v>
      </c>
      <c r="I1886" t="s">
        <v>700</v>
      </c>
      <c r="J1886">
        <v>100</v>
      </c>
      <c r="K1886">
        <v>99.85</v>
      </c>
      <c r="L1886" s="39">
        <f t="shared" si="115"/>
        <v>0.99849999999999994</v>
      </c>
      <c r="M1886" s="39">
        <f t="shared" si="116"/>
        <v>0.99849999999999994</v>
      </c>
      <c r="N1886" t="s">
        <v>128</v>
      </c>
      <c r="O1886" t="s">
        <v>128</v>
      </c>
      <c r="P1886">
        <v>0</v>
      </c>
      <c r="Q1886">
        <v>0</v>
      </c>
      <c r="R1886" t="s">
        <v>2786</v>
      </c>
    </row>
    <row r="1887" spans="1:18" hidden="1" x14ac:dyDescent="0.3">
      <c r="A1887">
        <v>382</v>
      </c>
      <c r="B1887" t="s">
        <v>1031</v>
      </c>
      <c r="C1887" t="s">
        <v>1020</v>
      </c>
      <c r="D1887" t="s">
        <v>21</v>
      </c>
      <c r="E1887" t="s">
        <v>22</v>
      </c>
      <c r="F1887" s="79">
        <v>46022</v>
      </c>
      <c r="G1887">
        <v>2025</v>
      </c>
      <c r="H1887" t="s">
        <v>23</v>
      </c>
      <c r="I1887" t="s">
        <v>32</v>
      </c>
      <c r="J1887">
        <v>100</v>
      </c>
      <c r="K1887">
        <v>97.21</v>
      </c>
      <c r="L1887" s="39">
        <f t="shared" si="115"/>
        <v>0.97209999999999996</v>
      </c>
      <c r="M1887" s="39">
        <f t="shared" si="116"/>
        <v>0.97209999999999996</v>
      </c>
      <c r="N1887" t="s">
        <v>128</v>
      </c>
      <c r="O1887" t="s">
        <v>128</v>
      </c>
      <c r="P1887">
        <v>0</v>
      </c>
      <c r="Q1887">
        <v>0</v>
      </c>
      <c r="R1887" t="s">
        <v>1034</v>
      </c>
    </row>
    <row r="1888" spans="1:18" hidden="1" x14ac:dyDescent="0.3">
      <c r="A1888">
        <v>383</v>
      </c>
      <c r="B1888" t="s">
        <v>1035</v>
      </c>
      <c r="C1888" t="s">
        <v>1020</v>
      </c>
      <c r="D1888" t="s">
        <v>27</v>
      </c>
      <c r="E1888" t="s">
        <v>22</v>
      </c>
      <c r="F1888" s="79">
        <v>45107</v>
      </c>
      <c r="G1888">
        <v>2023</v>
      </c>
      <c r="H1888" t="s">
        <v>699</v>
      </c>
      <c r="I1888" t="s">
        <v>1512</v>
      </c>
      <c r="J1888">
        <v>100</v>
      </c>
      <c r="K1888">
        <v>109.38232994527</v>
      </c>
      <c r="L1888" s="39">
        <f t="shared" si="115"/>
        <v>1.0938232994527</v>
      </c>
      <c r="M1888" s="39">
        <f t="shared" si="116"/>
        <v>1.0938232994527</v>
      </c>
      <c r="N1888" t="s">
        <v>128</v>
      </c>
      <c r="O1888" t="s">
        <v>128</v>
      </c>
      <c r="P1888">
        <v>0</v>
      </c>
      <c r="Q1888">
        <v>0</v>
      </c>
      <c r="R1888" t="s">
        <v>2787</v>
      </c>
    </row>
    <row r="1889" spans="1:18" hidden="1" x14ac:dyDescent="0.3">
      <c r="A1889">
        <v>383</v>
      </c>
      <c r="B1889" t="s">
        <v>1035</v>
      </c>
      <c r="C1889" t="s">
        <v>1020</v>
      </c>
      <c r="D1889" t="s">
        <v>27</v>
      </c>
      <c r="E1889" t="s">
        <v>22</v>
      </c>
      <c r="F1889" s="79">
        <v>45291</v>
      </c>
      <c r="G1889">
        <v>2023</v>
      </c>
      <c r="H1889" t="s">
        <v>23</v>
      </c>
      <c r="I1889" t="s">
        <v>28</v>
      </c>
      <c r="J1889">
        <v>100</v>
      </c>
      <c r="K1889">
        <v>148.66</v>
      </c>
      <c r="L1889" s="39">
        <f t="shared" ref="L1889:L1919" si="117">IFERROR(IF(OR(J1889=0,K1889=""),"",IF(E1889="Positivo",MIN(MAX(K1889/J1889,0),1.3),MIN(MAX(J1889/K1889,0),1.3))),"")</f>
        <v>1.3</v>
      </c>
      <c r="M1889" s="39">
        <f t="shared" ref="M1889:M1919" si="118">IFERROR(IF(OR(J1889=0,K1889=""),"",IF(E1889="Positivo",MAX(K1889/J1889,0),MAX(J1889/K1889,0))),"")</f>
        <v>1.4865999999999999</v>
      </c>
      <c r="N1889" t="s">
        <v>128</v>
      </c>
      <c r="O1889" t="s">
        <v>128</v>
      </c>
      <c r="P1889">
        <v>0</v>
      </c>
      <c r="Q1889">
        <v>0</v>
      </c>
      <c r="R1889" t="s">
        <v>1036</v>
      </c>
    </row>
    <row r="1890" spans="1:18" hidden="1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45473</v>
      </c>
      <c r="G1890">
        <v>2024</v>
      </c>
      <c r="H1890" t="s">
        <v>699</v>
      </c>
      <c r="I1890" t="s">
        <v>729</v>
      </c>
      <c r="J1890">
        <v>100</v>
      </c>
      <c r="K1890">
        <v>100.2</v>
      </c>
      <c r="L1890" s="39">
        <f t="shared" si="117"/>
        <v>1.002</v>
      </c>
      <c r="M1890" s="39">
        <f t="shared" si="118"/>
        <v>1.002</v>
      </c>
      <c r="N1890" t="s">
        <v>128</v>
      </c>
      <c r="O1890" t="s">
        <v>128</v>
      </c>
      <c r="P1890">
        <v>0</v>
      </c>
      <c r="Q1890">
        <v>0</v>
      </c>
      <c r="R1890" t="s">
        <v>2788</v>
      </c>
    </row>
    <row r="1891" spans="1:18" hidden="1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45657</v>
      </c>
      <c r="G1891">
        <v>2024</v>
      </c>
      <c r="H1891" t="s">
        <v>23</v>
      </c>
      <c r="I1891" t="s">
        <v>30</v>
      </c>
      <c r="J1891">
        <v>100</v>
      </c>
      <c r="K1891">
        <v>120.71</v>
      </c>
      <c r="L1891" s="39">
        <f t="shared" si="117"/>
        <v>1.2070999999999998</v>
      </c>
      <c r="M1891" s="39">
        <f t="shared" si="118"/>
        <v>1.2070999999999998</v>
      </c>
      <c r="N1891" t="s">
        <v>128</v>
      </c>
      <c r="O1891" t="s">
        <v>128</v>
      </c>
      <c r="P1891">
        <v>0</v>
      </c>
      <c r="Q1891">
        <v>0</v>
      </c>
      <c r="R1891" t="s">
        <v>1037</v>
      </c>
    </row>
    <row r="1892" spans="1:18" hidden="1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45838</v>
      </c>
      <c r="G1892">
        <v>2025</v>
      </c>
      <c r="H1892" t="s">
        <v>699</v>
      </c>
      <c r="I1892" t="s">
        <v>700</v>
      </c>
      <c r="J1892">
        <v>100</v>
      </c>
      <c r="K1892">
        <v>136.96</v>
      </c>
      <c r="L1892" s="39">
        <f t="shared" si="117"/>
        <v>1.3</v>
      </c>
      <c r="M1892" s="39">
        <f t="shared" si="118"/>
        <v>1.3696000000000002</v>
      </c>
      <c r="N1892" t="s">
        <v>128</v>
      </c>
      <c r="O1892" t="s">
        <v>128</v>
      </c>
      <c r="P1892">
        <v>0</v>
      </c>
      <c r="Q1892">
        <v>0</v>
      </c>
      <c r="R1892" t="s">
        <v>2789</v>
      </c>
    </row>
    <row r="1893" spans="1:18" hidden="1" x14ac:dyDescent="0.3">
      <c r="A1893">
        <v>383</v>
      </c>
      <c r="B1893" t="s">
        <v>1035</v>
      </c>
      <c r="C1893" t="s">
        <v>1020</v>
      </c>
      <c r="D1893" t="s">
        <v>21</v>
      </c>
      <c r="E1893" t="s">
        <v>22</v>
      </c>
      <c r="F1893" s="79">
        <v>46022</v>
      </c>
      <c r="G1893">
        <v>2025</v>
      </c>
      <c r="H1893" t="s">
        <v>23</v>
      </c>
      <c r="I1893" t="s">
        <v>32</v>
      </c>
      <c r="J1893">
        <v>100</v>
      </c>
      <c r="K1893">
        <v>127.87</v>
      </c>
      <c r="L1893" s="39">
        <f t="shared" si="117"/>
        <v>1.2786999999999999</v>
      </c>
      <c r="M1893" s="39">
        <f t="shared" si="118"/>
        <v>1.2786999999999999</v>
      </c>
      <c r="N1893" t="s">
        <v>128</v>
      </c>
      <c r="O1893" t="s">
        <v>128</v>
      </c>
      <c r="P1893">
        <v>0</v>
      </c>
      <c r="Q1893">
        <v>0</v>
      </c>
      <c r="R1893" t="s">
        <v>1038</v>
      </c>
    </row>
    <row r="1894" spans="1:18" hidden="1" x14ac:dyDescent="0.3">
      <c r="A1894">
        <v>384</v>
      </c>
      <c r="B1894" t="s">
        <v>1039</v>
      </c>
      <c r="C1894" t="s">
        <v>1020</v>
      </c>
      <c r="D1894" t="s">
        <v>27</v>
      </c>
      <c r="E1894" t="s">
        <v>22</v>
      </c>
      <c r="F1894" s="79">
        <v>45107</v>
      </c>
      <c r="G1894">
        <v>2023</v>
      </c>
      <c r="H1894" t="s">
        <v>699</v>
      </c>
      <c r="I1894" t="s">
        <v>1512</v>
      </c>
      <c r="J1894">
        <v>100</v>
      </c>
      <c r="K1894">
        <v>111.76470588235</v>
      </c>
      <c r="L1894" s="39">
        <f t="shared" si="117"/>
        <v>1.1176470588234999</v>
      </c>
      <c r="M1894" s="39">
        <f t="shared" si="118"/>
        <v>1.1176470588234999</v>
      </c>
      <c r="N1894" t="s">
        <v>128</v>
      </c>
      <c r="O1894" t="s">
        <v>128</v>
      </c>
      <c r="P1894">
        <v>0</v>
      </c>
      <c r="Q1894">
        <v>0</v>
      </c>
      <c r="R1894" t="s">
        <v>2790</v>
      </c>
    </row>
    <row r="1895" spans="1:18" hidden="1" x14ac:dyDescent="0.3">
      <c r="A1895">
        <v>384</v>
      </c>
      <c r="B1895" t="s">
        <v>1039</v>
      </c>
      <c r="C1895" t="s">
        <v>1020</v>
      </c>
      <c r="D1895" t="s">
        <v>27</v>
      </c>
      <c r="E1895" t="s">
        <v>22</v>
      </c>
      <c r="F1895" s="79">
        <v>45291</v>
      </c>
      <c r="G1895">
        <v>2023</v>
      </c>
      <c r="H1895" t="s">
        <v>23</v>
      </c>
      <c r="I1895" t="s">
        <v>28</v>
      </c>
      <c r="J1895">
        <v>100</v>
      </c>
      <c r="K1895">
        <v>115.38</v>
      </c>
      <c r="L1895" s="39">
        <f t="shared" si="117"/>
        <v>1.1537999999999999</v>
      </c>
      <c r="M1895" s="39">
        <f t="shared" si="118"/>
        <v>1.1537999999999999</v>
      </c>
      <c r="N1895" t="s">
        <v>128</v>
      </c>
      <c r="O1895" t="s">
        <v>128</v>
      </c>
      <c r="P1895">
        <v>0</v>
      </c>
      <c r="Q1895">
        <v>0</v>
      </c>
      <c r="R1895" t="s">
        <v>1040</v>
      </c>
    </row>
    <row r="1896" spans="1:18" hidden="1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45473</v>
      </c>
      <c r="G1896">
        <v>2024</v>
      </c>
      <c r="H1896" t="s">
        <v>699</v>
      </c>
      <c r="I1896" t="s">
        <v>729</v>
      </c>
      <c r="J1896">
        <v>100</v>
      </c>
      <c r="K1896">
        <v>102.2</v>
      </c>
      <c r="L1896" s="39">
        <f t="shared" si="117"/>
        <v>1.022</v>
      </c>
      <c r="M1896" s="39">
        <f t="shared" si="118"/>
        <v>1.022</v>
      </c>
      <c r="N1896" t="s">
        <v>128</v>
      </c>
      <c r="O1896" t="s">
        <v>128</v>
      </c>
      <c r="P1896">
        <v>0</v>
      </c>
      <c r="Q1896">
        <v>0</v>
      </c>
      <c r="R1896" t="s">
        <v>2791</v>
      </c>
    </row>
    <row r="1897" spans="1:18" hidden="1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45657</v>
      </c>
      <c r="G1897">
        <v>2024</v>
      </c>
      <c r="H1897" t="s">
        <v>23</v>
      </c>
      <c r="I1897" t="s">
        <v>30</v>
      </c>
      <c r="J1897">
        <v>100</v>
      </c>
      <c r="K1897">
        <v>87.9</v>
      </c>
      <c r="L1897" s="39">
        <f t="shared" si="117"/>
        <v>0.879</v>
      </c>
      <c r="M1897" s="39">
        <f t="shared" si="118"/>
        <v>0.879</v>
      </c>
      <c r="N1897" t="s">
        <v>128</v>
      </c>
      <c r="O1897" t="s">
        <v>128</v>
      </c>
      <c r="P1897">
        <v>0</v>
      </c>
      <c r="Q1897">
        <v>0</v>
      </c>
      <c r="R1897" t="s">
        <v>1041</v>
      </c>
    </row>
    <row r="1898" spans="1:18" hidden="1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45838</v>
      </c>
      <c r="G1898">
        <v>2025</v>
      </c>
      <c r="H1898" t="s">
        <v>699</v>
      </c>
      <c r="I1898" t="s">
        <v>700</v>
      </c>
      <c r="J1898">
        <v>100</v>
      </c>
      <c r="K1898">
        <v>103.23</v>
      </c>
      <c r="L1898" s="39">
        <f t="shared" si="117"/>
        <v>1.0323</v>
      </c>
      <c r="M1898" s="39">
        <f t="shared" si="118"/>
        <v>1.0323</v>
      </c>
      <c r="N1898" t="s">
        <v>128</v>
      </c>
      <c r="O1898" t="s">
        <v>128</v>
      </c>
      <c r="P1898">
        <v>0</v>
      </c>
      <c r="Q1898">
        <v>0</v>
      </c>
      <c r="R1898" t="s">
        <v>2792</v>
      </c>
    </row>
    <row r="1899" spans="1:18" hidden="1" x14ac:dyDescent="0.3">
      <c r="A1899">
        <v>384</v>
      </c>
      <c r="B1899" t="s">
        <v>1039</v>
      </c>
      <c r="C1899" t="s">
        <v>1020</v>
      </c>
      <c r="D1899" t="s">
        <v>21</v>
      </c>
      <c r="E1899" t="s">
        <v>22</v>
      </c>
      <c r="F1899" s="79">
        <v>46022</v>
      </c>
      <c r="G1899">
        <v>2025</v>
      </c>
      <c r="H1899" t="s">
        <v>23</v>
      </c>
      <c r="I1899" t="s">
        <v>32</v>
      </c>
      <c r="J1899">
        <v>100</v>
      </c>
      <c r="K1899">
        <v>100.93</v>
      </c>
      <c r="L1899" s="39">
        <f t="shared" si="117"/>
        <v>1.0093000000000001</v>
      </c>
      <c r="M1899" s="39">
        <f t="shared" si="118"/>
        <v>1.0093000000000001</v>
      </c>
      <c r="N1899" t="s">
        <v>128</v>
      </c>
      <c r="O1899" t="s">
        <v>128</v>
      </c>
      <c r="P1899">
        <v>0</v>
      </c>
      <c r="Q1899">
        <v>0</v>
      </c>
      <c r="R1899" t="s">
        <v>1042</v>
      </c>
    </row>
    <row r="1900" spans="1:18" hidden="1" x14ac:dyDescent="0.3">
      <c r="A1900">
        <v>385</v>
      </c>
      <c r="B1900" t="s">
        <v>1043</v>
      </c>
      <c r="C1900" t="s">
        <v>1044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1512</v>
      </c>
      <c r="J1900">
        <v>100</v>
      </c>
      <c r="K1900">
        <v>102.98486566654</v>
      </c>
      <c r="L1900" s="39">
        <f t="shared" si="117"/>
        <v>1.0298486566653999</v>
      </c>
      <c r="M1900" s="39">
        <f t="shared" si="118"/>
        <v>1.0298486566653999</v>
      </c>
      <c r="N1900" t="s">
        <v>205</v>
      </c>
      <c r="O1900" t="s">
        <v>205</v>
      </c>
      <c r="P1900">
        <v>0</v>
      </c>
      <c r="Q1900">
        <v>0</v>
      </c>
      <c r="R1900" t="s">
        <v>2793</v>
      </c>
    </row>
    <row r="1901" spans="1:18" hidden="1" x14ac:dyDescent="0.3">
      <c r="A1901">
        <v>385</v>
      </c>
      <c r="B1901" t="s">
        <v>1043</v>
      </c>
      <c r="C1901" t="s">
        <v>1044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124.93</v>
      </c>
      <c r="L1901" s="39">
        <f t="shared" si="117"/>
        <v>1.2493000000000001</v>
      </c>
      <c r="M1901" s="39">
        <f t="shared" si="118"/>
        <v>1.2493000000000001</v>
      </c>
      <c r="N1901" t="s">
        <v>205</v>
      </c>
      <c r="O1901" t="s">
        <v>205</v>
      </c>
      <c r="P1901">
        <v>0</v>
      </c>
      <c r="Q1901">
        <v>0</v>
      </c>
      <c r="R1901" t="s">
        <v>1045</v>
      </c>
    </row>
    <row r="1902" spans="1:18" hidden="1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113.63</v>
      </c>
      <c r="L1902" s="39">
        <f t="shared" si="117"/>
        <v>1.1362999999999999</v>
      </c>
      <c r="M1902" s="39">
        <f t="shared" si="118"/>
        <v>1.1362999999999999</v>
      </c>
      <c r="N1902" t="s">
        <v>205</v>
      </c>
      <c r="O1902" t="s">
        <v>205</v>
      </c>
      <c r="P1902">
        <v>0</v>
      </c>
      <c r="Q1902">
        <v>0</v>
      </c>
      <c r="R1902" t="s">
        <v>2794</v>
      </c>
    </row>
    <row r="1903" spans="1:18" hidden="1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88.56</v>
      </c>
      <c r="L1903" s="39">
        <f t="shared" si="117"/>
        <v>0.88560000000000005</v>
      </c>
      <c r="M1903" s="39">
        <f t="shared" si="118"/>
        <v>0.88560000000000005</v>
      </c>
      <c r="N1903" t="s">
        <v>205</v>
      </c>
      <c r="O1903" t="s">
        <v>205</v>
      </c>
      <c r="P1903">
        <v>0</v>
      </c>
      <c r="Q1903">
        <v>0</v>
      </c>
      <c r="R1903" t="s">
        <v>1046</v>
      </c>
    </row>
    <row r="1904" spans="1:18" hidden="1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118.92</v>
      </c>
      <c r="L1904" s="39">
        <f t="shared" si="117"/>
        <v>1.1892</v>
      </c>
      <c r="M1904" s="39">
        <f t="shared" si="118"/>
        <v>1.1892</v>
      </c>
      <c r="N1904" t="s">
        <v>205</v>
      </c>
      <c r="O1904" t="s">
        <v>205</v>
      </c>
      <c r="P1904">
        <v>0</v>
      </c>
      <c r="Q1904">
        <v>0</v>
      </c>
      <c r="R1904" t="s">
        <v>2795</v>
      </c>
    </row>
    <row r="1905" spans="1:18" hidden="1" x14ac:dyDescent="0.3">
      <c r="A1905">
        <v>385</v>
      </c>
      <c r="B1905" t="s">
        <v>1043</v>
      </c>
      <c r="C1905" t="s">
        <v>1044</v>
      </c>
      <c r="D1905" t="s">
        <v>21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108.89</v>
      </c>
      <c r="L1905" s="39">
        <f t="shared" si="117"/>
        <v>1.0889</v>
      </c>
      <c r="M1905" s="39">
        <f t="shared" si="118"/>
        <v>1.0889</v>
      </c>
      <c r="N1905" t="s">
        <v>205</v>
      </c>
      <c r="O1905" t="s">
        <v>205</v>
      </c>
      <c r="P1905">
        <v>0</v>
      </c>
      <c r="Q1905">
        <v>0</v>
      </c>
      <c r="R1905" t="s">
        <v>1047</v>
      </c>
    </row>
    <row r="1906" spans="1:18" hidden="1" x14ac:dyDescent="0.3">
      <c r="A1906">
        <v>386</v>
      </c>
      <c r="B1906" t="s">
        <v>1048</v>
      </c>
      <c r="C1906" t="s">
        <v>1044</v>
      </c>
      <c r="D1906" t="s">
        <v>21</v>
      </c>
      <c r="E1906" t="s">
        <v>22</v>
      </c>
      <c r="F1906" s="79">
        <v>45107</v>
      </c>
      <c r="G1906">
        <v>2023</v>
      </c>
      <c r="H1906" t="s">
        <v>699</v>
      </c>
      <c r="I1906" t="s">
        <v>1512</v>
      </c>
      <c r="J1906">
        <v>100</v>
      </c>
      <c r="K1906">
        <v>102.98486566654</v>
      </c>
      <c r="L1906" s="39">
        <f t="shared" si="117"/>
        <v>1.0298486566653999</v>
      </c>
      <c r="M1906" s="39">
        <f t="shared" si="118"/>
        <v>1.0298486566653999</v>
      </c>
      <c r="N1906" t="s">
        <v>25</v>
      </c>
      <c r="O1906" t="s">
        <v>25</v>
      </c>
      <c r="P1906">
        <v>0</v>
      </c>
      <c r="Q1906">
        <v>0</v>
      </c>
      <c r="R1906" t="s">
        <v>2796</v>
      </c>
    </row>
    <row r="1907" spans="1:18" hidden="1" x14ac:dyDescent="0.3">
      <c r="A1907">
        <v>386</v>
      </c>
      <c r="B1907" t="s">
        <v>1048</v>
      </c>
      <c r="C1907" t="s">
        <v>1044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v>100</v>
      </c>
      <c r="K1907">
        <v>138.22</v>
      </c>
      <c r="L1907" s="39">
        <f t="shared" si="117"/>
        <v>1.3</v>
      </c>
      <c r="M1907" s="39">
        <f t="shared" si="118"/>
        <v>1.3822000000000001</v>
      </c>
      <c r="N1907" t="s">
        <v>205</v>
      </c>
      <c r="O1907" t="s">
        <v>205</v>
      </c>
      <c r="P1907">
        <v>0</v>
      </c>
      <c r="Q1907">
        <v>0</v>
      </c>
      <c r="R1907" t="s">
        <v>1049</v>
      </c>
    </row>
    <row r="1908" spans="1:18" hidden="1" x14ac:dyDescent="0.3">
      <c r="A1908">
        <v>386</v>
      </c>
      <c r="B1908" t="s">
        <v>1048</v>
      </c>
      <c r="C1908" t="s">
        <v>1044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v>100</v>
      </c>
      <c r="K1908">
        <v>113.63</v>
      </c>
      <c r="L1908" s="39">
        <f t="shared" si="117"/>
        <v>1.1362999999999999</v>
      </c>
      <c r="M1908" s="39">
        <f t="shared" si="118"/>
        <v>1.1362999999999999</v>
      </c>
      <c r="N1908" t="s">
        <v>205</v>
      </c>
      <c r="O1908" t="s">
        <v>205</v>
      </c>
      <c r="P1908">
        <v>0</v>
      </c>
      <c r="Q1908">
        <v>0</v>
      </c>
      <c r="R1908" t="s">
        <v>2797</v>
      </c>
    </row>
    <row r="1909" spans="1:18" hidden="1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75.010000000000005</v>
      </c>
      <c r="L1909" s="39">
        <f t="shared" si="117"/>
        <v>0.7501000000000001</v>
      </c>
      <c r="M1909" s="39">
        <f t="shared" si="118"/>
        <v>0.7501000000000001</v>
      </c>
      <c r="N1909" t="s">
        <v>205</v>
      </c>
      <c r="O1909" t="s">
        <v>205</v>
      </c>
      <c r="P1909">
        <v>0</v>
      </c>
      <c r="Q1909">
        <v>0</v>
      </c>
      <c r="R1909" t="s">
        <v>1050</v>
      </c>
    </row>
    <row r="1910" spans="1:18" hidden="1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45838</v>
      </c>
      <c r="G1910">
        <v>2025</v>
      </c>
      <c r="H1910" t="s">
        <v>699</v>
      </c>
      <c r="I1910" t="s">
        <v>700</v>
      </c>
      <c r="J1910">
        <v>100</v>
      </c>
      <c r="K1910">
        <v>118.92</v>
      </c>
      <c r="L1910" s="39">
        <f t="shared" si="117"/>
        <v>1.1892</v>
      </c>
      <c r="M1910" s="39">
        <f t="shared" si="118"/>
        <v>1.1892</v>
      </c>
      <c r="N1910" t="s">
        <v>205</v>
      </c>
      <c r="O1910" t="s">
        <v>205</v>
      </c>
      <c r="P1910">
        <v>0</v>
      </c>
      <c r="Q1910">
        <v>0</v>
      </c>
      <c r="R1910" t="s">
        <v>2798</v>
      </c>
    </row>
    <row r="1911" spans="1:18" hidden="1" x14ac:dyDescent="0.3">
      <c r="A1911">
        <v>386</v>
      </c>
      <c r="B1911" t="s">
        <v>1048</v>
      </c>
      <c r="C1911" t="s">
        <v>1044</v>
      </c>
      <c r="D1911" t="s">
        <v>21</v>
      </c>
      <c r="E1911" t="s">
        <v>22</v>
      </c>
      <c r="F1911" s="79">
        <v>46022</v>
      </c>
      <c r="G1911">
        <v>2025</v>
      </c>
      <c r="H1911" t="s">
        <v>23</v>
      </c>
      <c r="I1911" t="s">
        <v>32</v>
      </c>
      <c r="J1911">
        <v>100</v>
      </c>
      <c r="K1911">
        <v>106.54</v>
      </c>
      <c r="L1911" s="39">
        <f t="shared" si="117"/>
        <v>1.0654000000000001</v>
      </c>
      <c r="M1911" s="39">
        <f t="shared" si="118"/>
        <v>1.0654000000000001</v>
      </c>
      <c r="N1911" t="s">
        <v>25</v>
      </c>
      <c r="O1911" t="s">
        <v>25</v>
      </c>
      <c r="P1911">
        <v>0</v>
      </c>
      <c r="Q1911">
        <v>0</v>
      </c>
      <c r="R1911" t="s">
        <v>1051</v>
      </c>
    </row>
    <row r="1912" spans="1:18" hidden="1" x14ac:dyDescent="0.3">
      <c r="A1912">
        <v>387</v>
      </c>
      <c r="B1912" t="s">
        <v>1052</v>
      </c>
      <c r="C1912" t="s">
        <v>549</v>
      </c>
      <c r="D1912" t="s">
        <v>27</v>
      </c>
      <c r="E1912" t="s">
        <v>22</v>
      </c>
      <c r="F1912" s="79">
        <v>45107</v>
      </c>
      <c r="G1912">
        <v>2023</v>
      </c>
      <c r="H1912" t="s">
        <v>699</v>
      </c>
      <c r="I1912" t="s">
        <v>1512</v>
      </c>
      <c r="J1912">
        <v>38</v>
      </c>
      <c r="K1912">
        <v>38</v>
      </c>
      <c r="L1912" s="39">
        <f t="shared" si="117"/>
        <v>1</v>
      </c>
      <c r="M1912" s="39">
        <f t="shared" si="118"/>
        <v>1</v>
      </c>
      <c r="N1912" t="s">
        <v>205</v>
      </c>
      <c r="O1912" t="s">
        <v>205</v>
      </c>
      <c r="P1912">
        <v>0</v>
      </c>
      <c r="Q1912">
        <v>0</v>
      </c>
      <c r="R1912" t="s">
        <v>2799</v>
      </c>
    </row>
    <row r="1913" spans="1:18" hidden="1" x14ac:dyDescent="0.3">
      <c r="A1913">
        <v>387</v>
      </c>
      <c r="B1913" t="s">
        <v>1052</v>
      </c>
      <c r="C1913" t="s">
        <v>549</v>
      </c>
      <c r="D1913" t="s">
        <v>27</v>
      </c>
      <c r="E1913" t="s">
        <v>22</v>
      </c>
      <c r="F1913" s="79">
        <v>45291</v>
      </c>
      <c r="G1913">
        <v>2023</v>
      </c>
      <c r="H1913" t="s">
        <v>23</v>
      </c>
      <c r="I1913" t="s">
        <v>28</v>
      </c>
      <c r="J1913">
        <v>0</v>
      </c>
      <c r="K1913">
        <v>0</v>
      </c>
      <c r="L1913" s="39" t="str">
        <f t="shared" si="117"/>
        <v/>
      </c>
      <c r="M1913" s="39" t="str">
        <f t="shared" si="118"/>
        <v/>
      </c>
      <c r="N1913" t="s">
        <v>205</v>
      </c>
      <c r="O1913" t="s">
        <v>205</v>
      </c>
      <c r="P1913">
        <v>0</v>
      </c>
      <c r="Q1913">
        <v>0</v>
      </c>
      <c r="R1913" t="s">
        <v>1053</v>
      </c>
    </row>
    <row r="1914" spans="1:18" hidden="1" x14ac:dyDescent="0.3">
      <c r="A1914">
        <v>388</v>
      </c>
      <c r="B1914" t="s">
        <v>1054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77</v>
      </c>
      <c r="K1914">
        <v>77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2800</v>
      </c>
    </row>
    <row r="1915" spans="1:18" hidden="1" x14ac:dyDescent="0.3">
      <c r="A1915">
        <v>388</v>
      </c>
      <c r="B1915" t="s">
        <v>1054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16</v>
      </c>
      <c r="K1915">
        <v>16</v>
      </c>
      <c r="L1915" s="39">
        <f t="shared" si="117"/>
        <v>1</v>
      </c>
      <c r="M1915" s="39">
        <f t="shared" si="118"/>
        <v>1</v>
      </c>
      <c r="N1915" t="s">
        <v>205</v>
      </c>
      <c r="O1915" t="s">
        <v>205</v>
      </c>
      <c r="P1915">
        <v>0</v>
      </c>
      <c r="Q1915">
        <v>0</v>
      </c>
      <c r="R1915" t="s">
        <v>1055</v>
      </c>
    </row>
    <row r="1916" spans="1:18" hidden="1" x14ac:dyDescent="0.3">
      <c r="A1916">
        <v>389</v>
      </c>
      <c r="B1916" t="s">
        <v>1056</v>
      </c>
      <c r="C1916" t="s">
        <v>536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91</v>
      </c>
      <c r="K1916">
        <v>1017.39998626709</v>
      </c>
      <c r="L1916" s="39">
        <f t="shared" si="117"/>
        <v>1.3</v>
      </c>
      <c r="M1916" s="39">
        <f t="shared" si="118"/>
        <v>11.180219629308681</v>
      </c>
      <c r="N1916" t="s">
        <v>205</v>
      </c>
      <c r="O1916" t="s">
        <v>205</v>
      </c>
      <c r="P1916">
        <v>0</v>
      </c>
      <c r="Q1916">
        <v>0</v>
      </c>
      <c r="R1916" t="s">
        <v>2801</v>
      </c>
    </row>
    <row r="1917" spans="1:18" hidden="1" x14ac:dyDescent="0.3">
      <c r="A1917">
        <v>389</v>
      </c>
      <c r="B1917" t="s">
        <v>1056</v>
      </c>
      <c r="C1917" t="s">
        <v>536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91</v>
      </c>
      <c r="K1917">
        <v>0</v>
      </c>
      <c r="L1917" s="39">
        <f t="shared" si="117"/>
        <v>0</v>
      </c>
      <c r="M1917" s="39">
        <f t="shared" si="118"/>
        <v>0</v>
      </c>
      <c r="N1917" t="s">
        <v>205</v>
      </c>
      <c r="O1917" t="s">
        <v>205</v>
      </c>
      <c r="P1917">
        <v>0</v>
      </c>
      <c r="Q1917">
        <v>0</v>
      </c>
      <c r="R1917" t="s">
        <v>1057</v>
      </c>
    </row>
    <row r="1918" spans="1:18" hidden="1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85</v>
      </c>
      <c r="K1918">
        <v>84.433333333333323</v>
      </c>
      <c r="L1918" s="39">
        <f t="shared" si="117"/>
        <v>0.99333333333333318</v>
      </c>
      <c r="M1918" s="39">
        <f t="shared" si="118"/>
        <v>0.99333333333333318</v>
      </c>
      <c r="N1918" t="s">
        <v>25</v>
      </c>
      <c r="O1918" t="s">
        <v>25</v>
      </c>
      <c r="P1918">
        <v>0</v>
      </c>
      <c r="Q1918">
        <v>0</v>
      </c>
      <c r="R1918" t="s">
        <v>2802</v>
      </c>
    </row>
    <row r="1919" spans="1:18" hidden="1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85</v>
      </c>
      <c r="K1919">
        <v>0</v>
      </c>
      <c r="L1919" s="39">
        <f t="shared" si="117"/>
        <v>0</v>
      </c>
      <c r="M1919" s="39">
        <f t="shared" si="118"/>
        <v>0</v>
      </c>
      <c r="N1919" t="s">
        <v>25</v>
      </c>
      <c r="O1919" t="s">
        <v>25</v>
      </c>
      <c r="P1919">
        <v>0</v>
      </c>
      <c r="Q1919">
        <v>0</v>
      </c>
      <c r="R1919" t="s">
        <v>1058</v>
      </c>
    </row>
    <row r="1920" spans="1:18" hidden="1" x14ac:dyDescent="0.3">
      <c r="A1920">
        <v>389</v>
      </c>
      <c r="B1920" t="s">
        <v>1056</v>
      </c>
      <c r="C1920" t="s">
        <v>1059</v>
      </c>
      <c r="D1920" t="s">
        <v>21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K1920">
        <v>0</v>
      </c>
      <c r="L1920" s="39"/>
      <c r="M1920" s="39"/>
      <c r="N1920" t="s">
        <v>25</v>
      </c>
      <c r="O1920" t="s">
        <v>25</v>
      </c>
      <c r="P1920">
        <v>0</v>
      </c>
      <c r="Q1920">
        <v>0</v>
      </c>
      <c r="R1920" t="s">
        <v>2803</v>
      </c>
    </row>
    <row r="1921" spans="1:19" hidden="1" x14ac:dyDescent="0.3">
      <c r="A1921">
        <v>389</v>
      </c>
      <c r="B1921" t="s">
        <v>1056</v>
      </c>
      <c r="C1921" t="s">
        <v>1059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L1921" s="39"/>
      <c r="M1921" s="39"/>
      <c r="N1921" t="s">
        <v>25</v>
      </c>
      <c r="O1921" t="s">
        <v>302</v>
      </c>
      <c r="P1921">
        <v>0</v>
      </c>
      <c r="Q1921">
        <v>0</v>
      </c>
      <c r="R1921" t="s">
        <v>1060</v>
      </c>
      <c r="S1921" t="s">
        <v>302</v>
      </c>
    </row>
    <row r="1922" spans="1:19" hidden="1" x14ac:dyDescent="0.3">
      <c r="A1922">
        <v>390</v>
      </c>
      <c r="B1922" t="s">
        <v>1061</v>
      </c>
      <c r="C1922" t="s">
        <v>567</v>
      </c>
      <c r="D1922" t="s">
        <v>27</v>
      </c>
      <c r="E1922" t="s">
        <v>22</v>
      </c>
      <c r="F1922" s="79">
        <v>45016</v>
      </c>
      <c r="G1922">
        <v>2023</v>
      </c>
      <c r="H1922" t="s">
        <v>1516</v>
      </c>
      <c r="I1922" t="s">
        <v>1512</v>
      </c>
      <c r="J1922">
        <v>100</v>
      </c>
      <c r="K1922">
        <v>0</v>
      </c>
      <c r="L1922" s="39">
        <f t="shared" ref="L1922:L1933" si="119">IFERROR(IF(OR(J1922=0,K1922=""),"",IF(E1922="Positivo",MIN(MAX(K1922/J1922,0),1),MIN(MAX(J1922/K1922,0),1))),"")</f>
        <v>0</v>
      </c>
      <c r="M1922" s="39">
        <f t="shared" ref="M1922:M1944" si="120">IFERROR(IF(OR(J1922=0,K1922=""),"",IF(E1922="Positivo",MAX(K1922/J1922,0),MAX(J1922/K1922,0))),"")</f>
        <v>0</v>
      </c>
      <c r="N1922" t="s">
        <v>25</v>
      </c>
      <c r="O1922" t="s">
        <v>25</v>
      </c>
      <c r="P1922">
        <v>0</v>
      </c>
      <c r="Q1922">
        <v>0</v>
      </c>
      <c r="R1922" t="s">
        <v>2804</v>
      </c>
    </row>
    <row r="1923" spans="1:19" hidden="1" x14ac:dyDescent="0.3">
      <c r="A1923">
        <v>390</v>
      </c>
      <c r="B1923" t="s">
        <v>1061</v>
      </c>
      <c r="C1923" t="s">
        <v>567</v>
      </c>
      <c r="D1923" t="s">
        <v>21</v>
      </c>
      <c r="E1923" t="s">
        <v>22</v>
      </c>
      <c r="F1923" s="79">
        <v>45107</v>
      </c>
      <c r="G1923">
        <v>2023</v>
      </c>
      <c r="H1923" t="s">
        <v>699</v>
      </c>
      <c r="I1923" t="s">
        <v>1512</v>
      </c>
      <c r="J1923">
        <v>100</v>
      </c>
      <c r="K1923">
        <v>110.38416666667</v>
      </c>
      <c r="L1923" s="39">
        <f t="shared" si="119"/>
        <v>1</v>
      </c>
      <c r="M1923" s="39">
        <f t="shared" si="120"/>
        <v>1.1038416666666999</v>
      </c>
      <c r="N1923" t="s">
        <v>25</v>
      </c>
      <c r="O1923" t="s">
        <v>25</v>
      </c>
      <c r="P1923">
        <v>0</v>
      </c>
      <c r="Q1923">
        <v>0</v>
      </c>
      <c r="R1923" t="s">
        <v>2805</v>
      </c>
    </row>
    <row r="1924" spans="1:19" hidden="1" x14ac:dyDescent="0.3">
      <c r="A1924">
        <v>390</v>
      </c>
      <c r="B1924" t="s">
        <v>1061</v>
      </c>
      <c r="C1924" t="s">
        <v>567</v>
      </c>
      <c r="D1924" t="s">
        <v>21</v>
      </c>
      <c r="E1924" t="s">
        <v>22</v>
      </c>
      <c r="F1924" s="79">
        <v>45199</v>
      </c>
      <c r="G1924">
        <v>2023</v>
      </c>
      <c r="H1924" t="s">
        <v>162</v>
      </c>
      <c r="I1924" t="s">
        <v>28</v>
      </c>
      <c r="J1924">
        <v>100</v>
      </c>
      <c r="K1924">
        <v>95.344166666666993</v>
      </c>
      <c r="L1924" s="39">
        <f t="shared" si="119"/>
        <v>0.95344166666666996</v>
      </c>
      <c r="M1924" s="39">
        <f t="shared" si="120"/>
        <v>0.95344166666666996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hidden="1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45291</v>
      </c>
      <c r="G1925">
        <v>2023</v>
      </c>
      <c r="H1925" t="s">
        <v>23</v>
      </c>
      <c r="I1925" t="s">
        <v>28</v>
      </c>
      <c r="J1925">
        <v>100</v>
      </c>
      <c r="K1925">
        <v>99.249166666666994</v>
      </c>
      <c r="L1925" s="39">
        <f t="shared" si="119"/>
        <v>0.99249166666666999</v>
      </c>
      <c r="M1925" s="39">
        <f t="shared" si="120"/>
        <v>0.99249166666666999</v>
      </c>
      <c r="N1925" t="s">
        <v>25</v>
      </c>
      <c r="O1925" t="s">
        <v>25</v>
      </c>
      <c r="P1925">
        <v>0</v>
      </c>
      <c r="Q1925">
        <v>0</v>
      </c>
      <c r="R1925" t="s">
        <v>1062</v>
      </c>
    </row>
    <row r="1926" spans="1:19" hidden="1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45382</v>
      </c>
      <c r="G1926">
        <v>2024</v>
      </c>
      <c r="H1926" t="s">
        <v>1516</v>
      </c>
      <c r="I1926" t="s">
        <v>729</v>
      </c>
      <c r="J1926">
        <v>100</v>
      </c>
      <c r="K1926">
        <v>168.53</v>
      </c>
      <c r="L1926" s="39">
        <f t="shared" si="119"/>
        <v>1</v>
      </c>
      <c r="M1926" s="39">
        <f t="shared" si="120"/>
        <v>1.6853</v>
      </c>
      <c r="P1926">
        <v>0</v>
      </c>
      <c r="Q1926">
        <v>0</v>
      </c>
      <c r="R1926" t="s">
        <v>2807</v>
      </c>
    </row>
    <row r="1927" spans="1:19" hidden="1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45473</v>
      </c>
      <c r="G1927">
        <v>2024</v>
      </c>
      <c r="H1927" t="s">
        <v>699</v>
      </c>
      <c r="I1927" t="s">
        <v>729</v>
      </c>
      <c r="J1927">
        <v>100</v>
      </c>
      <c r="K1927">
        <v>110.59</v>
      </c>
      <c r="L1927" s="39">
        <f t="shared" si="119"/>
        <v>1</v>
      </c>
      <c r="M1927" s="39">
        <f t="shared" si="120"/>
        <v>1.1059000000000001</v>
      </c>
      <c r="P1927">
        <v>0</v>
      </c>
      <c r="Q1927">
        <v>0</v>
      </c>
      <c r="R1927" t="s">
        <v>2808</v>
      </c>
    </row>
    <row r="1928" spans="1:19" hidden="1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45565</v>
      </c>
      <c r="G1928">
        <v>2024</v>
      </c>
      <c r="H1928" t="s">
        <v>162</v>
      </c>
      <c r="I1928" t="s">
        <v>30</v>
      </c>
      <c r="J1928">
        <v>100</v>
      </c>
      <c r="K1928">
        <v>83.32</v>
      </c>
      <c r="L1928" s="39">
        <f t="shared" si="119"/>
        <v>0.83319999999999994</v>
      </c>
      <c r="M1928" s="39">
        <f t="shared" si="120"/>
        <v>0.83319999999999994</v>
      </c>
      <c r="P1928">
        <v>0</v>
      </c>
      <c r="Q1928">
        <v>0</v>
      </c>
      <c r="R1928" t="s">
        <v>2809</v>
      </c>
    </row>
    <row r="1929" spans="1:19" hidden="1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45657</v>
      </c>
      <c r="G1929">
        <v>2024</v>
      </c>
      <c r="H1929" t="s">
        <v>23</v>
      </c>
      <c r="I1929" t="s">
        <v>30</v>
      </c>
      <c r="J1929">
        <v>100</v>
      </c>
      <c r="K1929">
        <v>99.92</v>
      </c>
      <c r="L1929" s="39">
        <f t="shared" si="119"/>
        <v>0.99919999999999998</v>
      </c>
      <c r="M1929" s="39">
        <f t="shared" si="120"/>
        <v>0.99919999999999998</v>
      </c>
      <c r="P1929">
        <v>0</v>
      </c>
      <c r="Q1929">
        <v>0</v>
      </c>
      <c r="R1929" t="s">
        <v>1063</v>
      </c>
    </row>
    <row r="1930" spans="1:19" hidden="1" x14ac:dyDescent="0.3">
      <c r="A1930">
        <v>390</v>
      </c>
      <c r="B1930" t="s">
        <v>1061</v>
      </c>
      <c r="C1930" t="s">
        <v>567</v>
      </c>
      <c r="D1930" t="s">
        <v>27</v>
      </c>
      <c r="E1930" t="s">
        <v>22</v>
      </c>
      <c r="F1930" s="79">
        <v>45747</v>
      </c>
      <c r="G1930">
        <v>2025</v>
      </c>
      <c r="H1930" t="s">
        <v>1516</v>
      </c>
      <c r="I1930" t="s">
        <v>700</v>
      </c>
      <c r="J1930">
        <v>100</v>
      </c>
      <c r="K1930">
        <v>140.57</v>
      </c>
      <c r="L1930" s="39">
        <f t="shared" si="119"/>
        <v>1</v>
      </c>
      <c r="M1930" s="39">
        <f t="shared" si="120"/>
        <v>1.4056999999999999</v>
      </c>
      <c r="N1930" t="s">
        <v>25</v>
      </c>
      <c r="O1930" t="s">
        <v>25</v>
      </c>
      <c r="P1930">
        <v>0</v>
      </c>
      <c r="Q1930">
        <v>0</v>
      </c>
      <c r="R1930" t="s">
        <v>2810</v>
      </c>
    </row>
    <row r="1931" spans="1:19" hidden="1" x14ac:dyDescent="0.3">
      <c r="A1931">
        <v>390</v>
      </c>
      <c r="B1931" t="s">
        <v>1061</v>
      </c>
      <c r="C1931" t="s">
        <v>567</v>
      </c>
      <c r="D1931" t="s">
        <v>27</v>
      </c>
      <c r="E1931" t="s">
        <v>22</v>
      </c>
      <c r="F1931" s="79">
        <v>45838</v>
      </c>
      <c r="G1931">
        <v>2025</v>
      </c>
      <c r="H1931" t="s">
        <v>699</v>
      </c>
      <c r="I1931" t="s">
        <v>700</v>
      </c>
      <c r="J1931">
        <v>100</v>
      </c>
      <c r="K1931">
        <v>103.55</v>
      </c>
      <c r="L1931" s="39">
        <f t="shared" si="119"/>
        <v>1</v>
      </c>
      <c r="M1931" s="39">
        <f t="shared" si="120"/>
        <v>1.0354999999999999</v>
      </c>
      <c r="N1931" t="s">
        <v>25</v>
      </c>
      <c r="O1931" t="s">
        <v>25</v>
      </c>
      <c r="P1931">
        <v>0</v>
      </c>
      <c r="Q1931">
        <v>0</v>
      </c>
      <c r="R1931" t="s">
        <v>2811</v>
      </c>
    </row>
    <row r="1932" spans="1:19" hidden="1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45930</v>
      </c>
      <c r="G1932">
        <v>2025</v>
      </c>
      <c r="H1932" t="s">
        <v>162</v>
      </c>
      <c r="I1932" t="s">
        <v>32</v>
      </c>
      <c r="J1932">
        <v>100</v>
      </c>
      <c r="K1932">
        <v>101.17</v>
      </c>
      <c r="L1932" s="39">
        <f t="shared" si="119"/>
        <v>1</v>
      </c>
      <c r="M1932" s="39">
        <f t="shared" si="120"/>
        <v>1.0117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hidden="1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99.78</v>
      </c>
      <c r="L1933" s="39">
        <f t="shared" si="119"/>
        <v>0.99780000000000002</v>
      </c>
      <c r="M1933" s="39">
        <f t="shared" si="120"/>
        <v>0.99780000000000002</v>
      </c>
      <c r="N1933" t="s">
        <v>25</v>
      </c>
      <c r="O1933" t="s">
        <v>25</v>
      </c>
      <c r="P1933">
        <v>0</v>
      </c>
      <c r="Q1933">
        <v>0</v>
      </c>
      <c r="R1933" t="s">
        <v>1064</v>
      </c>
    </row>
    <row r="1934" spans="1:19" hidden="1" x14ac:dyDescent="0.3">
      <c r="A1934">
        <v>391</v>
      </c>
      <c r="B1934" t="s">
        <v>1065</v>
      </c>
      <c r="C1934" t="s">
        <v>1066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1512</v>
      </c>
      <c r="J1934">
        <v>100</v>
      </c>
      <c r="K1934">
        <v>100</v>
      </c>
      <c r="L1934" s="39">
        <f t="shared" ref="L1934:L1944" si="121">IFERROR(IF(OR(J1934=0,K1934=""),"",IF(E1934="Positivo",MIN(MAX(K1934/J1934,0),1.3),MIN(MAX(J1934/K1934,0),1.3))),"")</f>
        <v>1</v>
      </c>
      <c r="M1934" s="39">
        <f t="shared" si="120"/>
        <v>1</v>
      </c>
      <c r="N1934" t="s">
        <v>25</v>
      </c>
      <c r="O1934" t="s">
        <v>25</v>
      </c>
      <c r="P1934">
        <v>0</v>
      </c>
      <c r="Q1934">
        <v>0</v>
      </c>
      <c r="R1934" t="s">
        <v>2813</v>
      </c>
    </row>
    <row r="1935" spans="1:19" hidden="1" x14ac:dyDescent="0.3">
      <c r="A1935">
        <v>391</v>
      </c>
      <c r="B1935" t="s">
        <v>1065</v>
      </c>
      <c r="C1935" t="s">
        <v>1066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100</v>
      </c>
      <c r="L1935" s="39">
        <f t="shared" si="121"/>
        <v>1</v>
      </c>
      <c r="M1935" s="39">
        <f t="shared" si="120"/>
        <v>1</v>
      </c>
      <c r="N1935" t="s">
        <v>25</v>
      </c>
      <c r="O1935" t="s">
        <v>25</v>
      </c>
      <c r="P1935">
        <v>0</v>
      </c>
      <c r="Q1935">
        <v>0</v>
      </c>
      <c r="R1935" t="s">
        <v>1067</v>
      </c>
    </row>
    <row r="1936" spans="1:19" hidden="1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96</v>
      </c>
      <c r="K1936">
        <v>100</v>
      </c>
      <c r="L1936" s="39">
        <f t="shared" si="121"/>
        <v>1.0416666666666667</v>
      </c>
      <c r="M1936" s="39">
        <f t="shared" si="120"/>
        <v>1.0416666666666667</v>
      </c>
      <c r="N1936" t="s">
        <v>25</v>
      </c>
      <c r="O1936" t="s">
        <v>25</v>
      </c>
      <c r="P1936">
        <v>0</v>
      </c>
      <c r="Q1936">
        <v>0</v>
      </c>
      <c r="R1936" t="s">
        <v>2814</v>
      </c>
    </row>
    <row r="1937" spans="1:18" hidden="1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96</v>
      </c>
      <c r="K1937">
        <v>100</v>
      </c>
      <c r="L1937" s="39">
        <f t="shared" si="121"/>
        <v>1.0416666666666667</v>
      </c>
      <c r="M1937" s="39">
        <f t="shared" si="120"/>
        <v>1.0416666666666667</v>
      </c>
      <c r="N1937" t="s">
        <v>25</v>
      </c>
      <c r="O1937" t="s">
        <v>25</v>
      </c>
      <c r="P1937">
        <v>0</v>
      </c>
      <c r="Q1937">
        <v>0</v>
      </c>
      <c r="R1937" t="s">
        <v>1068</v>
      </c>
    </row>
    <row r="1938" spans="1:18" hidden="1" x14ac:dyDescent="0.3">
      <c r="A1938">
        <v>392</v>
      </c>
      <c r="B1938" t="s">
        <v>1069</v>
      </c>
      <c r="C1938" t="s">
        <v>1066</v>
      </c>
      <c r="D1938" t="s">
        <v>27</v>
      </c>
      <c r="E1938" t="s">
        <v>22</v>
      </c>
      <c r="F1938" s="79">
        <v>45107</v>
      </c>
      <c r="G1938">
        <v>2023</v>
      </c>
      <c r="H1938" t="s">
        <v>699</v>
      </c>
      <c r="I1938" t="s">
        <v>1512</v>
      </c>
      <c r="J1938">
        <v>100</v>
      </c>
      <c r="K1938">
        <v>110.09198322581</v>
      </c>
      <c r="L1938" s="39">
        <f t="shared" si="121"/>
        <v>1.1009198322581</v>
      </c>
      <c r="M1938" s="39">
        <f t="shared" si="120"/>
        <v>1.1009198322581</v>
      </c>
      <c r="N1938" t="s">
        <v>25</v>
      </c>
      <c r="O1938" t="s">
        <v>25</v>
      </c>
      <c r="P1938">
        <v>0</v>
      </c>
      <c r="Q1938">
        <v>0</v>
      </c>
      <c r="R1938" t="s">
        <v>2815</v>
      </c>
    </row>
    <row r="1939" spans="1:18" hidden="1" x14ac:dyDescent="0.3">
      <c r="A1939">
        <v>392</v>
      </c>
      <c r="B1939" t="s">
        <v>1069</v>
      </c>
      <c r="C1939" t="s">
        <v>1066</v>
      </c>
      <c r="D1939" t="s">
        <v>27</v>
      </c>
      <c r="E1939" t="s">
        <v>22</v>
      </c>
      <c r="F1939" s="79">
        <v>45291</v>
      </c>
      <c r="G1939">
        <v>2023</v>
      </c>
      <c r="H1939" t="s">
        <v>23</v>
      </c>
      <c r="I1939" t="s">
        <v>28</v>
      </c>
      <c r="J1939">
        <v>100</v>
      </c>
      <c r="K1939">
        <v>147.38</v>
      </c>
      <c r="L1939" s="39">
        <f t="shared" si="121"/>
        <v>1.3</v>
      </c>
      <c r="M1939" s="39">
        <f t="shared" si="120"/>
        <v>1.4738</v>
      </c>
      <c r="N1939" t="s">
        <v>25</v>
      </c>
      <c r="O1939" t="s">
        <v>25</v>
      </c>
      <c r="P1939">
        <v>0</v>
      </c>
      <c r="Q1939">
        <v>0</v>
      </c>
      <c r="R1939" t="s">
        <v>1070</v>
      </c>
    </row>
    <row r="1940" spans="1:18" hidden="1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45473</v>
      </c>
      <c r="G1940">
        <v>2024</v>
      </c>
      <c r="H1940" t="s">
        <v>699</v>
      </c>
      <c r="I1940" t="s">
        <v>729</v>
      </c>
      <c r="J1940">
        <v>100</v>
      </c>
      <c r="K1940">
        <v>98.11</v>
      </c>
      <c r="L1940" s="39">
        <f t="shared" si="121"/>
        <v>0.98109999999999997</v>
      </c>
      <c r="M1940" s="39">
        <f t="shared" si="120"/>
        <v>0.98109999999999997</v>
      </c>
      <c r="N1940" t="s">
        <v>205</v>
      </c>
      <c r="O1940" t="s">
        <v>205</v>
      </c>
      <c r="P1940">
        <v>0</v>
      </c>
      <c r="Q1940">
        <v>0</v>
      </c>
      <c r="R1940" t="s">
        <v>2816</v>
      </c>
    </row>
    <row r="1941" spans="1:18" hidden="1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45657</v>
      </c>
      <c r="G1941">
        <v>2024</v>
      </c>
      <c r="H1941" t="s">
        <v>23</v>
      </c>
      <c r="I1941" t="s">
        <v>30</v>
      </c>
      <c r="J1941">
        <v>100</v>
      </c>
      <c r="K1941">
        <v>145.21</v>
      </c>
      <c r="L1941" s="39">
        <f t="shared" si="121"/>
        <v>1.3</v>
      </c>
      <c r="M1941" s="39">
        <f t="shared" si="120"/>
        <v>1.4521000000000002</v>
      </c>
      <c r="N1941" t="s">
        <v>205</v>
      </c>
      <c r="O1941" t="s">
        <v>205</v>
      </c>
      <c r="P1941">
        <v>0</v>
      </c>
      <c r="Q1941">
        <v>0</v>
      </c>
      <c r="R1941" t="s">
        <v>1071</v>
      </c>
    </row>
    <row r="1942" spans="1:18" hidden="1" x14ac:dyDescent="0.3">
      <c r="A1942">
        <v>392</v>
      </c>
      <c r="B1942" t="s">
        <v>1069</v>
      </c>
      <c r="C1942" t="s">
        <v>1066</v>
      </c>
      <c r="D1942" t="s">
        <v>71</v>
      </c>
      <c r="E1942" t="s">
        <v>22</v>
      </c>
      <c r="F1942" s="79">
        <v>46022</v>
      </c>
      <c r="G1942">
        <v>2025</v>
      </c>
      <c r="H1942" t="s">
        <v>23</v>
      </c>
      <c r="I1942" t="s">
        <v>32</v>
      </c>
      <c r="J1942">
        <v>100</v>
      </c>
      <c r="K1942">
        <v>100.8</v>
      </c>
      <c r="L1942" s="39">
        <f t="shared" si="121"/>
        <v>1.008</v>
      </c>
      <c r="M1942" s="39">
        <f t="shared" si="120"/>
        <v>1.008</v>
      </c>
      <c r="N1942" t="s">
        <v>205</v>
      </c>
      <c r="O1942" t="s">
        <v>205</v>
      </c>
      <c r="P1942">
        <v>0</v>
      </c>
      <c r="Q1942">
        <v>0</v>
      </c>
      <c r="R1942" t="s">
        <v>1072</v>
      </c>
    </row>
    <row r="1943" spans="1:18" hidden="1" x14ac:dyDescent="0.3">
      <c r="A1943">
        <v>393</v>
      </c>
      <c r="B1943" t="s">
        <v>1073</v>
      </c>
      <c r="C1943" t="s">
        <v>1066</v>
      </c>
      <c r="D1943" t="s">
        <v>71</v>
      </c>
      <c r="E1943" t="s">
        <v>22</v>
      </c>
      <c r="F1943" s="79">
        <v>45291</v>
      </c>
      <c r="G1943">
        <v>2023</v>
      </c>
      <c r="H1943" t="s">
        <v>23</v>
      </c>
      <c r="I1943" t="s">
        <v>28</v>
      </c>
      <c r="J1943">
        <v>15</v>
      </c>
      <c r="K1943">
        <v>15.45</v>
      </c>
      <c r="L1943" s="39">
        <f t="shared" si="121"/>
        <v>1.03</v>
      </c>
      <c r="M1943" s="39">
        <f t="shared" si="120"/>
        <v>1.03</v>
      </c>
      <c r="N1943" t="s">
        <v>205</v>
      </c>
      <c r="O1943" t="s">
        <v>205</v>
      </c>
      <c r="P1943">
        <v>0</v>
      </c>
      <c r="Q1943">
        <v>0</v>
      </c>
      <c r="R1943" t="s">
        <v>1074</v>
      </c>
    </row>
    <row r="1944" spans="1:18" hidden="1" x14ac:dyDescent="0.3">
      <c r="A1944">
        <v>393</v>
      </c>
      <c r="B1944" t="s">
        <v>1073</v>
      </c>
      <c r="C1944" t="s">
        <v>1066</v>
      </c>
      <c r="D1944" t="s">
        <v>71</v>
      </c>
      <c r="E1944" t="s">
        <v>41</v>
      </c>
      <c r="F1944" s="79">
        <v>45657</v>
      </c>
      <c r="G1944">
        <v>2024</v>
      </c>
      <c r="H1944" t="s">
        <v>23</v>
      </c>
      <c r="I1944" t="s">
        <v>30</v>
      </c>
      <c r="J1944">
        <v>15</v>
      </c>
      <c r="K1944">
        <v>13</v>
      </c>
      <c r="L1944" s="39">
        <f t="shared" si="121"/>
        <v>1.1538461538461537</v>
      </c>
      <c r="M1944" s="39">
        <f t="shared" si="120"/>
        <v>1.1538461538461537</v>
      </c>
      <c r="P1944">
        <v>0</v>
      </c>
      <c r="Q1944">
        <v>0</v>
      </c>
      <c r="R1944" t="s">
        <v>1075</v>
      </c>
    </row>
    <row r="1945" spans="1:18" hidden="1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41</v>
      </c>
      <c r="F1945" s="79">
        <v>46022</v>
      </c>
      <c r="G1945">
        <v>2025</v>
      </c>
      <c r="H1945" t="s">
        <v>23</v>
      </c>
      <c r="I1945" t="s">
        <v>32</v>
      </c>
      <c r="K1945">
        <v>12</v>
      </c>
      <c r="L1945" s="39"/>
      <c r="M1945" s="39"/>
      <c r="N1945" t="s">
        <v>128</v>
      </c>
      <c r="O1945" t="s">
        <v>136</v>
      </c>
      <c r="P1945">
        <v>1</v>
      </c>
      <c r="Q1945">
        <v>1</v>
      </c>
      <c r="R1945" t="s">
        <v>1076</v>
      </c>
    </row>
    <row r="1946" spans="1:18" hidden="1" x14ac:dyDescent="0.3">
      <c r="A1946">
        <v>394</v>
      </c>
      <c r="B1946" t="s">
        <v>1077</v>
      </c>
      <c r="C1946" t="s">
        <v>1078</v>
      </c>
      <c r="D1946" t="s">
        <v>27</v>
      </c>
      <c r="E1946" t="s">
        <v>22</v>
      </c>
      <c r="F1946" s="79">
        <v>45016</v>
      </c>
      <c r="G1946">
        <v>2023</v>
      </c>
      <c r="H1946" t="s">
        <v>1516</v>
      </c>
      <c r="I1946" t="s">
        <v>1512</v>
      </c>
      <c r="J1946">
        <v>100</v>
      </c>
      <c r="K1946">
        <v>0</v>
      </c>
      <c r="L1946" s="39">
        <f t="shared" ref="L1946:L1977" si="122">IFERROR(IF(OR(J1946=0,K1946=""),"",IF(E1946="Positivo",MIN(MAX(K1946/J1946,0),1.3),MIN(MAX(J1946/K1946,0),1.3))),"")</f>
        <v>0</v>
      </c>
      <c r="M1946" s="39">
        <f t="shared" ref="M1946:M1977" si="123">IFERROR(IF(OR(J1946=0,K1946=""),"",IF(E1946="Positivo",MAX(K1946/J1946,0),MAX(J1946/K1946,0))),"")</f>
        <v>0</v>
      </c>
      <c r="N1946" t="s">
        <v>128</v>
      </c>
      <c r="O1946" t="s">
        <v>128</v>
      </c>
      <c r="P1946">
        <v>0</v>
      </c>
      <c r="Q1946">
        <v>0</v>
      </c>
      <c r="R1946" t="s">
        <v>2817</v>
      </c>
    </row>
    <row r="1947" spans="1:18" hidden="1" x14ac:dyDescent="0.3">
      <c r="A1947">
        <v>394</v>
      </c>
      <c r="B1947" t="s">
        <v>1077</v>
      </c>
      <c r="C1947" t="s">
        <v>1078</v>
      </c>
      <c r="D1947" t="s">
        <v>27</v>
      </c>
      <c r="E1947" t="s">
        <v>22</v>
      </c>
      <c r="F1947" s="79">
        <v>45107</v>
      </c>
      <c r="G1947">
        <v>2023</v>
      </c>
      <c r="H1947" t="s">
        <v>699</v>
      </c>
      <c r="I1947" t="s">
        <v>1512</v>
      </c>
      <c r="J1947">
        <v>100</v>
      </c>
      <c r="K1947">
        <v>275.42857142857002</v>
      </c>
      <c r="L1947" s="39">
        <f t="shared" si="122"/>
        <v>1.3</v>
      </c>
      <c r="M1947" s="39">
        <f t="shared" si="123"/>
        <v>2.7542857142857002</v>
      </c>
      <c r="N1947" t="s">
        <v>128</v>
      </c>
      <c r="O1947" t="s">
        <v>128</v>
      </c>
      <c r="P1947">
        <v>0</v>
      </c>
      <c r="Q1947">
        <v>0</v>
      </c>
      <c r="R1947" t="s">
        <v>2818</v>
      </c>
    </row>
    <row r="1948" spans="1:18" hidden="1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45199</v>
      </c>
      <c r="G1948">
        <v>2023</v>
      </c>
      <c r="H1948" t="s">
        <v>162</v>
      </c>
      <c r="I1948" t="s">
        <v>28</v>
      </c>
      <c r="J1948">
        <v>100</v>
      </c>
      <c r="K1948">
        <v>0</v>
      </c>
      <c r="L1948" s="39">
        <f t="shared" si="122"/>
        <v>0</v>
      </c>
      <c r="M1948" s="39">
        <f t="shared" si="123"/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hidden="1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100</v>
      </c>
      <c r="K1949">
        <v>349.71</v>
      </c>
      <c r="L1949" s="39">
        <f t="shared" si="122"/>
        <v>1.3</v>
      </c>
      <c r="M1949" s="39">
        <f t="shared" si="123"/>
        <v>3.4970999999999997</v>
      </c>
      <c r="N1949" t="s">
        <v>128</v>
      </c>
      <c r="O1949" t="s">
        <v>128</v>
      </c>
      <c r="P1949">
        <v>0</v>
      </c>
      <c r="Q1949">
        <v>0</v>
      </c>
      <c r="R1949" t="s">
        <v>1079</v>
      </c>
    </row>
    <row r="1950" spans="1:18" hidden="1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45382</v>
      </c>
      <c r="G1950">
        <v>2024</v>
      </c>
      <c r="H1950" t="s">
        <v>1516</v>
      </c>
      <c r="I1950" t="s">
        <v>729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2820</v>
      </c>
    </row>
    <row r="1951" spans="1:18" hidden="1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45473</v>
      </c>
      <c r="G1951">
        <v>2024</v>
      </c>
      <c r="H1951" t="s">
        <v>699</v>
      </c>
      <c r="I1951" t="s">
        <v>729</v>
      </c>
      <c r="J1951">
        <v>100</v>
      </c>
      <c r="K1951">
        <v>118.6</v>
      </c>
      <c r="L1951" s="39">
        <f t="shared" si="122"/>
        <v>1.1859999999999999</v>
      </c>
      <c r="M1951" s="39">
        <f t="shared" si="123"/>
        <v>1.1859999999999999</v>
      </c>
      <c r="N1951" t="s">
        <v>128</v>
      </c>
      <c r="O1951" t="s">
        <v>128</v>
      </c>
      <c r="P1951">
        <v>0</v>
      </c>
      <c r="Q1951">
        <v>0</v>
      </c>
      <c r="R1951" t="s">
        <v>2821</v>
      </c>
    </row>
    <row r="1952" spans="1:18" hidden="1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45565</v>
      </c>
      <c r="G1952">
        <v>2024</v>
      </c>
      <c r="H1952" t="s">
        <v>162</v>
      </c>
      <c r="I1952" t="s">
        <v>30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hidden="1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100</v>
      </c>
      <c r="K1953">
        <v>192</v>
      </c>
      <c r="L1953" s="39">
        <f t="shared" si="122"/>
        <v>1.3</v>
      </c>
      <c r="M1953" s="39">
        <f t="shared" si="123"/>
        <v>1.92</v>
      </c>
      <c r="N1953" t="s">
        <v>128</v>
      </c>
      <c r="O1953" t="s">
        <v>128</v>
      </c>
      <c r="P1953">
        <v>0</v>
      </c>
      <c r="Q1953">
        <v>0</v>
      </c>
      <c r="R1953" t="s">
        <v>1080</v>
      </c>
    </row>
    <row r="1954" spans="1:18" hidden="1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45747</v>
      </c>
      <c r="G1954">
        <v>2025</v>
      </c>
      <c r="H1954" t="s">
        <v>1516</v>
      </c>
      <c r="I1954" t="s">
        <v>700</v>
      </c>
      <c r="J1954">
        <v>100</v>
      </c>
      <c r="K1954">
        <v>227.5</v>
      </c>
      <c r="L1954" s="39">
        <f t="shared" si="122"/>
        <v>1.3</v>
      </c>
      <c r="M1954" s="39">
        <f t="shared" si="123"/>
        <v>2.2749999999999999</v>
      </c>
      <c r="N1954" t="s">
        <v>128</v>
      </c>
      <c r="O1954" t="s">
        <v>128</v>
      </c>
      <c r="P1954">
        <v>0</v>
      </c>
      <c r="Q1954">
        <v>0</v>
      </c>
      <c r="R1954" t="s">
        <v>2823</v>
      </c>
    </row>
    <row r="1955" spans="1:18" hidden="1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45838</v>
      </c>
      <c r="G1955">
        <v>2025</v>
      </c>
      <c r="H1955" t="s">
        <v>699</v>
      </c>
      <c r="I1955" t="s">
        <v>700</v>
      </c>
      <c r="J1955">
        <v>100</v>
      </c>
      <c r="K1955">
        <v>96.86</v>
      </c>
      <c r="L1955" s="39">
        <f t="shared" si="122"/>
        <v>0.96860000000000002</v>
      </c>
      <c r="M1955" s="39">
        <f t="shared" si="123"/>
        <v>0.96860000000000002</v>
      </c>
      <c r="N1955" t="s">
        <v>128</v>
      </c>
      <c r="O1955" t="s">
        <v>128</v>
      </c>
      <c r="P1955">
        <v>0</v>
      </c>
      <c r="Q1955">
        <v>0</v>
      </c>
      <c r="R1955" t="s">
        <v>2824</v>
      </c>
    </row>
    <row r="1956" spans="1:18" hidden="1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45930</v>
      </c>
      <c r="G1956">
        <v>2025</v>
      </c>
      <c r="H1956" t="s">
        <v>162</v>
      </c>
      <c r="I1956" t="s">
        <v>32</v>
      </c>
      <c r="J1956">
        <v>100</v>
      </c>
      <c r="K1956">
        <v>91.71</v>
      </c>
      <c r="L1956" s="39">
        <f t="shared" si="122"/>
        <v>0.91709999999999992</v>
      </c>
      <c r="M1956" s="39">
        <f t="shared" si="123"/>
        <v>0.91709999999999992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hidden="1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46022</v>
      </c>
      <c r="G1957">
        <v>2025</v>
      </c>
      <c r="H1957" t="s">
        <v>23</v>
      </c>
      <c r="I1957" t="s">
        <v>32</v>
      </c>
      <c r="J1957">
        <v>100</v>
      </c>
      <c r="K1957">
        <v>137.5</v>
      </c>
      <c r="L1957" s="39">
        <f t="shared" si="122"/>
        <v>1.3</v>
      </c>
      <c r="M1957" s="39">
        <f t="shared" si="123"/>
        <v>1.375</v>
      </c>
      <c r="N1957" t="s">
        <v>128</v>
      </c>
      <c r="O1957" t="s">
        <v>128</v>
      </c>
      <c r="P1957">
        <v>0</v>
      </c>
      <c r="Q1957">
        <v>0</v>
      </c>
      <c r="R1957" t="s">
        <v>1081</v>
      </c>
    </row>
    <row r="1958" spans="1:18" hidden="1" x14ac:dyDescent="0.3">
      <c r="A1958">
        <v>395</v>
      </c>
      <c r="B1958" t="s">
        <v>1084</v>
      </c>
      <c r="C1958" t="s">
        <v>1078</v>
      </c>
      <c r="D1958" t="s">
        <v>27</v>
      </c>
      <c r="E1958" t="s">
        <v>22</v>
      </c>
      <c r="F1958" s="79">
        <v>45016</v>
      </c>
      <c r="G1958">
        <v>2023</v>
      </c>
      <c r="H1958" t="s">
        <v>1516</v>
      </c>
      <c r="I1958" t="s">
        <v>1512</v>
      </c>
      <c r="J1958">
        <v>100</v>
      </c>
      <c r="K1958">
        <v>0</v>
      </c>
      <c r="L1958" s="39">
        <f t="shared" si="122"/>
        <v>0</v>
      </c>
      <c r="M1958" s="39">
        <f t="shared" si="123"/>
        <v>0</v>
      </c>
      <c r="N1958" t="s">
        <v>128</v>
      </c>
      <c r="O1958" t="s">
        <v>128</v>
      </c>
      <c r="P1958">
        <v>0</v>
      </c>
      <c r="Q1958">
        <v>0</v>
      </c>
      <c r="R1958" t="s">
        <v>2826</v>
      </c>
    </row>
    <row r="1959" spans="1:18" hidden="1" x14ac:dyDescent="0.3">
      <c r="A1959">
        <v>395</v>
      </c>
      <c r="B1959" t="s">
        <v>1082</v>
      </c>
      <c r="C1959" t="s">
        <v>1078</v>
      </c>
      <c r="D1959" t="s">
        <v>27</v>
      </c>
      <c r="E1959" t="s">
        <v>22</v>
      </c>
      <c r="F1959" s="79">
        <v>45107</v>
      </c>
      <c r="G1959">
        <v>2023</v>
      </c>
      <c r="H1959" t="s">
        <v>699</v>
      </c>
      <c r="I1959" t="s">
        <v>1512</v>
      </c>
      <c r="J1959">
        <v>100</v>
      </c>
      <c r="K1959">
        <v>294.11764705882001</v>
      </c>
      <c r="L1959" s="39">
        <f t="shared" si="122"/>
        <v>1.3</v>
      </c>
      <c r="M1959" s="39">
        <f t="shared" si="123"/>
        <v>2.9411764705882</v>
      </c>
      <c r="N1959" t="s">
        <v>128</v>
      </c>
      <c r="O1959" t="s">
        <v>128</v>
      </c>
      <c r="P1959">
        <v>0</v>
      </c>
      <c r="Q1959">
        <v>0</v>
      </c>
      <c r="R1959" t="s">
        <v>2827</v>
      </c>
    </row>
    <row r="1960" spans="1:18" hidden="1" x14ac:dyDescent="0.3">
      <c r="A1960">
        <v>395</v>
      </c>
      <c r="B1960" t="s">
        <v>1082</v>
      </c>
      <c r="C1960" t="s">
        <v>1078</v>
      </c>
      <c r="D1960" t="s">
        <v>27</v>
      </c>
      <c r="E1960" t="s">
        <v>22</v>
      </c>
      <c r="F1960" s="79">
        <v>45291</v>
      </c>
      <c r="G1960">
        <v>2023</v>
      </c>
      <c r="H1960" t="s">
        <v>23</v>
      </c>
      <c r="I1960" t="s">
        <v>28</v>
      </c>
      <c r="J1960">
        <v>100</v>
      </c>
      <c r="K1960">
        <v>266.67</v>
      </c>
      <c r="L1960" s="39">
        <f t="shared" si="122"/>
        <v>1.3</v>
      </c>
      <c r="M1960" s="39">
        <f t="shared" si="123"/>
        <v>2.6667000000000001</v>
      </c>
      <c r="N1960" t="s">
        <v>128</v>
      </c>
      <c r="O1960" t="s">
        <v>128</v>
      </c>
      <c r="P1960">
        <v>0</v>
      </c>
      <c r="Q1960">
        <v>0</v>
      </c>
      <c r="R1960" t="s">
        <v>1083</v>
      </c>
    </row>
    <row r="1961" spans="1:18" hidden="1" x14ac:dyDescent="0.3">
      <c r="A1961">
        <v>395</v>
      </c>
      <c r="B1961" t="s">
        <v>1084</v>
      </c>
      <c r="C1961" t="s">
        <v>1078</v>
      </c>
      <c r="D1961" t="s">
        <v>27</v>
      </c>
      <c r="E1961" t="s">
        <v>22</v>
      </c>
      <c r="F1961" s="79">
        <v>45382</v>
      </c>
      <c r="G1961">
        <v>2024</v>
      </c>
      <c r="H1961" t="s">
        <v>1516</v>
      </c>
      <c r="I1961" t="s">
        <v>729</v>
      </c>
      <c r="J1961">
        <v>100</v>
      </c>
      <c r="K1961">
        <v>0</v>
      </c>
      <c r="L1961" s="39">
        <f t="shared" si="122"/>
        <v>0</v>
      </c>
      <c r="M1961" s="39">
        <f t="shared" si="123"/>
        <v>0</v>
      </c>
      <c r="N1961" t="s">
        <v>128</v>
      </c>
      <c r="O1961" t="s">
        <v>128</v>
      </c>
      <c r="P1961">
        <v>0</v>
      </c>
      <c r="Q1961">
        <v>0</v>
      </c>
      <c r="R1961" t="s">
        <v>2828</v>
      </c>
    </row>
    <row r="1962" spans="1:18" hidden="1" x14ac:dyDescent="0.3">
      <c r="A1962">
        <v>395</v>
      </c>
      <c r="B1962" t="s">
        <v>1084</v>
      </c>
      <c r="C1962" t="s">
        <v>1078</v>
      </c>
      <c r="D1962" t="s">
        <v>27</v>
      </c>
      <c r="E1962" t="s">
        <v>22</v>
      </c>
      <c r="F1962" s="79">
        <v>45473</v>
      </c>
      <c r="G1962">
        <v>2024</v>
      </c>
      <c r="H1962" t="s">
        <v>699</v>
      </c>
      <c r="I1962" t="s">
        <v>729</v>
      </c>
      <c r="J1962">
        <v>100</v>
      </c>
      <c r="K1962">
        <v>110</v>
      </c>
      <c r="L1962" s="39">
        <f t="shared" si="122"/>
        <v>1.1000000000000001</v>
      </c>
      <c r="M1962" s="39">
        <f t="shared" si="123"/>
        <v>1.1000000000000001</v>
      </c>
      <c r="N1962" t="s">
        <v>128</v>
      </c>
      <c r="O1962" t="s">
        <v>128</v>
      </c>
      <c r="P1962">
        <v>0</v>
      </c>
      <c r="Q1962">
        <v>0</v>
      </c>
      <c r="R1962" t="s">
        <v>2829</v>
      </c>
    </row>
    <row r="1963" spans="1:18" hidden="1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45565</v>
      </c>
      <c r="G1963">
        <v>2024</v>
      </c>
      <c r="H1963" t="s">
        <v>162</v>
      </c>
      <c r="I1963" t="s">
        <v>30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hidden="1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45657</v>
      </c>
      <c r="G1964">
        <v>2024</v>
      </c>
      <c r="H1964" t="s">
        <v>23</v>
      </c>
      <c r="I1964" t="s">
        <v>30</v>
      </c>
      <c r="J1964">
        <v>100</v>
      </c>
      <c r="K1964">
        <v>148.88999999999999</v>
      </c>
      <c r="L1964" s="39">
        <f t="shared" si="122"/>
        <v>1.3</v>
      </c>
      <c r="M1964" s="39">
        <f t="shared" si="123"/>
        <v>1.4888999999999999</v>
      </c>
      <c r="N1964" t="s">
        <v>128</v>
      </c>
      <c r="O1964" t="s">
        <v>128</v>
      </c>
      <c r="P1964">
        <v>0</v>
      </c>
      <c r="Q1964">
        <v>0</v>
      </c>
      <c r="R1964" t="s">
        <v>1085</v>
      </c>
    </row>
    <row r="1965" spans="1:18" hidden="1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45747</v>
      </c>
      <c r="G1965">
        <v>2025</v>
      </c>
      <c r="H1965" t="s">
        <v>1516</v>
      </c>
      <c r="I1965" t="s">
        <v>700</v>
      </c>
      <c r="J1965">
        <v>100</v>
      </c>
      <c r="K1965">
        <v>291.43</v>
      </c>
      <c r="L1965" s="39">
        <f t="shared" si="122"/>
        <v>1.3</v>
      </c>
      <c r="M1965" s="39">
        <f t="shared" si="123"/>
        <v>2.9142999999999999</v>
      </c>
      <c r="N1965" t="s">
        <v>128</v>
      </c>
      <c r="O1965" t="s">
        <v>128</v>
      </c>
      <c r="P1965">
        <v>0</v>
      </c>
      <c r="Q1965">
        <v>0</v>
      </c>
      <c r="R1965" t="s">
        <v>2831</v>
      </c>
    </row>
    <row r="1966" spans="1:18" hidden="1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45838</v>
      </c>
      <c r="G1966">
        <v>2025</v>
      </c>
      <c r="H1966" t="s">
        <v>699</v>
      </c>
      <c r="I1966" t="s">
        <v>700</v>
      </c>
      <c r="J1966">
        <v>100</v>
      </c>
      <c r="K1966">
        <v>161.82</v>
      </c>
      <c r="L1966" s="39">
        <f t="shared" si="122"/>
        <v>1.3</v>
      </c>
      <c r="M1966" s="39">
        <f t="shared" si="123"/>
        <v>1.6181999999999999</v>
      </c>
      <c r="N1966" t="s">
        <v>128</v>
      </c>
      <c r="O1966" t="s">
        <v>128</v>
      </c>
      <c r="P1966">
        <v>0</v>
      </c>
      <c r="Q1966">
        <v>0</v>
      </c>
      <c r="R1966" t="s">
        <v>2832</v>
      </c>
    </row>
    <row r="1967" spans="1:18" hidden="1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45930</v>
      </c>
      <c r="G1967">
        <v>2025</v>
      </c>
      <c r="H1967" t="s">
        <v>162</v>
      </c>
      <c r="I1967" t="s">
        <v>32</v>
      </c>
      <c r="J1967">
        <v>100</v>
      </c>
      <c r="K1967">
        <v>187.27</v>
      </c>
      <c r="L1967" s="39">
        <f t="shared" si="122"/>
        <v>1.3</v>
      </c>
      <c r="M1967" s="39">
        <f t="shared" si="123"/>
        <v>1.8727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hidden="1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46022</v>
      </c>
      <c r="G1968">
        <v>2025</v>
      </c>
      <c r="H1968" t="s">
        <v>23</v>
      </c>
      <c r="I1968" t="s">
        <v>32</v>
      </c>
      <c r="J1968">
        <v>100</v>
      </c>
      <c r="K1968">
        <v>177.14</v>
      </c>
      <c r="L1968" s="39">
        <f t="shared" si="122"/>
        <v>1.3</v>
      </c>
      <c r="M1968" s="39">
        <f t="shared" si="123"/>
        <v>1.7713999999999999</v>
      </c>
      <c r="N1968" t="s">
        <v>128</v>
      </c>
      <c r="O1968" t="s">
        <v>128</v>
      </c>
      <c r="P1968">
        <v>0</v>
      </c>
      <c r="Q1968">
        <v>0</v>
      </c>
      <c r="R1968" t="s">
        <v>1086</v>
      </c>
    </row>
    <row r="1969" spans="1:18" hidden="1" x14ac:dyDescent="0.3">
      <c r="A1969">
        <v>396</v>
      </c>
      <c r="B1969" t="s">
        <v>1087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80</v>
      </c>
      <c r="K1969">
        <v>88.89</v>
      </c>
      <c r="L1969" s="39">
        <f t="shared" si="122"/>
        <v>1.1111249999999999</v>
      </c>
      <c r="M1969" s="39">
        <f t="shared" si="123"/>
        <v>1.1111249999999999</v>
      </c>
      <c r="N1969" t="s">
        <v>128</v>
      </c>
      <c r="O1969" t="s">
        <v>128</v>
      </c>
      <c r="P1969">
        <v>0</v>
      </c>
      <c r="Q1969">
        <v>0</v>
      </c>
      <c r="R1969" t="s">
        <v>1088</v>
      </c>
    </row>
    <row r="1970" spans="1:18" hidden="1" x14ac:dyDescent="0.3">
      <c r="A1970">
        <v>396</v>
      </c>
      <c r="B1970" t="s">
        <v>1087</v>
      </c>
      <c r="C1970" t="s">
        <v>1089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80</v>
      </c>
      <c r="K1970">
        <v>88.1</v>
      </c>
      <c r="L1970" s="39">
        <f t="shared" si="122"/>
        <v>1.1012499999999998</v>
      </c>
      <c r="M1970" s="39">
        <f t="shared" si="123"/>
        <v>1.1012499999999998</v>
      </c>
      <c r="N1970" t="s">
        <v>128</v>
      </c>
      <c r="O1970" t="s">
        <v>136</v>
      </c>
      <c r="P1970">
        <v>1</v>
      </c>
      <c r="Q1970">
        <v>1</v>
      </c>
      <c r="R1970" t="s">
        <v>1090</v>
      </c>
    </row>
    <row r="1971" spans="1:18" hidden="1" x14ac:dyDescent="0.3">
      <c r="A1971">
        <v>397</v>
      </c>
      <c r="B1971" t="s">
        <v>1091</v>
      </c>
      <c r="C1971" t="s">
        <v>1066</v>
      </c>
      <c r="D1971" t="s">
        <v>27</v>
      </c>
      <c r="E1971" t="s">
        <v>22</v>
      </c>
      <c r="F1971" s="79">
        <v>45107</v>
      </c>
      <c r="G1971">
        <v>2023</v>
      </c>
      <c r="H1971" t="s">
        <v>699</v>
      </c>
      <c r="I1971" t="s">
        <v>1512</v>
      </c>
      <c r="J1971">
        <v>80</v>
      </c>
      <c r="K1971">
        <v>91.071428571428996</v>
      </c>
      <c r="L1971" s="39">
        <f t="shared" si="122"/>
        <v>1.1383928571428625</v>
      </c>
      <c r="M1971" s="39">
        <f t="shared" si="123"/>
        <v>1.1383928571428625</v>
      </c>
      <c r="N1971" t="s">
        <v>25</v>
      </c>
      <c r="O1971" t="s">
        <v>25</v>
      </c>
      <c r="P1971">
        <v>0</v>
      </c>
      <c r="Q1971">
        <v>0</v>
      </c>
      <c r="R1971" t="s">
        <v>2834</v>
      </c>
    </row>
    <row r="1972" spans="1:18" hidden="1" x14ac:dyDescent="0.3">
      <c r="A1972">
        <v>397</v>
      </c>
      <c r="B1972" t="s">
        <v>1091</v>
      </c>
      <c r="C1972" t="s">
        <v>1066</v>
      </c>
      <c r="D1972" t="s">
        <v>27</v>
      </c>
      <c r="E1972" t="s">
        <v>22</v>
      </c>
      <c r="F1972" s="79">
        <v>45291</v>
      </c>
      <c r="G1972">
        <v>2023</v>
      </c>
      <c r="H1972" t="s">
        <v>23</v>
      </c>
      <c r="I1972" t="s">
        <v>28</v>
      </c>
      <c r="J1972">
        <v>80</v>
      </c>
      <c r="K1972">
        <v>92.96</v>
      </c>
      <c r="L1972" s="39">
        <f t="shared" si="122"/>
        <v>1.1619999999999999</v>
      </c>
      <c r="M1972" s="39">
        <f t="shared" si="123"/>
        <v>1.1619999999999999</v>
      </c>
      <c r="N1972" t="s">
        <v>25</v>
      </c>
      <c r="O1972" t="s">
        <v>25</v>
      </c>
      <c r="P1972">
        <v>0</v>
      </c>
      <c r="Q1972">
        <v>0</v>
      </c>
      <c r="R1972" t="s">
        <v>1092</v>
      </c>
    </row>
    <row r="1973" spans="1:18" hidden="1" x14ac:dyDescent="0.3">
      <c r="A1973">
        <v>397</v>
      </c>
      <c r="B1973" t="s">
        <v>1091</v>
      </c>
      <c r="C1973" t="s">
        <v>1089</v>
      </c>
      <c r="D1973" t="s">
        <v>27</v>
      </c>
      <c r="E1973" t="s">
        <v>22</v>
      </c>
      <c r="F1973" s="79">
        <v>45473</v>
      </c>
      <c r="G1973">
        <v>2024</v>
      </c>
      <c r="H1973" t="s">
        <v>699</v>
      </c>
      <c r="I1973" t="s">
        <v>729</v>
      </c>
      <c r="J1973">
        <v>80</v>
      </c>
      <c r="K1973">
        <v>88.08</v>
      </c>
      <c r="L1973" s="39">
        <f t="shared" si="122"/>
        <v>1.101</v>
      </c>
      <c r="M1973" s="39">
        <f t="shared" si="123"/>
        <v>1.101</v>
      </c>
      <c r="N1973" t="s">
        <v>25</v>
      </c>
      <c r="O1973" t="s">
        <v>25</v>
      </c>
      <c r="P1973">
        <v>1</v>
      </c>
      <c r="Q1973">
        <v>1</v>
      </c>
      <c r="R1973" t="s">
        <v>2835</v>
      </c>
    </row>
    <row r="1974" spans="1:18" hidden="1" x14ac:dyDescent="0.3">
      <c r="A1974">
        <v>397</v>
      </c>
      <c r="B1974" t="s">
        <v>1091</v>
      </c>
      <c r="C1974" t="s">
        <v>1089</v>
      </c>
      <c r="D1974" t="s">
        <v>27</v>
      </c>
      <c r="E1974" t="s">
        <v>22</v>
      </c>
      <c r="F1974" s="79">
        <v>45657</v>
      </c>
      <c r="G1974">
        <v>2024</v>
      </c>
      <c r="H1974" t="s">
        <v>23</v>
      </c>
      <c r="I1974" t="s">
        <v>30</v>
      </c>
      <c r="J1974">
        <v>80</v>
      </c>
      <c r="K1974">
        <v>94.88</v>
      </c>
      <c r="L1974" s="39">
        <f t="shared" si="122"/>
        <v>1.1859999999999999</v>
      </c>
      <c r="M1974" s="39">
        <f t="shared" si="123"/>
        <v>1.1859999999999999</v>
      </c>
      <c r="N1974" t="s">
        <v>25</v>
      </c>
      <c r="O1974" t="s">
        <v>25</v>
      </c>
      <c r="P1974">
        <v>1</v>
      </c>
      <c r="Q1974">
        <v>1</v>
      </c>
      <c r="R1974" t="s">
        <v>1093</v>
      </c>
    </row>
    <row r="1975" spans="1:18" hidden="1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45838</v>
      </c>
      <c r="G1975">
        <v>2025</v>
      </c>
      <c r="H1975" t="s">
        <v>699</v>
      </c>
      <c r="I1975" t="s">
        <v>700</v>
      </c>
      <c r="J1975">
        <v>90</v>
      </c>
      <c r="K1975">
        <v>95.26</v>
      </c>
      <c r="L1975" s="39">
        <f t="shared" si="122"/>
        <v>1.0584444444444445</v>
      </c>
      <c r="M1975" s="39">
        <f t="shared" si="123"/>
        <v>1.0584444444444445</v>
      </c>
      <c r="N1975" t="s">
        <v>25</v>
      </c>
      <c r="O1975" t="s">
        <v>25</v>
      </c>
      <c r="P1975">
        <v>1</v>
      </c>
      <c r="Q1975">
        <v>1</v>
      </c>
      <c r="R1975" t="s">
        <v>2836</v>
      </c>
    </row>
    <row r="1976" spans="1:18" hidden="1" x14ac:dyDescent="0.3">
      <c r="A1976">
        <v>397</v>
      </c>
      <c r="B1976" t="s">
        <v>1094</v>
      </c>
      <c r="C1976" t="s">
        <v>1089</v>
      </c>
      <c r="D1976" t="s">
        <v>21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90</v>
      </c>
      <c r="K1976">
        <v>96.14</v>
      </c>
      <c r="L1976" s="39">
        <f t="shared" si="122"/>
        <v>1.0682222222222222</v>
      </c>
      <c r="M1976" s="39">
        <f t="shared" si="123"/>
        <v>1.0682222222222222</v>
      </c>
      <c r="N1976" t="s">
        <v>25</v>
      </c>
      <c r="O1976" t="s">
        <v>25</v>
      </c>
      <c r="P1976">
        <v>0</v>
      </c>
      <c r="Q1976">
        <v>1</v>
      </c>
      <c r="R1976" t="s">
        <v>1095</v>
      </c>
    </row>
    <row r="1977" spans="1:18" hidden="1" x14ac:dyDescent="0.3">
      <c r="A1977">
        <v>398</v>
      </c>
      <c r="B1977" t="s">
        <v>1096</v>
      </c>
      <c r="C1977" t="s">
        <v>1097</v>
      </c>
      <c r="D1977" t="s">
        <v>27</v>
      </c>
      <c r="E1977" t="s">
        <v>22</v>
      </c>
      <c r="F1977" s="79">
        <v>45107</v>
      </c>
      <c r="G1977">
        <v>2023</v>
      </c>
      <c r="H1977" t="s">
        <v>699</v>
      </c>
      <c r="I1977" t="s">
        <v>1512</v>
      </c>
      <c r="J1977">
        <v>100</v>
      </c>
      <c r="K1977">
        <v>256.8</v>
      </c>
      <c r="L1977" s="39">
        <f t="shared" si="122"/>
        <v>1.3</v>
      </c>
      <c r="M1977" s="39">
        <f t="shared" si="123"/>
        <v>2.5680000000000001</v>
      </c>
      <c r="N1977" t="s">
        <v>128</v>
      </c>
      <c r="O1977" t="s">
        <v>128</v>
      </c>
      <c r="P1977">
        <v>0</v>
      </c>
      <c r="Q1977">
        <v>0</v>
      </c>
      <c r="R1977" t="s">
        <v>2837</v>
      </c>
    </row>
    <row r="1978" spans="1:18" hidden="1" x14ac:dyDescent="0.3">
      <c r="A1978">
        <v>398</v>
      </c>
      <c r="B1978" t="s">
        <v>1096</v>
      </c>
      <c r="C1978" t="s">
        <v>1097</v>
      </c>
      <c r="D1978" t="s">
        <v>27</v>
      </c>
      <c r="E1978" t="s">
        <v>22</v>
      </c>
      <c r="F1978" s="79">
        <v>45291</v>
      </c>
      <c r="G1978">
        <v>2023</v>
      </c>
      <c r="H1978" t="s">
        <v>23</v>
      </c>
      <c r="I1978" t="s">
        <v>28</v>
      </c>
      <c r="J1978">
        <v>100</v>
      </c>
      <c r="K1978">
        <v>234.4</v>
      </c>
      <c r="L1978" s="39">
        <f t="shared" ref="L1978:L2000" si="124">IFERROR(IF(OR(J1978=0,K1978=""),"",IF(E1978="Positivo",MIN(MAX(K1978/J1978,0),1.3),MIN(MAX(J1978/K1978,0),1.3))),"")</f>
        <v>1.3</v>
      </c>
      <c r="M1978" s="39">
        <f t="shared" ref="M1978:M2000" si="125">IFERROR(IF(OR(J1978=0,K1978=""),"",IF(E1978="Positivo",MAX(K1978/J1978,0),MAX(J1978/K1978,0))),"")</f>
        <v>2.3439999999999999</v>
      </c>
      <c r="N1978" t="s">
        <v>128</v>
      </c>
      <c r="O1978" t="s">
        <v>128</v>
      </c>
      <c r="P1978">
        <v>0</v>
      </c>
      <c r="Q1978">
        <v>0</v>
      </c>
      <c r="R1978" t="s">
        <v>1098</v>
      </c>
    </row>
    <row r="1979" spans="1:18" hidden="1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45473</v>
      </c>
      <c r="G1979">
        <v>2024</v>
      </c>
      <c r="H1979" t="s">
        <v>699</v>
      </c>
      <c r="I1979" t="s">
        <v>729</v>
      </c>
      <c r="J1979">
        <v>100</v>
      </c>
      <c r="K1979">
        <v>283.92</v>
      </c>
      <c r="L1979" s="39">
        <f t="shared" si="124"/>
        <v>1.3</v>
      </c>
      <c r="M1979" s="39">
        <f t="shared" si="125"/>
        <v>2.8391999999999999</v>
      </c>
      <c r="N1979" t="s">
        <v>128</v>
      </c>
      <c r="O1979" t="s">
        <v>128</v>
      </c>
      <c r="P1979">
        <v>0</v>
      </c>
      <c r="Q1979">
        <v>0</v>
      </c>
      <c r="R1979" t="s">
        <v>2838</v>
      </c>
    </row>
    <row r="1980" spans="1:18" hidden="1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45657</v>
      </c>
      <c r="G1980">
        <v>2024</v>
      </c>
      <c r="H1980" t="s">
        <v>23</v>
      </c>
      <c r="I1980" t="s">
        <v>30</v>
      </c>
      <c r="J1980">
        <v>100</v>
      </c>
      <c r="K1980">
        <v>160</v>
      </c>
      <c r="L1980" s="39">
        <f t="shared" si="124"/>
        <v>1.3</v>
      </c>
      <c r="M1980" s="39">
        <f t="shared" si="125"/>
        <v>1.6</v>
      </c>
      <c r="N1980" t="s">
        <v>128</v>
      </c>
      <c r="O1980" t="s">
        <v>128</v>
      </c>
      <c r="P1980">
        <v>0</v>
      </c>
      <c r="Q1980">
        <v>0</v>
      </c>
      <c r="R1980" t="s">
        <v>1099</v>
      </c>
    </row>
    <row r="1981" spans="1:18" hidden="1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45838</v>
      </c>
      <c r="G1981">
        <v>2025</v>
      </c>
      <c r="H1981" t="s">
        <v>699</v>
      </c>
      <c r="I1981" t="s">
        <v>700</v>
      </c>
      <c r="J1981">
        <v>100</v>
      </c>
      <c r="K1981">
        <v>159.5</v>
      </c>
      <c r="L1981" s="39">
        <f t="shared" si="124"/>
        <v>1.3</v>
      </c>
      <c r="M1981" s="39">
        <f t="shared" si="125"/>
        <v>1.595</v>
      </c>
      <c r="N1981" t="s">
        <v>128</v>
      </c>
      <c r="O1981" t="s">
        <v>128</v>
      </c>
      <c r="P1981">
        <v>0</v>
      </c>
      <c r="Q1981">
        <v>0</v>
      </c>
      <c r="R1981" t="s">
        <v>2839</v>
      </c>
    </row>
    <row r="1982" spans="1:18" hidden="1" x14ac:dyDescent="0.3">
      <c r="A1982">
        <v>398</v>
      </c>
      <c r="B1982" t="s">
        <v>1096</v>
      </c>
      <c r="C1982" t="s">
        <v>1097</v>
      </c>
      <c r="D1982" t="s">
        <v>21</v>
      </c>
      <c r="E1982" t="s">
        <v>22</v>
      </c>
      <c r="F1982" s="79">
        <v>46022</v>
      </c>
      <c r="G1982">
        <v>2025</v>
      </c>
      <c r="H1982" t="s">
        <v>23</v>
      </c>
      <c r="I1982" t="s">
        <v>32</v>
      </c>
      <c r="J1982">
        <v>100</v>
      </c>
      <c r="K1982">
        <v>168.71</v>
      </c>
      <c r="L1982" s="39">
        <f t="shared" si="124"/>
        <v>1.3</v>
      </c>
      <c r="M1982" s="39">
        <f t="shared" si="125"/>
        <v>1.6871</v>
      </c>
      <c r="N1982" t="s">
        <v>128</v>
      </c>
      <c r="O1982" t="s">
        <v>128</v>
      </c>
      <c r="P1982">
        <v>0</v>
      </c>
      <c r="Q1982">
        <v>0</v>
      </c>
      <c r="R1982" t="s">
        <v>1100</v>
      </c>
    </row>
    <row r="1983" spans="1:18" hidden="1" x14ac:dyDescent="0.3">
      <c r="A1983">
        <v>399</v>
      </c>
      <c r="B1983" t="s">
        <v>2840</v>
      </c>
      <c r="C1983" t="s">
        <v>1097</v>
      </c>
      <c r="D1983" t="s">
        <v>27</v>
      </c>
      <c r="E1983" t="s">
        <v>22</v>
      </c>
      <c r="F1983" s="79">
        <v>45107</v>
      </c>
      <c r="G1983">
        <v>2023</v>
      </c>
      <c r="H1983" t="s">
        <v>699</v>
      </c>
      <c r="I1983" t="s">
        <v>1512</v>
      </c>
      <c r="J1983">
        <v>100</v>
      </c>
      <c r="K1983">
        <v>117.8</v>
      </c>
      <c r="L1983" s="39">
        <f t="shared" si="124"/>
        <v>1.1779999999999999</v>
      </c>
      <c r="M1983" s="39">
        <f t="shared" si="125"/>
        <v>1.1779999999999999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hidden="1" x14ac:dyDescent="0.3">
      <c r="A1984">
        <v>399</v>
      </c>
      <c r="B1984" t="s">
        <v>2840</v>
      </c>
      <c r="C1984" t="s">
        <v>1097</v>
      </c>
      <c r="D1984" t="s">
        <v>27</v>
      </c>
      <c r="E1984" t="s">
        <v>22</v>
      </c>
      <c r="F1984" s="79">
        <v>45291</v>
      </c>
      <c r="G1984">
        <v>2023</v>
      </c>
      <c r="H1984" t="s">
        <v>23</v>
      </c>
      <c r="I1984" t="s">
        <v>28</v>
      </c>
      <c r="J1984">
        <v>100</v>
      </c>
      <c r="K1984">
        <v>149</v>
      </c>
      <c r="L1984" s="39">
        <f t="shared" si="124"/>
        <v>1.3</v>
      </c>
      <c r="M1984" s="39">
        <f t="shared" si="125"/>
        <v>1.49</v>
      </c>
      <c r="N1984" t="s">
        <v>128</v>
      </c>
      <c r="O1984" t="s">
        <v>128</v>
      </c>
      <c r="P1984">
        <v>0</v>
      </c>
      <c r="Q1984">
        <v>0</v>
      </c>
      <c r="R1984" t="s">
        <v>1102</v>
      </c>
    </row>
    <row r="1985" spans="1:18" hidden="1" x14ac:dyDescent="0.3">
      <c r="A1985">
        <v>399</v>
      </c>
      <c r="B1985" t="s">
        <v>1101</v>
      </c>
      <c r="C1985" t="s">
        <v>1097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111.36</v>
      </c>
      <c r="L1985" s="39">
        <f t="shared" si="124"/>
        <v>1.1135999999999999</v>
      </c>
      <c r="M1985" s="39">
        <f t="shared" si="125"/>
        <v>1.1135999999999999</v>
      </c>
      <c r="N1985" t="s">
        <v>128</v>
      </c>
      <c r="O1985" t="s">
        <v>128</v>
      </c>
      <c r="P1985">
        <v>0</v>
      </c>
      <c r="Q1985">
        <v>0</v>
      </c>
      <c r="R1985" t="s">
        <v>2842</v>
      </c>
    </row>
    <row r="1986" spans="1:18" hidden="1" x14ac:dyDescent="0.3">
      <c r="A1986">
        <v>399</v>
      </c>
      <c r="B1986" t="s">
        <v>1101</v>
      </c>
      <c r="C1986" t="s">
        <v>1097</v>
      </c>
      <c r="D1986" t="s">
        <v>27</v>
      </c>
      <c r="E1986" t="s">
        <v>22</v>
      </c>
      <c r="F1986" s="79">
        <v>45657</v>
      </c>
      <c r="G1986">
        <v>2024</v>
      </c>
      <c r="H1986" t="s">
        <v>23</v>
      </c>
      <c r="I1986" t="s">
        <v>30</v>
      </c>
      <c r="J1986">
        <v>100</v>
      </c>
      <c r="K1986">
        <v>111.36</v>
      </c>
      <c r="L1986" s="39">
        <f t="shared" si="124"/>
        <v>1.1135999999999999</v>
      </c>
      <c r="M1986" s="39">
        <f t="shared" si="125"/>
        <v>1.1135999999999999</v>
      </c>
      <c r="N1986" t="s">
        <v>128</v>
      </c>
      <c r="O1986" t="s">
        <v>128</v>
      </c>
      <c r="P1986">
        <v>0</v>
      </c>
      <c r="Q1986">
        <v>0</v>
      </c>
      <c r="R1986" t="s">
        <v>1103</v>
      </c>
    </row>
    <row r="1987" spans="1:18" hidden="1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45838</v>
      </c>
      <c r="G1987">
        <v>2025</v>
      </c>
      <c r="H1987" t="s">
        <v>699</v>
      </c>
      <c r="I1987" t="s">
        <v>700</v>
      </c>
      <c r="J1987">
        <v>100</v>
      </c>
      <c r="K1987">
        <v>102.93</v>
      </c>
      <c r="L1987" s="39">
        <f t="shared" si="124"/>
        <v>1.0293000000000001</v>
      </c>
      <c r="M1987" s="39">
        <f t="shared" si="125"/>
        <v>1.0293000000000001</v>
      </c>
      <c r="N1987" t="s">
        <v>128</v>
      </c>
      <c r="O1987" t="s">
        <v>128</v>
      </c>
      <c r="P1987">
        <v>0</v>
      </c>
      <c r="Q1987">
        <v>0</v>
      </c>
      <c r="R1987" t="s">
        <v>2843</v>
      </c>
    </row>
    <row r="1988" spans="1:18" hidden="1" x14ac:dyDescent="0.3">
      <c r="A1988">
        <v>399</v>
      </c>
      <c r="B1988" t="s">
        <v>1101</v>
      </c>
      <c r="C1988" t="s">
        <v>1097</v>
      </c>
      <c r="D1988" t="s">
        <v>21</v>
      </c>
      <c r="E1988" t="s">
        <v>22</v>
      </c>
      <c r="F1988" s="79">
        <v>46022</v>
      </c>
      <c r="G1988">
        <v>2025</v>
      </c>
      <c r="H1988" t="s">
        <v>23</v>
      </c>
      <c r="I1988" t="s">
        <v>32</v>
      </c>
      <c r="J1988">
        <v>100</v>
      </c>
      <c r="K1988">
        <v>106.13</v>
      </c>
      <c r="L1988" s="39">
        <f t="shared" si="124"/>
        <v>1.0612999999999999</v>
      </c>
      <c r="M1988" s="39">
        <f t="shared" si="125"/>
        <v>1.0612999999999999</v>
      </c>
      <c r="N1988" t="s">
        <v>128</v>
      </c>
      <c r="O1988" t="s">
        <v>128</v>
      </c>
      <c r="P1988">
        <v>0</v>
      </c>
      <c r="Q1988">
        <v>0</v>
      </c>
      <c r="R1988" t="s">
        <v>1104</v>
      </c>
    </row>
    <row r="1989" spans="1:18" hidden="1" x14ac:dyDescent="0.3">
      <c r="A1989">
        <v>400</v>
      </c>
      <c r="B1989" t="s">
        <v>1105</v>
      </c>
      <c r="C1989" t="s">
        <v>1097</v>
      </c>
      <c r="D1989" t="s">
        <v>27</v>
      </c>
      <c r="E1989" t="s">
        <v>22</v>
      </c>
      <c r="F1989" s="79">
        <v>45107</v>
      </c>
      <c r="G1989">
        <v>2023</v>
      </c>
      <c r="H1989" t="s">
        <v>699</v>
      </c>
      <c r="I1989" t="s">
        <v>1512</v>
      </c>
      <c r="J1989">
        <v>100</v>
      </c>
      <c r="K1989">
        <v>220</v>
      </c>
      <c r="L1989" s="39">
        <f t="shared" si="124"/>
        <v>1.3</v>
      </c>
      <c r="M1989" s="39">
        <f t="shared" si="125"/>
        <v>2.2000000000000002</v>
      </c>
      <c r="N1989" t="s">
        <v>128</v>
      </c>
      <c r="O1989" t="s">
        <v>128</v>
      </c>
      <c r="P1989">
        <v>0</v>
      </c>
      <c r="Q1989">
        <v>0</v>
      </c>
      <c r="R1989" t="s">
        <v>2844</v>
      </c>
    </row>
    <row r="1990" spans="1:18" hidden="1" x14ac:dyDescent="0.3">
      <c r="A1990">
        <v>400</v>
      </c>
      <c r="B1990" t="s">
        <v>1105</v>
      </c>
      <c r="C1990" t="s">
        <v>1097</v>
      </c>
      <c r="D1990" t="s">
        <v>27</v>
      </c>
      <c r="E1990" t="s">
        <v>22</v>
      </c>
      <c r="F1990" s="79">
        <v>45291</v>
      </c>
      <c r="G1990">
        <v>2023</v>
      </c>
      <c r="H1990" t="s">
        <v>23</v>
      </c>
      <c r="I1990" t="s">
        <v>28</v>
      </c>
      <c r="J1990">
        <v>100</v>
      </c>
      <c r="K1990">
        <v>282.86</v>
      </c>
      <c r="L1990" s="39">
        <f t="shared" si="124"/>
        <v>1.3</v>
      </c>
      <c r="M1990" s="39">
        <f t="shared" si="125"/>
        <v>2.8286000000000002</v>
      </c>
      <c r="N1990" t="s">
        <v>128</v>
      </c>
      <c r="O1990" t="s">
        <v>128</v>
      </c>
      <c r="P1990">
        <v>0</v>
      </c>
      <c r="Q1990">
        <v>0</v>
      </c>
      <c r="R1990" t="s">
        <v>1106</v>
      </c>
    </row>
    <row r="1991" spans="1:18" hidden="1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45473</v>
      </c>
      <c r="G1991">
        <v>2024</v>
      </c>
      <c r="H1991" t="s">
        <v>699</v>
      </c>
      <c r="I1991" t="s">
        <v>729</v>
      </c>
      <c r="J1991">
        <v>100</v>
      </c>
      <c r="K1991">
        <v>270.45</v>
      </c>
      <c r="L1991" s="39">
        <f t="shared" si="124"/>
        <v>1.3</v>
      </c>
      <c r="M1991" s="39">
        <f t="shared" si="125"/>
        <v>2.7044999999999999</v>
      </c>
      <c r="N1991" t="s">
        <v>128</v>
      </c>
      <c r="O1991" t="s">
        <v>128</v>
      </c>
      <c r="P1991">
        <v>0</v>
      </c>
      <c r="Q1991">
        <v>0</v>
      </c>
      <c r="R1991" t="s">
        <v>2845</v>
      </c>
    </row>
    <row r="1992" spans="1:18" hidden="1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45657</v>
      </c>
      <c r="G1992">
        <v>2024</v>
      </c>
      <c r="H1992" t="s">
        <v>23</v>
      </c>
      <c r="I1992" t="s">
        <v>30</v>
      </c>
      <c r="J1992">
        <v>100</v>
      </c>
      <c r="K1992">
        <v>397.73</v>
      </c>
      <c r="L1992" s="39">
        <f t="shared" si="124"/>
        <v>1.3</v>
      </c>
      <c r="M1992" s="39">
        <f t="shared" si="125"/>
        <v>3.9773000000000001</v>
      </c>
      <c r="N1992" t="s">
        <v>128</v>
      </c>
      <c r="O1992" t="s">
        <v>128</v>
      </c>
      <c r="P1992">
        <v>0</v>
      </c>
      <c r="Q1992">
        <v>0</v>
      </c>
      <c r="R1992" t="s">
        <v>1107</v>
      </c>
    </row>
    <row r="1993" spans="1:18" hidden="1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45838</v>
      </c>
      <c r="G1993">
        <v>2025</v>
      </c>
      <c r="H1993" t="s">
        <v>699</v>
      </c>
      <c r="I1993" t="s">
        <v>700</v>
      </c>
      <c r="J1993">
        <v>100</v>
      </c>
      <c r="K1993">
        <v>123</v>
      </c>
      <c r="L1993" s="39">
        <f t="shared" si="124"/>
        <v>1.23</v>
      </c>
      <c r="M1993" s="39">
        <f t="shared" si="125"/>
        <v>1.23</v>
      </c>
      <c r="N1993" t="s">
        <v>128</v>
      </c>
      <c r="O1993" t="s">
        <v>128</v>
      </c>
      <c r="P1993">
        <v>0</v>
      </c>
      <c r="Q1993">
        <v>0</v>
      </c>
      <c r="R1993" t="s">
        <v>2846</v>
      </c>
    </row>
    <row r="1994" spans="1:18" hidden="1" x14ac:dyDescent="0.3">
      <c r="A1994">
        <v>400</v>
      </c>
      <c r="B1994" t="s">
        <v>1105</v>
      </c>
      <c r="C1994" t="s">
        <v>1097</v>
      </c>
      <c r="D1994" t="s">
        <v>21</v>
      </c>
      <c r="E1994" t="s">
        <v>22</v>
      </c>
      <c r="F1994" s="79">
        <v>46022</v>
      </c>
      <c r="G1994">
        <v>2025</v>
      </c>
      <c r="H1994" t="s">
        <v>23</v>
      </c>
      <c r="I1994" t="s">
        <v>32</v>
      </c>
      <c r="J1994">
        <v>100</v>
      </c>
      <c r="K1994">
        <v>127.14</v>
      </c>
      <c r="L1994" s="39">
        <f t="shared" si="124"/>
        <v>1.2714000000000001</v>
      </c>
      <c r="M1994" s="39">
        <f t="shared" si="125"/>
        <v>1.2714000000000001</v>
      </c>
      <c r="N1994" t="s">
        <v>128</v>
      </c>
      <c r="O1994" t="s">
        <v>128</v>
      </c>
      <c r="P1994">
        <v>0</v>
      </c>
      <c r="Q1994">
        <v>0</v>
      </c>
      <c r="R1994" t="s">
        <v>1108</v>
      </c>
    </row>
    <row r="1995" spans="1:18" hidden="1" x14ac:dyDescent="0.3">
      <c r="A1995">
        <v>401</v>
      </c>
      <c r="B1995" t="s">
        <v>1109</v>
      </c>
      <c r="C1995" t="s">
        <v>1110</v>
      </c>
      <c r="D1995" t="s">
        <v>27</v>
      </c>
      <c r="E1995" t="s">
        <v>22</v>
      </c>
      <c r="F1995" s="79">
        <v>45107</v>
      </c>
      <c r="G1995">
        <v>2023</v>
      </c>
      <c r="H1995" t="s">
        <v>699</v>
      </c>
      <c r="I1995" t="s">
        <v>1512</v>
      </c>
      <c r="J1995">
        <v>90</v>
      </c>
      <c r="K1995">
        <v>87.5</v>
      </c>
      <c r="L1995" s="39">
        <f t="shared" si="124"/>
        <v>0.97222222222222221</v>
      </c>
      <c r="M1995" s="39">
        <f t="shared" si="125"/>
        <v>0.97222222222222221</v>
      </c>
      <c r="N1995" t="s">
        <v>128</v>
      </c>
      <c r="O1995" t="s">
        <v>128</v>
      </c>
      <c r="P1995">
        <v>0</v>
      </c>
      <c r="Q1995">
        <v>0</v>
      </c>
      <c r="R1995" t="s">
        <v>2847</v>
      </c>
    </row>
    <row r="1996" spans="1:18" hidden="1" x14ac:dyDescent="0.3">
      <c r="A1996">
        <v>401</v>
      </c>
      <c r="B1996" t="s">
        <v>1109</v>
      </c>
      <c r="C1996" t="s">
        <v>1110</v>
      </c>
      <c r="D1996" t="s">
        <v>27</v>
      </c>
      <c r="E1996" t="s">
        <v>22</v>
      </c>
      <c r="F1996" s="79">
        <v>45291</v>
      </c>
      <c r="G1996">
        <v>2023</v>
      </c>
      <c r="H1996" t="s">
        <v>23</v>
      </c>
      <c r="I1996" t="s">
        <v>28</v>
      </c>
      <c r="J1996">
        <v>90</v>
      </c>
      <c r="K1996">
        <v>125</v>
      </c>
      <c r="L1996" s="39">
        <f t="shared" si="124"/>
        <v>1.3</v>
      </c>
      <c r="M1996" s="39">
        <f t="shared" si="125"/>
        <v>1.3888888888888888</v>
      </c>
      <c r="N1996" t="s">
        <v>128</v>
      </c>
      <c r="O1996" t="s">
        <v>128</v>
      </c>
      <c r="P1996">
        <v>0</v>
      </c>
      <c r="Q1996">
        <v>0</v>
      </c>
      <c r="R1996" t="s">
        <v>1111</v>
      </c>
    </row>
    <row r="1997" spans="1:18" hidden="1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45473</v>
      </c>
      <c r="G1997">
        <v>2024</v>
      </c>
      <c r="H1997" t="s">
        <v>699</v>
      </c>
      <c r="I1997" t="s">
        <v>729</v>
      </c>
      <c r="J1997">
        <v>90</v>
      </c>
      <c r="K1997">
        <v>112.5</v>
      </c>
      <c r="L1997" s="39">
        <f t="shared" si="124"/>
        <v>1.25</v>
      </c>
      <c r="M1997" s="39">
        <f t="shared" si="125"/>
        <v>1.25</v>
      </c>
      <c r="N1997" t="s">
        <v>128</v>
      </c>
      <c r="O1997" t="s">
        <v>128</v>
      </c>
      <c r="P1997">
        <v>0</v>
      </c>
      <c r="Q1997">
        <v>0</v>
      </c>
      <c r="R1997" t="s">
        <v>2848</v>
      </c>
    </row>
    <row r="1998" spans="1:18" hidden="1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90</v>
      </c>
      <c r="K1998">
        <v>100</v>
      </c>
      <c r="L1998" s="39">
        <f t="shared" si="124"/>
        <v>1.1111111111111112</v>
      </c>
      <c r="M1998" s="39">
        <f t="shared" si="125"/>
        <v>1.1111111111111112</v>
      </c>
      <c r="N1998" t="s">
        <v>128</v>
      </c>
      <c r="O1998" t="s">
        <v>128</v>
      </c>
      <c r="P1998">
        <v>0</v>
      </c>
      <c r="Q1998">
        <v>0</v>
      </c>
      <c r="R1998" t="s">
        <v>1112</v>
      </c>
    </row>
    <row r="1999" spans="1:18" hidden="1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45838</v>
      </c>
      <c r="G1999">
        <v>2025</v>
      </c>
      <c r="H1999" t="s">
        <v>699</v>
      </c>
      <c r="I1999" t="s">
        <v>700</v>
      </c>
      <c r="J1999">
        <v>100</v>
      </c>
      <c r="K1999">
        <v>100</v>
      </c>
      <c r="L1999" s="39">
        <f t="shared" si="124"/>
        <v>1</v>
      </c>
      <c r="M1999" s="39">
        <f t="shared" si="125"/>
        <v>1</v>
      </c>
      <c r="N1999" t="s">
        <v>128</v>
      </c>
      <c r="O1999" t="s">
        <v>128</v>
      </c>
      <c r="P1999">
        <v>0</v>
      </c>
      <c r="Q1999">
        <v>0</v>
      </c>
      <c r="R1999" t="s">
        <v>2849</v>
      </c>
    </row>
    <row r="2000" spans="1:18" hidden="1" x14ac:dyDescent="0.3">
      <c r="A2000">
        <v>401</v>
      </c>
      <c r="B2000" t="s">
        <v>1109</v>
      </c>
      <c r="C2000" t="s">
        <v>1110</v>
      </c>
      <c r="D2000" t="s">
        <v>21</v>
      </c>
      <c r="E2000" t="s">
        <v>22</v>
      </c>
      <c r="F2000" s="79">
        <v>46022</v>
      </c>
      <c r="G2000">
        <v>2025</v>
      </c>
      <c r="H2000" t="s">
        <v>23</v>
      </c>
      <c r="I2000" t="s">
        <v>32</v>
      </c>
      <c r="J2000">
        <v>100</v>
      </c>
      <c r="K2000">
        <v>100</v>
      </c>
      <c r="L2000" s="39">
        <f t="shared" si="124"/>
        <v>1</v>
      </c>
      <c r="M2000" s="39">
        <f t="shared" si="125"/>
        <v>1</v>
      </c>
      <c r="N2000" t="s">
        <v>128</v>
      </c>
      <c r="O2000" t="s">
        <v>128</v>
      </c>
      <c r="P2000">
        <v>0</v>
      </c>
      <c r="Q2000">
        <v>0</v>
      </c>
      <c r="R2000" t="s">
        <v>1113</v>
      </c>
    </row>
    <row r="2001" spans="1:19" hidden="1" x14ac:dyDescent="0.3">
      <c r="A2001">
        <v>402</v>
      </c>
      <c r="B2001" t="s">
        <v>1114</v>
      </c>
      <c r="C2001" t="s">
        <v>1110</v>
      </c>
      <c r="D2001" t="s">
        <v>71</v>
      </c>
      <c r="E2001" t="s">
        <v>22</v>
      </c>
      <c r="F2001" s="79">
        <v>45291</v>
      </c>
      <c r="G2001">
        <v>2023</v>
      </c>
      <c r="H2001" t="s">
        <v>23</v>
      </c>
      <c r="I2001" t="s">
        <v>28</v>
      </c>
      <c r="K2001">
        <v>21000</v>
      </c>
      <c r="L2001" s="39"/>
      <c r="M2001" s="39"/>
      <c r="N2001" t="s">
        <v>128</v>
      </c>
      <c r="O2001" t="s">
        <v>128</v>
      </c>
      <c r="P2001">
        <v>0</v>
      </c>
      <c r="Q2001">
        <v>0</v>
      </c>
      <c r="R2001" t="s">
        <v>1115</v>
      </c>
    </row>
    <row r="2002" spans="1:19" hidden="1" x14ac:dyDescent="0.3">
      <c r="A2002">
        <v>402</v>
      </c>
      <c r="B2002" t="s">
        <v>1114</v>
      </c>
      <c r="C2002" t="s">
        <v>1110</v>
      </c>
      <c r="D2002" t="s">
        <v>71</v>
      </c>
      <c r="E2002" t="s">
        <v>22</v>
      </c>
      <c r="F2002" s="79">
        <v>45657</v>
      </c>
      <c r="G2002">
        <v>2024</v>
      </c>
      <c r="H2002" t="s">
        <v>23</v>
      </c>
      <c r="I2002" t="s">
        <v>30</v>
      </c>
      <c r="J2002">
        <v>3</v>
      </c>
      <c r="K2002">
        <v>4.76</v>
      </c>
      <c r="L2002" s="39">
        <f>IFERROR(IF(OR(J2002=0,K2002=""),"",IF(E2002="Positivo",MIN(MAX(K2002/J2002,0),1.3),MIN(MAX(J2002/K2002,0),1.3))),"")</f>
        <v>1.3</v>
      </c>
      <c r="M2002" s="39">
        <f>IFERROR(IF(OR(J2002=0,K2002=""),"",IF(E2002="Positivo",MAX(K2002/J2002,0),MAX(J2002/K2002,0))),"")</f>
        <v>1.5866666666666667</v>
      </c>
      <c r="P2002">
        <v>0</v>
      </c>
      <c r="Q2002">
        <v>0</v>
      </c>
      <c r="R2002" t="s">
        <v>1116</v>
      </c>
    </row>
    <row r="2003" spans="1:19" hidden="1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46022</v>
      </c>
      <c r="G2003">
        <v>2025</v>
      </c>
      <c r="H2003" t="s">
        <v>23</v>
      </c>
      <c r="I2003" t="s">
        <v>32</v>
      </c>
      <c r="K2003">
        <v>22.73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1117</v>
      </c>
    </row>
    <row r="2004" spans="1:19" hidden="1" x14ac:dyDescent="0.3">
      <c r="A2004">
        <v>403</v>
      </c>
      <c r="B2004" t="s">
        <v>1118</v>
      </c>
      <c r="C2004" t="s">
        <v>1110</v>
      </c>
      <c r="D2004" t="s">
        <v>27</v>
      </c>
      <c r="E2004" t="s">
        <v>22</v>
      </c>
      <c r="F2004" s="79">
        <v>45107</v>
      </c>
      <c r="G2004">
        <v>2023</v>
      </c>
      <c r="H2004" t="s">
        <v>699</v>
      </c>
      <c r="I2004" t="s">
        <v>1512</v>
      </c>
      <c r="K2004">
        <v>14370</v>
      </c>
      <c r="L2004" s="39"/>
      <c r="M2004" s="39"/>
      <c r="N2004" t="s">
        <v>263</v>
      </c>
      <c r="O2004" t="s">
        <v>128</v>
      </c>
      <c r="P2004">
        <v>0</v>
      </c>
      <c r="Q2004">
        <v>0</v>
      </c>
      <c r="R2004" t="s">
        <v>2850</v>
      </c>
    </row>
    <row r="2005" spans="1:19" hidden="1" x14ac:dyDescent="0.3">
      <c r="A2005">
        <v>403</v>
      </c>
      <c r="B2005" t="s">
        <v>1118</v>
      </c>
      <c r="C2005" t="s">
        <v>1110</v>
      </c>
      <c r="D2005" t="s">
        <v>27</v>
      </c>
      <c r="E2005" t="s">
        <v>22</v>
      </c>
      <c r="F2005" s="79">
        <v>45291</v>
      </c>
      <c r="G2005">
        <v>2023</v>
      </c>
      <c r="H2005" t="s">
        <v>23</v>
      </c>
      <c r="I2005" t="s">
        <v>28</v>
      </c>
      <c r="K2005">
        <v>28639</v>
      </c>
      <c r="L2005" s="39"/>
      <c r="M2005" s="39"/>
      <c r="N2005" t="s">
        <v>263</v>
      </c>
      <c r="O2005" t="s">
        <v>128</v>
      </c>
      <c r="P2005">
        <v>0</v>
      </c>
      <c r="Q2005">
        <v>0</v>
      </c>
      <c r="R2005" t="s">
        <v>1119</v>
      </c>
    </row>
    <row r="2006" spans="1:19" hidden="1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45473</v>
      </c>
      <c r="G2006">
        <v>2024</v>
      </c>
      <c r="H2006" t="s">
        <v>699</v>
      </c>
      <c r="I2006" t="s">
        <v>729</v>
      </c>
      <c r="K2006">
        <v>14923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2851</v>
      </c>
    </row>
    <row r="2007" spans="1:19" hidden="1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45657</v>
      </c>
      <c r="G2007">
        <v>2024</v>
      </c>
      <c r="H2007" t="s">
        <v>23</v>
      </c>
      <c r="I2007" t="s">
        <v>30</v>
      </c>
      <c r="K2007">
        <v>14495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1120</v>
      </c>
    </row>
    <row r="2008" spans="1:19" hidden="1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45838</v>
      </c>
      <c r="G2008">
        <v>2025</v>
      </c>
      <c r="H2008" t="s">
        <v>699</v>
      </c>
      <c r="I2008" t="s">
        <v>700</v>
      </c>
      <c r="K2008">
        <v>14410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2852</v>
      </c>
    </row>
    <row r="2009" spans="1:19" hidden="1" x14ac:dyDescent="0.3">
      <c r="A2009">
        <v>403</v>
      </c>
      <c r="B2009" t="s">
        <v>1121</v>
      </c>
      <c r="C2009" t="s">
        <v>1110</v>
      </c>
      <c r="D2009" t="s">
        <v>21</v>
      </c>
      <c r="E2009" t="s">
        <v>22</v>
      </c>
      <c r="F2009" s="79">
        <v>46022</v>
      </c>
      <c r="G2009">
        <v>2025</v>
      </c>
      <c r="H2009" t="s">
        <v>23</v>
      </c>
      <c r="I2009" t="s">
        <v>32</v>
      </c>
      <c r="K2009">
        <v>12510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1122</v>
      </c>
      <c r="S2009" t="s">
        <v>263</v>
      </c>
    </row>
    <row r="2010" spans="1:19" hidden="1" x14ac:dyDescent="0.3">
      <c r="A2010">
        <v>404</v>
      </c>
      <c r="B2010" t="s">
        <v>1123</v>
      </c>
      <c r="C2010" t="s">
        <v>1110</v>
      </c>
      <c r="D2010" t="s">
        <v>27</v>
      </c>
      <c r="E2010" t="s">
        <v>41</v>
      </c>
      <c r="F2010" s="79">
        <v>45107</v>
      </c>
      <c r="G2010">
        <v>2023</v>
      </c>
      <c r="H2010" t="s">
        <v>699</v>
      </c>
      <c r="I2010" t="s">
        <v>1512</v>
      </c>
      <c r="J2010">
        <v>20</v>
      </c>
      <c r="K2010">
        <v>2</v>
      </c>
      <c r="L2010" s="39">
        <f t="shared" ref="L2010:L2020" si="126">IFERROR(IF(OR(J2010=0,K2010=""),"",IF(E2010="Positivo",MIN(MAX(K2010/J2010,0),1.3),MIN(MAX(J2010/K2010,0),1.3))),"")</f>
        <v>1.3</v>
      </c>
      <c r="M2010" s="39">
        <f t="shared" ref="M2010:M2020" si="127">IFERROR(IF(OR(J2010=0,K2010=""),"",IF(E2010="Positivo",MAX(K2010/J2010,0),MAX(J2010/K2010,0))),"")</f>
        <v>10</v>
      </c>
      <c r="N2010">
        <v>0</v>
      </c>
      <c r="O2010" t="s">
        <v>128</v>
      </c>
      <c r="P2010">
        <v>0</v>
      </c>
      <c r="Q2010">
        <v>0</v>
      </c>
      <c r="R2010" t="s">
        <v>2853</v>
      </c>
    </row>
    <row r="2011" spans="1:19" hidden="1" x14ac:dyDescent="0.3">
      <c r="A2011">
        <v>404</v>
      </c>
      <c r="B2011" t="s">
        <v>1123</v>
      </c>
      <c r="C2011" t="s">
        <v>1110</v>
      </c>
      <c r="D2011" t="s">
        <v>27</v>
      </c>
      <c r="E2011" t="s">
        <v>41</v>
      </c>
      <c r="F2011" s="79">
        <v>45291</v>
      </c>
      <c r="G2011">
        <v>2023</v>
      </c>
      <c r="H2011" t="s">
        <v>23</v>
      </c>
      <c r="I2011" t="s">
        <v>28</v>
      </c>
      <c r="J2011">
        <v>20</v>
      </c>
      <c r="K2011">
        <v>1.31</v>
      </c>
      <c r="L2011" s="39">
        <f t="shared" si="126"/>
        <v>1.3</v>
      </c>
      <c r="M2011" s="39">
        <f t="shared" si="127"/>
        <v>15.267175572519083</v>
      </c>
      <c r="N2011">
        <v>0</v>
      </c>
      <c r="O2011" t="s">
        <v>128</v>
      </c>
      <c r="P2011">
        <v>0</v>
      </c>
      <c r="Q2011">
        <v>0</v>
      </c>
      <c r="R2011" t="s">
        <v>1124</v>
      </c>
    </row>
    <row r="2012" spans="1:19" hidden="1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45473</v>
      </c>
      <c r="G2012">
        <v>2024</v>
      </c>
      <c r="H2012" t="s">
        <v>699</v>
      </c>
      <c r="I2012" t="s">
        <v>729</v>
      </c>
      <c r="J2012">
        <v>10</v>
      </c>
      <c r="K2012">
        <v>5.85</v>
      </c>
      <c r="L2012" s="39">
        <f t="shared" si="126"/>
        <v>1.3</v>
      </c>
      <c r="M2012" s="39">
        <f t="shared" si="127"/>
        <v>1.7094017094017095</v>
      </c>
      <c r="N2012" t="s">
        <v>25</v>
      </c>
      <c r="O2012" t="s">
        <v>25</v>
      </c>
      <c r="P2012">
        <v>0</v>
      </c>
      <c r="Q2012">
        <v>0</v>
      </c>
      <c r="R2012" t="s">
        <v>2854</v>
      </c>
    </row>
    <row r="2013" spans="1:19" hidden="1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45657</v>
      </c>
      <c r="G2013">
        <v>2024</v>
      </c>
      <c r="H2013" t="s">
        <v>23</v>
      </c>
      <c r="I2013" t="s">
        <v>30</v>
      </c>
      <c r="J2013">
        <v>10</v>
      </c>
      <c r="K2013">
        <v>6.02</v>
      </c>
      <c r="L2013" s="39">
        <f t="shared" si="126"/>
        <v>1.3</v>
      </c>
      <c r="M2013" s="39">
        <f t="shared" si="127"/>
        <v>1.6611295681063125</v>
      </c>
      <c r="N2013" t="s">
        <v>25</v>
      </c>
      <c r="O2013" t="s">
        <v>25</v>
      </c>
      <c r="P2013">
        <v>0</v>
      </c>
      <c r="Q2013">
        <v>0</v>
      </c>
      <c r="R2013" t="s">
        <v>1125</v>
      </c>
    </row>
    <row r="2014" spans="1:19" hidden="1" x14ac:dyDescent="0.3">
      <c r="A2014">
        <v>405</v>
      </c>
      <c r="B2014" t="s">
        <v>2855</v>
      </c>
      <c r="C2014" t="s">
        <v>1110</v>
      </c>
      <c r="D2014" t="s">
        <v>27</v>
      </c>
      <c r="E2014" t="s">
        <v>22</v>
      </c>
      <c r="F2014" s="79">
        <v>45107</v>
      </c>
      <c r="G2014">
        <v>2023</v>
      </c>
      <c r="H2014" t="s">
        <v>699</v>
      </c>
      <c r="I2014" t="s">
        <v>1512</v>
      </c>
      <c r="J2014">
        <v>25</v>
      </c>
      <c r="K2014">
        <v>30</v>
      </c>
      <c r="L2014" s="39">
        <f t="shared" si="126"/>
        <v>1.2</v>
      </c>
      <c r="M2014" s="39">
        <f t="shared" si="127"/>
        <v>1.2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hidden="1" x14ac:dyDescent="0.3">
      <c r="A2015">
        <v>405</v>
      </c>
      <c r="B2015" t="s">
        <v>2855</v>
      </c>
      <c r="C2015" t="s">
        <v>1110</v>
      </c>
      <c r="D2015" t="s">
        <v>27</v>
      </c>
      <c r="E2015" t="s">
        <v>22</v>
      </c>
      <c r="F2015" s="79">
        <v>45291</v>
      </c>
      <c r="G2015">
        <v>2023</v>
      </c>
      <c r="H2015" t="s">
        <v>23</v>
      </c>
      <c r="I2015" t="s">
        <v>28</v>
      </c>
      <c r="J2015">
        <v>50</v>
      </c>
      <c r="K2015">
        <v>62</v>
      </c>
      <c r="L2015" s="39">
        <f t="shared" si="126"/>
        <v>1.24</v>
      </c>
      <c r="M2015" s="39">
        <f t="shared" si="127"/>
        <v>1.24</v>
      </c>
      <c r="N2015" t="s">
        <v>25</v>
      </c>
      <c r="O2015" t="s">
        <v>25</v>
      </c>
      <c r="P2015">
        <v>0</v>
      </c>
      <c r="Q2015">
        <v>0</v>
      </c>
      <c r="R2015" t="s">
        <v>1127</v>
      </c>
    </row>
    <row r="2016" spans="1:19" hidden="1" x14ac:dyDescent="0.3">
      <c r="A2016">
        <v>405</v>
      </c>
      <c r="B2016" t="s">
        <v>1126</v>
      </c>
      <c r="C2016" t="s">
        <v>1110</v>
      </c>
      <c r="D2016" t="s">
        <v>27</v>
      </c>
      <c r="E2016" t="s">
        <v>22</v>
      </c>
      <c r="F2016" s="79">
        <v>45473</v>
      </c>
      <c r="G2016">
        <v>2024</v>
      </c>
      <c r="H2016" t="s">
        <v>699</v>
      </c>
      <c r="I2016" t="s">
        <v>729</v>
      </c>
      <c r="J2016">
        <v>100</v>
      </c>
      <c r="K2016">
        <v>92</v>
      </c>
      <c r="L2016" s="39">
        <f t="shared" si="126"/>
        <v>0.92</v>
      </c>
      <c r="M2016" s="39">
        <f t="shared" si="127"/>
        <v>0.92</v>
      </c>
      <c r="N2016" t="s">
        <v>25</v>
      </c>
      <c r="O2016" t="s">
        <v>25</v>
      </c>
      <c r="P2016">
        <v>0</v>
      </c>
      <c r="Q2016">
        <v>0</v>
      </c>
      <c r="R2016" t="s">
        <v>2857</v>
      </c>
    </row>
    <row r="2017" spans="1:19" hidden="1" x14ac:dyDescent="0.3">
      <c r="A2017">
        <v>405</v>
      </c>
      <c r="B2017" t="s">
        <v>1126</v>
      </c>
      <c r="C2017" t="s">
        <v>1110</v>
      </c>
      <c r="D2017" t="s">
        <v>27</v>
      </c>
      <c r="E2017" t="s">
        <v>22</v>
      </c>
      <c r="F2017" s="79">
        <v>45657</v>
      </c>
      <c r="G2017">
        <v>2024</v>
      </c>
      <c r="H2017" t="s">
        <v>23</v>
      </c>
      <c r="I2017" t="s">
        <v>30</v>
      </c>
      <c r="J2017">
        <v>100</v>
      </c>
      <c r="K2017">
        <v>98</v>
      </c>
      <c r="L2017" s="39">
        <f t="shared" si="126"/>
        <v>0.98</v>
      </c>
      <c r="M2017" s="39">
        <f t="shared" si="127"/>
        <v>0.98</v>
      </c>
      <c r="N2017" t="s">
        <v>25</v>
      </c>
      <c r="O2017" t="s">
        <v>25</v>
      </c>
      <c r="P2017">
        <v>0</v>
      </c>
      <c r="Q2017">
        <v>0</v>
      </c>
      <c r="R2017" t="s">
        <v>1128</v>
      </c>
    </row>
    <row r="2018" spans="1:19" hidden="1" x14ac:dyDescent="0.3">
      <c r="A2018">
        <v>406</v>
      </c>
      <c r="B2018" t="s">
        <v>1129</v>
      </c>
      <c r="C2018" t="s">
        <v>819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5</v>
      </c>
      <c r="K2018">
        <v>5</v>
      </c>
      <c r="L2018" s="39">
        <f t="shared" si="126"/>
        <v>1</v>
      </c>
      <c r="M2018" s="39">
        <f t="shared" si="127"/>
        <v>1</v>
      </c>
      <c r="N2018" t="s">
        <v>25</v>
      </c>
      <c r="O2018" t="s">
        <v>25</v>
      </c>
      <c r="P2018">
        <v>0</v>
      </c>
      <c r="Q2018">
        <v>0</v>
      </c>
      <c r="R2018" t="s">
        <v>1130</v>
      </c>
    </row>
    <row r="2019" spans="1:19" hidden="1" x14ac:dyDescent="0.3">
      <c r="A2019">
        <v>406</v>
      </c>
      <c r="B2019" t="s">
        <v>1129</v>
      </c>
      <c r="C2019" t="s">
        <v>819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0</v>
      </c>
      <c r="K2019">
        <v>3</v>
      </c>
      <c r="L2019" s="39" t="str">
        <f t="shared" si="126"/>
        <v/>
      </c>
      <c r="M2019" s="39" t="str">
        <f t="shared" si="127"/>
        <v/>
      </c>
      <c r="N2019" t="s">
        <v>128</v>
      </c>
      <c r="O2019" t="s">
        <v>128</v>
      </c>
      <c r="P2019">
        <v>0</v>
      </c>
      <c r="Q2019">
        <v>0</v>
      </c>
      <c r="R2019" t="s">
        <v>2858</v>
      </c>
    </row>
    <row r="2020" spans="1:19" hidden="1" x14ac:dyDescent="0.3">
      <c r="A2020">
        <v>407</v>
      </c>
      <c r="B2020" t="s">
        <v>1132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3</v>
      </c>
      <c r="K2020">
        <v>3</v>
      </c>
      <c r="L2020" s="39">
        <f t="shared" si="126"/>
        <v>1</v>
      </c>
      <c r="M2020" s="39">
        <f t="shared" si="127"/>
        <v>1</v>
      </c>
      <c r="N2020" t="s">
        <v>128</v>
      </c>
      <c r="O2020" t="s">
        <v>128</v>
      </c>
      <c r="P2020">
        <v>0</v>
      </c>
      <c r="Q2020">
        <v>0</v>
      </c>
      <c r="R2020" t="s">
        <v>1133</v>
      </c>
    </row>
    <row r="2021" spans="1:19" hidden="1" x14ac:dyDescent="0.3">
      <c r="A2021">
        <v>408</v>
      </c>
      <c r="B2021" t="s">
        <v>1135</v>
      </c>
      <c r="C2021" t="s">
        <v>819</v>
      </c>
      <c r="D2021" t="s">
        <v>21</v>
      </c>
      <c r="E2021" t="s">
        <v>22</v>
      </c>
      <c r="F2021" s="79">
        <v>45107</v>
      </c>
      <c r="G2021">
        <v>2023</v>
      </c>
      <c r="H2021" t="s">
        <v>699</v>
      </c>
      <c r="I2021" t="s">
        <v>1512</v>
      </c>
      <c r="J2021">
        <v>100</v>
      </c>
      <c r="L2021" s="39"/>
      <c r="M2021" s="39"/>
      <c r="N2021" t="s">
        <v>128</v>
      </c>
      <c r="O2021" t="s">
        <v>302</v>
      </c>
      <c r="P2021">
        <v>0</v>
      </c>
      <c r="Q2021">
        <v>0</v>
      </c>
      <c r="R2021" t="s">
        <v>2859</v>
      </c>
      <c r="S2021" t="s">
        <v>302</v>
      </c>
    </row>
    <row r="2022" spans="1:19" hidden="1" x14ac:dyDescent="0.3">
      <c r="A2022">
        <v>408</v>
      </c>
      <c r="B2022" t="s">
        <v>1135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100</v>
      </c>
      <c r="K2022">
        <v>100</v>
      </c>
      <c r="L2022" s="39">
        <f>IFERROR(IF(OR(J2022=0,K2022=""),"",IF(E2022="Positivo",MIN(MAX(K2022/J2022,0),1.3),MIN(MAX(J2022/K2022,0),1.3))),"")</f>
        <v>1</v>
      </c>
      <c r="M2022" s="39">
        <f>IFERROR(IF(OR(J2022=0,K2022=""),"",IF(E2022="Positivo",MAX(K2022/J2022,0),MAX(J2022/K2022,0))),"")</f>
        <v>1</v>
      </c>
      <c r="N2022" t="s">
        <v>128</v>
      </c>
      <c r="O2022" t="s">
        <v>128</v>
      </c>
      <c r="P2022">
        <v>0</v>
      </c>
      <c r="Q2022">
        <v>0</v>
      </c>
      <c r="R2022" t="s">
        <v>1136</v>
      </c>
    </row>
    <row r="2023" spans="1:19" hidden="1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45473</v>
      </c>
      <c r="G2023">
        <v>2024</v>
      </c>
      <c r="H2023" t="s">
        <v>699</v>
      </c>
      <c r="I2023" t="s">
        <v>729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2860</v>
      </c>
      <c r="S2023" t="s">
        <v>302</v>
      </c>
    </row>
    <row r="2024" spans="1:19" hidden="1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45657</v>
      </c>
      <c r="G2024">
        <v>2024</v>
      </c>
      <c r="H2024" t="s">
        <v>23</v>
      </c>
      <c r="I2024" t="s">
        <v>30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1137</v>
      </c>
    </row>
    <row r="2025" spans="1:19" hidden="1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45838</v>
      </c>
      <c r="G2025">
        <v>2025</v>
      </c>
      <c r="H2025" t="s">
        <v>699</v>
      </c>
      <c r="I2025" t="s">
        <v>700</v>
      </c>
      <c r="J2025">
        <v>100</v>
      </c>
      <c r="K2025">
        <v>100</v>
      </c>
      <c r="L2025" s="39">
        <f>IFERROR(IF(OR(J2025=0,K2025=""),"",IF(E2025="Positivo",MIN(MAX(K2025/J2025,0),1.3),MIN(MAX(J2025/K2025,0),1.3))),"")</f>
        <v>1</v>
      </c>
      <c r="M2025" s="39">
        <f>IFERROR(IF(OR(J2025=0,K2025=""),"",IF(E2025="Positivo",MAX(K2025/J2025,0),MAX(J2025/K2025,0))),"")</f>
        <v>1</v>
      </c>
      <c r="N2025" t="s">
        <v>128</v>
      </c>
      <c r="O2025" t="s">
        <v>128</v>
      </c>
      <c r="P2025">
        <v>0</v>
      </c>
      <c r="Q2025">
        <v>0</v>
      </c>
      <c r="R2025" t="s">
        <v>2861</v>
      </c>
    </row>
    <row r="2026" spans="1:19" hidden="1" x14ac:dyDescent="0.3">
      <c r="A2026">
        <v>408</v>
      </c>
      <c r="B2026" t="s">
        <v>1135</v>
      </c>
      <c r="C2026" t="s">
        <v>819</v>
      </c>
      <c r="D2026" t="s">
        <v>21</v>
      </c>
      <c r="E2026" t="s">
        <v>22</v>
      </c>
      <c r="F2026" s="79">
        <v>46022</v>
      </c>
      <c r="G2026">
        <v>2025</v>
      </c>
      <c r="H2026" t="s">
        <v>23</v>
      </c>
      <c r="I2026" t="s">
        <v>32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1138</v>
      </c>
    </row>
    <row r="2027" spans="1:19" hidden="1" x14ac:dyDescent="0.3">
      <c r="A2027">
        <v>409</v>
      </c>
      <c r="B2027" t="s">
        <v>1139</v>
      </c>
      <c r="C2027" t="s">
        <v>595</v>
      </c>
      <c r="D2027" t="s">
        <v>27</v>
      </c>
      <c r="E2027" t="s">
        <v>22</v>
      </c>
      <c r="F2027" s="79">
        <v>45107</v>
      </c>
      <c r="G2027">
        <v>2023</v>
      </c>
      <c r="H2027" t="s">
        <v>699</v>
      </c>
      <c r="I2027" t="s">
        <v>1512</v>
      </c>
      <c r="L2027" s="39"/>
      <c r="M2027" s="39"/>
      <c r="N2027" t="s">
        <v>25</v>
      </c>
      <c r="O2027" t="s">
        <v>302</v>
      </c>
      <c r="P2027">
        <v>0</v>
      </c>
      <c r="Q2027">
        <v>0</v>
      </c>
      <c r="R2027" t="s">
        <v>2862</v>
      </c>
      <c r="S2027" t="s">
        <v>302</v>
      </c>
    </row>
    <row r="2028" spans="1:19" hidden="1" x14ac:dyDescent="0.3">
      <c r="A2028">
        <v>409</v>
      </c>
      <c r="B2028" t="s">
        <v>1139</v>
      </c>
      <c r="C2028" t="s">
        <v>595</v>
      </c>
      <c r="D2028" t="s">
        <v>21</v>
      </c>
      <c r="E2028" t="s">
        <v>22</v>
      </c>
      <c r="F2028" s="79">
        <v>45199</v>
      </c>
      <c r="G2028">
        <v>2023</v>
      </c>
      <c r="H2028" t="s">
        <v>162</v>
      </c>
      <c r="I2028" t="s">
        <v>28</v>
      </c>
      <c r="J2028">
        <v>80</v>
      </c>
      <c r="K2028">
        <v>103.71885459278541</v>
      </c>
      <c r="L2028" s="39">
        <f t="shared" ref="L2028:L2034" si="128">IFERROR(IF(OR(J2028=0,K2028=""),"",IF(E2028="Positivo",MIN(MAX(K2028/J2028,0),1.3),MIN(MAX(J2028/K2028,0),1.3))),"")</f>
        <v>1.2964856824098177</v>
      </c>
      <c r="M2028" s="39">
        <f t="shared" ref="M2028:M2034" si="129">IFERROR(IF(OR(J2028=0,K2028=""),"",IF(E2028="Positivo",MAX(K2028/J2028,0),MAX(J2028/K2028,0))),"")</f>
        <v>1.2964856824098177</v>
      </c>
      <c r="N2028" t="s">
        <v>25</v>
      </c>
      <c r="O2028" t="s">
        <v>25</v>
      </c>
      <c r="P2028">
        <v>0</v>
      </c>
      <c r="Q2028">
        <v>0</v>
      </c>
      <c r="R2028" t="s">
        <v>2863</v>
      </c>
    </row>
    <row r="2029" spans="1:19" hidden="1" x14ac:dyDescent="0.3">
      <c r="A2029">
        <v>409</v>
      </c>
      <c r="B2029" t="s">
        <v>1139</v>
      </c>
      <c r="C2029" t="s">
        <v>595</v>
      </c>
      <c r="D2029" t="s">
        <v>21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80</v>
      </c>
      <c r="K2029">
        <v>100</v>
      </c>
      <c r="L2029" s="39">
        <f t="shared" si="128"/>
        <v>1.25</v>
      </c>
      <c r="M2029" s="39">
        <f t="shared" si="129"/>
        <v>1.25</v>
      </c>
      <c r="N2029" t="s">
        <v>25</v>
      </c>
      <c r="O2029" t="s">
        <v>25</v>
      </c>
      <c r="P2029">
        <v>0</v>
      </c>
      <c r="Q2029">
        <v>0</v>
      </c>
      <c r="R2029" t="s">
        <v>1140</v>
      </c>
    </row>
    <row r="2030" spans="1:19" hidden="1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45382</v>
      </c>
      <c r="G2030">
        <v>2024</v>
      </c>
      <c r="H2030" t="s">
        <v>1516</v>
      </c>
      <c r="I2030" t="s">
        <v>729</v>
      </c>
      <c r="J2030">
        <v>95</v>
      </c>
      <c r="K2030">
        <v>98.022598870056498</v>
      </c>
      <c r="L2030" s="39">
        <f t="shared" si="128"/>
        <v>1.031816830211121</v>
      </c>
      <c r="M2030" s="39">
        <f t="shared" si="129"/>
        <v>1.031816830211121</v>
      </c>
      <c r="N2030" t="s">
        <v>25</v>
      </c>
      <c r="O2030" t="s">
        <v>25</v>
      </c>
      <c r="P2030">
        <v>0</v>
      </c>
      <c r="Q2030">
        <v>0</v>
      </c>
      <c r="R2030" t="s">
        <v>2864</v>
      </c>
    </row>
    <row r="2031" spans="1:19" hidden="1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95</v>
      </c>
      <c r="K2031">
        <v>98.496240601503757</v>
      </c>
      <c r="L2031" s="39">
        <f t="shared" si="128"/>
        <v>1.036802532647408</v>
      </c>
      <c r="M2031" s="39">
        <f t="shared" si="129"/>
        <v>1.036802532647408</v>
      </c>
      <c r="N2031" t="s">
        <v>25</v>
      </c>
      <c r="O2031" t="s">
        <v>25</v>
      </c>
      <c r="P2031">
        <v>0</v>
      </c>
      <c r="Q2031">
        <v>0</v>
      </c>
      <c r="R2031" t="s">
        <v>2865</v>
      </c>
    </row>
    <row r="2032" spans="1:19" hidden="1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45565</v>
      </c>
      <c r="G2032">
        <v>2024</v>
      </c>
      <c r="H2032" t="s">
        <v>162</v>
      </c>
      <c r="I2032" t="s">
        <v>30</v>
      </c>
      <c r="J2032">
        <v>95</v>
      </c>
      <c r="K2032">
        <v>97.122302158273357</v>
      </c>
      <c r="L2032" s="39">
        <f t="shared" si="128"/>
        <v>1.022340022718667</v>
      </c>
      <c r="M2032" s="39">
        <f t="shared" si="129"/>
        <v>1.022340022718667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hidden="1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45657</v>
      </c>
      <c r="G2033">
        <v>2024</v>
      </c>
      <c r="H2033" t="s">
        <v>23</v>
      </c>
      <c r="I2033" t="s">
        <v>30</v>
      </c>
      <c r="J2033">
        <v>95</v>
      </c>
      <c r="K2033">
        <v>96.457326892109478</v>
      </c>
      <c r="L2033" s="39">
        <f t="shared" si="128"/>
        <v>1.0153402830748366</v>
      </c>
      <c r="M2033" s="39">
        <f t="shared" si="129"/>
        <v>1.0153402830748366</v>
      </c>
      <c r="N2033" t="s">
        <v>25</v>
      </c>
      <c r="O2033" t="s">
        <v>25</v>
      </c>
      <c r="P2033">
        <v>0</v>
      </c>
      <c r="Q2033">
        <v>0</v>
      </c>
      <c r="R2033" t="s">
        <v>1141</v>
      </c>
    </row>
    <row r="2034" spans="1:19" hidden="1" x14ac:dyDescent="0.3">
      <c r="A2034">
        <v>409</v>
      </c>
      <c r="B2034" t="s">
        <v>1139</v>
      </c>
      <c r="C2034" t="s">
        <v>595</v>
      </c>
      <c r="D2034" t="s">
        <v>27</v>
      </c>
      <c r="E2034" t="s">
        <v>22</v>
      </c>
      <c r="F2034" s="79">
        <v>45747</v>
      </c>
      <c r="G2034">
        <v>2025</v>
      </c>
      <c r="H2034" t="s">
        <v>1516</v>
      </c>
      <c r="I2034" t="s">
        <v>700</v>
      </c>
      <c r="J2034">
        <v>95</v>
      </c>
      <c r="K2034">
        <v>100</v>
      </c>
      <c r="L2034" s="39">
        <f t="shared" si="128"/>
        <v>1.0526315789473684</v>
      </c>
      <c r="M2034" s="39">
        <f t="shared" si="129"/>
        <v>1.0526315789473684</v>
      </c>
      <c r="N2034" t="s">
        <v>25</v>
      </c>
      <c r="O2034" t="s">
        <v>25</v>
      </c>
      <c r="P2034">
        <v>0</v>
      </c>
      <c r="Q2034">
        <v>0</v>
      </c>
      <c r="R2034" t="s">
        <v>2867</v>
      </c>
    </row>
    <row r="2035" spans="1:19" hidden="1" x14ac:dyDescent="0.3">
      <c r="A2035">
        <v>409</v>
      </c>
      <c r="B2035" t="s">
        <v>1139</v>
      </c>
      <c r="C2035" t="s">
        <v>595</v>
      </c>
      <c r="D2035" t="s">
        <v>27</v>
      </c>
      <c r="E2035" t="s">
        <v>22</v>
      </c>
      <c r="F2035" s="79">
        <v>45838</v>
      </c>
      <c r="G2035">
        <v>2025</v>
      </c>
      <c r="H2035" t="s">
        <v>699</v>
      </c>
      <c r="I2035" t="s">
        <v>700</v>
      </c>
      <c r="J2035">
        <v>95</v>
      </c>
      <c r="L2035" s="39"/>
      <c r="M2035" s="39"/>
      <c r="N2035" t="s">
        <v>25</v>
      </c>
      <c r="O2035" t="s">
        <v>302</v>
      </c>
      <c r="P2035">
        <v>0</v>
      </c>
      <c r="Q2035">
        <v>0</v>
      </c>
      <c r="R2035" t="s">
        <v>1142</v>
      </c>
      <c r="S2035" t="s">
        <v>302</v>
      </c>
    </row>
    <row r="2036" spans="1:19" hidden="1" x14ac:dyDescent="0.3">
      <c r="A2036">
        <v>410</v>
      </c>
      <c r="B2036" t="s">
        <v>1143</v>
      </c>
      <c r="C2036" t="s">
        <v>595</v>
      </c>
      <c r="D2036" t="s">
        <v>21</v>
      </c>
      <c r="E2036" t="s">
        <v>22</v>
      </c>
      <c r="F2036" s="79">
        <v>45199</v>
      </c>
      <c r="G2036">
        <v>2023</v>
      </c>
      <c r="H2036" t="s">
        <v>162</v>
      </c>
      <c r="I2036" t="s">
        <v>28</v>
      </c>
      <c r="J2036">
        <v>90</v>
      </c>
      <c r="K2036">
        <v>90.31</v>
      </c>
      <c r="L2036" s="39">
        <f>IFERROR(IF(OR(J2036=0,K2036=""),"",IF(E2036="Positivo",MIN(MAX(K2036/J2036,0),1.3),MIN(MAX(J2036/K2036,0),1.3))),"")</f>
        <v>1.0034444444444444</v>
      </c>
      <c r="M2036" s="39">
        <f>IFERROR(IF(OR(J2036=0,K2036=""),"",IF(E2036="Positivo",MAX(K2036/J2036,0),MAX(J2036/K2036,0))),"")</f>
        <v>1.0034444444444444</v>
      </c>
      <c r="N2036" t="s">
        <v>25</v>
      </c>
      <c r="O2036" t="s">
        <v>25</v>
      </c>
      <c r="P2036">
        <v>0</v>
      </c>
      <c r="Q2036">
        <v>0</v>
      </c>
      <c r="R2036" t="s">
        <v>2868</v>
      </c>
    </row>
    <row r="2037" spans="1:19" hidden="1" x14ac:dyDescent="0.3">
      <c r="A2037">
        <v>411</v>
      </c>
      <c r="B2037" t="s">
        <v>1145</v>
      </c>
      <c r="C2037" t="s">
        <v>1078</v>
      </c>
      <c r="D2037" t="s">
        <v>27</v>
      </c>
      <c r="E2037" t="s">
        <v>22</v>
      </c>
      <c r="F2037" s="79">
        <v>45291</v>
      </c>
      <c r="G2037">
        <v>2023</v>
      </c>
      <c r="H2037" t="s">
        <v>23</v>
      </c>
      <c r="I2037" t="s">
        <v>28</v>
      </c>
      <c r="J2037">
        <v>100</v>
      </c>
      <c r="K2037">
        <v>100</v>
      </c>
      <c r="L2037" s="39">
        <f>IFERROR(IF(OR(J2037=0,K2037=""),"",IF(E2037="Positivo",MIN(MAX(K2037/J2037,0),1.3),MIN(MAX(J2037/K2037,0),1.3))),"")</f>
        <v>1</v>
      </c>
      <c r="M2037" s="39">
        <f>IFERROR(IF(OR(J2037=0,K2037=""),"",IF(E2037="Positivo",MAX(K2037/J2037,0),MAX(J2037/K2037,0))),"")</f>
        <v>1</v>
      </c>
      <c r="N2037" t="s">
        <v>25</v>
      </c>
      <c r="O2037" t="s">
        <v>25</v>
      </c>
      <c r="P2037">
        <v>0</v>
      </c>
      <c r="Q2037">
        <v>0</v>
      </c>
      <c r="R2037" t="s">
        <v>1146</v>
      </c>
    </row>
    <row r="2038" spans="1:19" hidden="1" x14ac:dyDescent="0.3">
      <c r="A2038">
        <v>412</v>
      </c>
      <c r="B2038" t="s">
        <v>1147</v>
      </c>
      <c r="C2038" t="s">
        <v>1078</v>
      </c>
      <c r="D2038" t="s">
        <v>71</v>
      </c>
      <c r="E2038" t="s">
        <v>22</v>
      </c>
      <c r="F2038" s="79">
        <v>45291</v>
      </c>
      <c r="G2038">
        <v>2023</v>
      </c>
      <c r="H2038" t="s">
        <v>23</v>
      </c>
      <c r="I2038" t="s">
        <v>28</v>
      </c>
      <c r="J2038">
        <v>100</v>
      </c>
      <c r="K2038">
        <v>100</v>
      </c>
      <c r="L2038" s="39">
        <f>IFERROR(IF(OR(J2038=0,K2038=""),"",IF(E2038="Positivo",MIN(MAX(K2038/J2038,0),1.3),MIN(MAX(J2038/K2038,0),1.3))),"")</f>
        <v>1</v>
      </c>
      <c r="M2038" s="39">
        <f>IFERROR(IF(OR(J2038=0,K2038=""),"",IF(E2038="Positivo",MAX(K2038/J2038,0),MAX(J2038/K2038,0))),"")</f>
        <v>1</v>
      </c>
      <c r="N2038" t="s">
        <v>25</v>
      </c>
      <c r="O2038" t="s">
        <v>25</v>
      </c>
      <c r="P2038">
        <v>0</v>
      </c>
      <c r="Q2038">
        <v>0</v>
      </c>
      <c r="R2038" t="s">
        <v>1148</v>
      </c>
    </row>
    <row r="2039" spans="1:19" hidden="1" x14ac:dyDescent="0.3">
      <c r="A2039">
        <v>412</v>
      </c>
      <c r="B2039" t="s">
        <v>1149</v>
      </c>
      <c r="C2039" t="s">
        <v>1078</v>
      </c>
      <c r="D2039" t="s">
        <v>71</v>
      </c>
      <c r="E2039" t="s">
        <v>22</v>
      </c>
      <c r="F2039" s="79">
        <v>45657</v>
      </c>
      <c r="G2039">
        <v>2024</v>
      </c>
      <c r="H2039" t="s">
        <v>23</v>
      </c>
      <c r="I2039" t="s">
        <v>30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1150</v>
      </c>
    </row>
    <row r="2040" spans="1:19" hidden="1" x14ac:dyDescent="0.3">
      <c r="A2040">
        <v>413</v>
      </c>
      <c r="B2040" t="s">
        <v>1151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K2040">
        <v>100</v>
      </c>
      <c r="L2040" s="39"/>
      <c r="M2040" s="39"/>
      <c r="N2040" t="s">
        <v>355</v>
      </c>
      <c r="O2040" t="s">
        <v>25</v>
      </c>
      <c r="P2040">
        <v>0</v>
      </c>
      <c r="Q2040">
        <v>0</v>
      </c>
      <c r="R2040" t="s">
        <v>1152</v>
      </c>
    </row>
    <row r="2041" spans="1:19" hidden="1" x14ac:dyDescent="0.3">
      <c r="A2041">
        <v>413</v>
      </c>
      <c r="B2041" t="s">
        <v>1153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 t="shared" ref="M2041:M2072" si="130">IFERROR(IF(OR(J2041=0,K2041=""),"",IF(E2041="Positivo",MAX(K2041/J2041,0),MAX(J2041/K2041,0))),"")</f>
        <v>1</v>
      </c>
      <c r="P2041">
        <v>0</v>
      </c>
      <c r="Q2041">
        <v>0</v>
      </c>
      <c r="R2041" t="s">
        <v>1154</v>
      </c>
    </row>
    <row r="2042" spans="1:19" hidden="1" x14ac:dyDescent="0.3">
      <c r="A2042">
        <v>413</v>
      </c>
      <c r="B2042" t="s">
        <v>1153</v>
      </c>
      <c r="C2042" t="s">
        <v>1078</v>
      </c>
      <c r="D2042" t="s">
        <v>71</v>
      </c>
      <c r="E2042" t="s">
        <v>22</v>
      </c>
      <c r="F2042" s="79">
        <v>46022</v>
      </c>
      <c r="G2042">
        <v>2025</v>
      </c>
      <c r="H2042" t="s">
        <v>23</v>
      </c>
      <c r="I2042" t="s">
        <v>32</v>
      </c>
      <c r="J2042">
        <v>100</v>
      </c>
      <c r="K2042">
        <v>100</v>
      </c>
      <c r="L2042" s="39">
        <f>IFERROR(IF(OR(J2042=0,K2042=""),"",IF(E2042="Positivo",MIN(MAX(K2042/J2042,0),1.3),MIN(MAX(J2042/K2042,0),1.3))),"")</f>
        <v>1</v>
      </c>
      <c r="M2042" s="39">
        <f t="shared" si="130"/>
        <v>1</v>
      </c>
      <c r="N2042" t="s">
        <v>355</v>
      </c>
      <c r="O2042" t="s">
        <v>128</v>
      </c>
      <c r="P2042">
        <v>0</v>
      </c>
      <c r="Q2042">
        <v>0</v>
      </c>
      <c r="R2042" t="s">
        <v>1155</v>
      </c>
    </row>
    <row r="2043" spans="1:19" hidden="1" x14ac:dyDescent="0.3">
      <c r="A2043">
        <v>414</v>
      </c>
      <c r="B2043" t="s">
        <v>1156</v>
      </c>
      <c r="C2043" t="s">
        <v>567</v>
      </c>
      <c r="D2043" t="s">
        <v>27</v>
      </c>
      <c r="E2043" t="s">
        <v>22</v>
      </c>
      <c r="F2043" s="79">
        <v>45016</v>
      </c>
      <c r="G2043">
        <v>2023</v>
      </c>
      <c r="H2043" t="s">
        <v>1516</v>
      </c>
      <c r="I2043" t="s">
        <v>1512</v>
      </c>
      <c r="J2043">
        <v>100</v>
      </c>
      <c r="K2043">
        <v>0</v>
      </c>
      <c r="L2043" s="39">
        <f t="shared" ref="L2043:L2074" si="131">IFERROR(IF(OR(J2043=0,K2043=""),"",IF(E2043="Positivo",MIN(MAX(K2043/J2043,0),1),MIN(MAX(J2043/K2043,0),1))),"")</f>
        <v>0</v>
      </c>
      <c r="M2043" s="39">
        <f t="shared" si="130"/>
        <v>0</v>
      </c>
      <c r="N2043" t="s">
        <v>25</v>
      </c>
      <c r="O2043" t="s">
        <v>25</v>
      </c>
      <c r="P2043">
        <v>0</v>
      </c>
      <c r="Q2043">
        <v>0</v>
      </c>
      <c r="R2043" t="s">
        <v>2869</v>
      </c>
    </row>
    <row r="2044" spans="1:19" hidden="1" x14ac:dyDescent="0.3">
      <c r="A2044">
        <v>414</v>
      </c>
      <c r="B2044" t="s">
        <v>1156</v>
      </c>
      <c r="D2044" t="s">
        <v>21</v>
      </c>
      <c r="E2044" t="s">
        <v>22</v>
      </c>
      <c r="F2044" s="79">
        <v>45107</v>
      </c>
      <c r="G2044">
        <v>2023</v>
      </c>
      <c r="H2044" t="s">
        <v>699</v>
      </c>
      <c r="I2044" t="s">
        <v>1512</v>
      </c>
      <c r="J2044">
        <v>100</v>
      </c>
      <c r="K2044">
        <v>110.01</v>
      </c>
      <c r="L2044" s="39">
        <f t="shared" si="131"/>
        <v>1</v>
      </c>
      <c r="M2044" s="39">
        <f t="shared" si="130"/>
        <v>1.1001000000000001</v>
      </c>
      <c r="P2044">
        <v>0</v>
      </c>
      <c r="Q2044">
        <v>0</v>
      </c>
      <c r="R2044" t="s">
        <v>2870</v>
      </c>
    </row>
    <row r="2045" spans="1:19" hidden="1" x14ac:dyDescent="0.3">
      <c r="A2045">
        <v>414</v>
      </c>
      <c r="B2045" t="s">
        <v>1156</v>
      </c>
      <c r="D2045" t="s">
        <v>21</v>
      </c>
      <c r="E2045" t="s">
        <v>22</v>
      </c>
      <c r="F2045" s="79">
        <v>45199</v>
      </c>
      <c r="G2045">
        <v>2023</v>
      </c>
      <c r="H2045" t="s">
        <v>162</v>
      </c>
      <c r="I2045" t="s">
        <v>28</v>
      </c>
      <c r="J2045">
        <v>100</v>
      </c>
      <c r="K2045">
        <v>93.54</v>
      </c>
      <c r="L2045" s="39">
        <f t="shared" si="131"/>
        <v>0.93540000000000001</v>
      </c>
      <c r="M2045" s="39">
        <f t="shared" si="130"/>
        <v>0.93540000000000001</v>
      </c>
      <c r="P2045">
        <v>0</v>
      </c>
      <c r="Q2045">
        <v>0</v>
      </c>
      <c r="R2045" t="s">
        <v>2871</v>
      </c>
    </row>
    <row r="2046" spans="1:19" hidden="1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45291</v>
      </c>
      <c r="G2046">
        <v>2023</v>
      </c>
      <c r="H2046" t="s">
        <v>23</v>
      </c>
      <c r="I2046" t="s">
        <v>28</v>
      </c>
      <c r="J2046">
        <v>100</v>
      </c>
      <c r="K2046">
        <v>96.28</v>
      </c>
      <c r="L2046" s="39">
        <f t="shared" si="131"/>
        <v>0.96279999999999999</v>
      </c>
      <c r="M2046" s="39">
        <f t="shared" si="130"/>
        <v>0.96279999999999999</v>
      </c>
      <c r="P2046">
        <v>0</v>
      </c>
      <c r="Q2046">
        <v>0</v>
      </c>
      <c r="R2046" t="s">
        <v>1157</v>
      </c>
    </row>
    <row r="2047" spans="1:19" hidden="1" x14ac:dyDescent="0.3">
      <c r="A2047">
        <v>414</v>
      </c>
      <c r="B2047" t="s">
        <v>1156</v>
      </c>
      <c r="C2047" t="s">
        <v>567</v>
      </c>
      <c r="D2047" t="s">
        <v>21</v>
      </c>
      <c r="E2047" t="s">
        <v>22</v>
      </c>
      <c r="F2047" s="79">
        <v>45382</v>
      </c>
      <c r="G2047">
        <v>2024</v>
      </c>
      <c r="H2047" t="s">
        <v>1516</v>
      </c>
      <c r="I2047" t="s">
        <v>729</v>
      </c>
      <c r="J2047">
        <v>100</v>
      </c>
      <c r="K2047">
        <v>99.3</v>
      </c>
      <c r="L2047" s="39">
        <f t="shared" si="131"/>
        <v>0.99299999999999999</v>
      </c>
      <c r="M2047" s="39">
        <f t="shared" si="130"/>
        <v>0.99299999999999999</v>
      </c>
      <c r="P2047">
        <v>0</v>
      </c>
      <c r="Q2047">
        <v>0</v>
      </c>
      <c r="R2047" t="s">
        <v>2872</v>
      </c>
    </row>
    <row r="2048" spans="1:19" hidden="1" x14ac:dyDescent="0.3">
      <c r="A2048">
        <v>414</v>
      </c>
      <c r="B2048" t="s">
        <v>1156</v>
      </c>
      <c r="C2048" t="s">
        <v>567</v>
      </c>
      <c r="D2048" t="s">
        <v>21</v>
      </c>
      <c r="E2048" t="s">
        <v>22</v>
      </c>
      <c r="F2048" s="79">
        <v>45473</v>
      </c>
      <c r="G2048">
        <v>2024</v>
      </c>
      <c r="H2048" t="s">
        <v>699</v>
      </c>
      <c r="I2048" t="s">
        <v>729</v>
      </c>
      <c r="J2048">
        <v>100</v>
      </c>
      <c r="K2048">
        <v>100.06</v>
      </c>
      <c r="L2048" s="39">
        <f t="shared" si="131"/>
        <v>1</v>
      </c>
      <c r="M2048" s="39">
        <f t="shared" si="130"/>
        <v>1.0005999999999999</v>
      </c>
      <c r="P2048">
        <v>0</v>
      </c>
      <c r="Q2048">
        <v>0</v>
      </c>
      <c r="R2048" t="s">
        <v>2873</v>
      </c>
    </row>
    <row r="2049" spans="1:18" hidden="1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45565</v>
      </c>
      <c r="G2049">
        <v>2024</v>
      </c>
      <c r="H2049" t="s">
        <v>162</v>
      </c>
      <c r="I2049" t="s">
        <v>30</v>
      </c>
      <c r="J2049">
        <v>100</v>
      </c>
      <c r="K2049">
        <v>99.38</v>
      </c>
      <c r="L2049" s="39">
        <f t="shared" si="131"/>
        <v>0.99379999999999991</v>
      </c>
      <c r="M2049" s="39">
        <f t="shared" si="130"/>
        <v>0.99379999999999991</v>
      </c>
      <c r="P2049">
        <v>0</v>
      </c>
      <c r="Q2049">
        <v>0</v>
      </c>
      <c r="R2049" t="s">
        <v>2874</v>
      </c>
    </row>
    <row r="2050" spans="1:18" hidden="1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45657</v>
      </c>
      <c r="G2050">
        <v>2024</v>
      </c>
      <c r="H2050" t="s">
        <v>23</v>
      </c>
      <c r="I2050" t="s">
        <v>30</v>
      </c>
      <c r="J2050">
        <v>100</v>
      </c>
      <c r="K2050">
        <v>98.78</v>
      </c>
      <c r="L2050" s="39">
        <f t="shared" si="131"/>
        <v>0.98780000000000001</v>
      </c>
      <c r="M2050" s="39">
        <f t="shared" si="130"/>
        <v>0.98780000000000001</v>
      </c>
      <c r="P2050">
        <v>0</v>
      </c>
      <c r="Q2050">
        <v>0</v>
      </c>
      <c r="R2050" t="s">
        <v>1158</v>
      </c>
    </row>
    <row r="2051" spans="1:18" hidden="1" x14ac:dyDescent="0.3">
      <c r="A2051">
        <v>414</v>
      </c>
      <c r="B2051" t="s">
        <v>1156</v>
      </c>
      <c r="C2051" t="s">
        <v>567</v>
      </c>
      <c r="D2051" t="s">
        <v>27</v>
      </c>
      <c r="E2051" t="s">
        <v>22</v>
      </c>
      <c r="F2051" s="79">
        <v>45747</v>
      </c>
      <c r="G2051">
        <v>2025</v>
      </c>
      <c r="H2051" t="s">
        <v>1516</v>
      </c>
      <c r="I2051" t="s">
        <v>700</v>
      </c>
      <c r="J2051">
        <v>100</v>
      </c>
      <c r="K2051">
        <v>110.79</v>
      </c>
      <c r="L2051" s="39">
        <f t="shared" si="131"/>
        <v>1</v>
      </c>
      <c r="M2051" s="39">
        <f t="shared" si="130"/>
        <v>1.1079000000000001</v>
      </c>
      <c r="N2051" t="s">
        <v>25</v>
      </c>
      <c r="O2051" t="s">
        <v>25</v>
      </c>
      <c r="P2051">
        <v>0</v>
      </c>
      <c r="Q2051">
        <v>0</v>
      </c>
      <c r="R2051" t="s">
        <v>2875</v>
      </c>
    </row>
    <row r="2052" spans="1:18" hidden="1" x14ac:dyDescent="0.3">
      <c r="A2052">
        <v>414</v>
      </c>
      <c r="B2052" t="s">
        <v>1156</v>
      </c>
      <c r="C2052" t="s">
        <v>567</v>
      </c>
      <c r="D2052" t="s">
        <v>27</v>
      </c>
      <c r="E2052" t="s">
        <v>22</v>
      </c>
      <c r="F2052" s="79">
        <v>45838</v>
      </c>
      <c r="G2052">
        <v>2025</v>
      </c>
      <c r="H2052" t="s">
        <v>699</v>
      </c>
      <c r="I2052" t="s">
        <v>700</v>
      </c>
      <c r="J2052">
        <v>100</v>
      </c>
      <c r="K2052">
        <v>108.55</v>
      </c>
      <c r="L2052" s="39">
        <f t="shared" si="131"/>
        <v>1</v>
      </c>
      <c r="M2052" s="39">
        <f t="shared" si="130"/>
        <v>1.0854999999999999</v>
      </c>
      <c r="N2052" t="s">
        <v>25</v>
      </c>
      <c r="O2052" t="s">
        <v>25</v>
      </c>
      <c r="P2052">
        <v>0</v>
      </c>
      <c r="Q2052">
        <v>0</v>
      </c>
      <c r="R2052" t="s">
        <v>2876</v>
      </c>
    </row>
    <row r="2053" spans="1:18" hidden="1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45930</v>
      </c>
      <c r="G2053">
        <v>2025</v>
      </c>
      <c r="H2053" t="s">
        <v>162</v>
      </c>
      <c r="I2053" t="s">
        <v>32</v>
      </c>
      <c r="J2053">
        <v>100</v>
      </c>
      <c r="K2053">
        <v>93.6</v>
      </c>
      <c r="L2053" s="39">
        <f t="shared" si="131"/>
        <v>0.93599999999999994</v>
      </c>
      <c r="M2053" s="39">
        <f t="shared" si="130"/>
        <v>0.93599999999999994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hidden="1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46022</v>
      </c>
      <c r="G2054">
        <v>2025</v>
      </c>
      <c r="H2054" t="s">
        <v>23</v>
      </c>
      <c r="I2054" t="s">
        <v>32</v>
      </c>
      <c r="J2054">
        <v>100</v>
      </c>
      <c r="K2054">
        <v>98.87</v>
      </c>
      <c r="L2054" s="39">
        <f t="shared" si="131"/>
        <v>0.98870000000000002</v>
      </c>
      <c r="M2054" s="39">
        <f t="shared" si="130"/>
        <v>0.98870000000000002</v>
      </c>
      <c r="N2054" t="s">
        <v>25</v>
      </c>
      <c r="O2054" t="s">
        <v>25</v>
      </c>
      <c r="P2054">
        <v>0</v>
      </c>
      <c r="Q2054">
        <v>0</v>
      </c>
      <c r="R2054" t="s">
        <v>1159</v>
      </c>
    </row>
    <row r="2055" spans="1:18" hidden="1" x14ac:dyDescent="0.3">
      <c r="A2055">
        <v>415</v>
      </c>
      <c r="B2055" t="s">
        <v>1160</v>
      </c>
      <c r="C2055" t="s">
        <v>567</v>
      </c>
      <c r="D2055" t="s">
        <v>27</v>
      </c>
      <c r="E2055" t="s">
        <v>22</v>
      </c>
      <c r="F2055" s="79">
        <v>45016</v>
      </c>
      <c r="G2055">
        <v>2023</v>
      </c>
      <c r="H2055" t="s">
        <v>1516</v>
      </c>
      <c r="I2055" t="s">
        <v>1512</v>
      </c>
      <c r="J2055">
        <v>100</v>
      </c>
      <c r="K2055">
        <v>0</v>
      </c>
      <c r="L2055" s="39">
        <f t="shared" si="131"/>
        <v>0</v>
      </c>
      <c r="M2055" s="39">
        <f t="shared" si="130"/>
        <v>0</v>
      </c>
      <c r="N2055" t="s">
        <v>25</v>
      </c>
      <c r="O2055" t="s">
        <v>25</v>
      </c>
      <c r="P2055">
        <v>0</v>
      </c>
      <c r="Q2055">
        <v>0</v>
      </c>
      <c r="R2055" t="s">
        <v>2878</v>
      </c>
    </row>
    <row r="2056" spans="1:18" hidden="1" x14ac:dyDescent="0.3">
      <c r="A2056">
        <v>415</v>
      </c>
      <c r="B2056" t="s">
        <v>1160</v>
      </c>
      <c r="D2056" t="s">
        <v>21</v>
      </c>
      <c r="E2056" t="s">
        <v>22</v>
      </c>
      <c r="F2056" s="79">
        <v>45107</v>
      </c>
      <c r="G2056">
        <v>2023</v>
      </c>
      <c r="H2056" t="s">
        <v>699</v>
      </c>
      <c r="I2056" t="s">
        <v>1512</v>
      </c>
      <c r="J2056">
        <v>100</v>
      </c>
      <c r="K2056">
        <v>94.04</v>
      </c>
      <c r="L2056" s="39">
        <f t="shared" si="131"/>
        <v>0.94040000000000001</v>
      </c>
      <c r="M2056" s="39">
        <f t="shared" si="130"/>
        <v>0.94040000000000001</v>
      </c>
      <c r="P2056">
        <v>0</v>
      </c>
      <c r="Q2056">
        <v>0</v>
      </c>
      <c r="R2056" t="s">
        <v>2879</v>
      </c>
    </row>
    <row r="2057" spans="1:18" hidden="1" x14ac:dyDescent="0.3">
      <c r="A2057">
        <v>415</v>
      </c>
      <c r="B2057" t="s">
        <v>1160</v>
      </c>
      <c r="D2057" t="s">
        <v>21</v>
      </c>
      <c r="E2057" t="s">
        <v>22</v>
      </c>
      <c r="F2057" s="79">
        <v>45199</v>
      </c>
      <c r="G2057">
        <v>2023</v>
      </c>
      <c r="H2057" t="s">
        <v>162</v>
      </c>
      <c r="I2057" t="s">
        <v>28</v>
      </c>
      <c r="J2057">
        <v>100</v>
      </c>
      <c r="K2057">
        <v>93.94</v>
      </c>
      <c r="L2057" s="39">
        <f t="shared" si="131"/>
        <v>0.93940000000000001</v>
      </c>
      <c r="M2057" s="39">
        <f t="shared" si="130"/>
        <v>0.93940000000000001</v>
      </c>
      <c r="P2057">
        <v>0</v>
      </c>
      <c r="Q2057">
        <v>0</v>
      </c>
      <c r="R2057" t="s">
        <v>2880</v>
      </c>
    </row>
    <row r="2058" spans="1:18" hidden="1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45291</v>
      </c>
      <c r="G2058">
        <v>2023</v>
      </c>
      <c r="H2058" t="s">
        <v>23</v>
      </c>
      <c r="I2058" t="s">
        <v>28</v>
      </c>
      <c r="J2058">
        <v>100</v>
      </c>
      <c r="K2058">
        <v>96</v>
      </c>
      <c r="L2058" s="39">
        <f t="shared" si="131"/>
        <v>0.96</v>
      </c>
      <c r="M2058" s="39">
        <f t="shared" si="130"/>
        <v>0.96</v>
      </c>
      <c r="P2058">
        <v>0</v>
      </c>
      <c r="Q2058">
        <v>0</v>
      </c>
      <c r="R2058" t="s">
        <v>1161</v>
      </c>
    </row>
    <row r="2059" spans="1:18" hidden="1" x14ac:dyDescent="0.3">
      <c r="A2059">
        <v>415</v>
      </c>
      <c r="B2059" t="s">
        <v>1160</v>
      </c>
      <c r="C2059" t="s">
        <v>567</v>
      </c>
      <c r="D2059" t="s">
        <v>21</v>
      </c>
      <c r="E2059" t="s">
        <v>22</v>
      </c>
      <c r="F2059" s="79">
        <v>45382</v>
      </c>
      <c r="G2059">
        <v>2024</v>
      </c>
      <c r="H2059" t="s">
        <v>1516</v>
      </c>
      <c r="I2059" t="s">
        <v>729</v>
      </c>
      <c r="J2059">
        <v>100</v>
      </c>
      <c r="K2059">
        <v>80.790000000000006</v>
      </c>
      <c r="L2059" s="39">
        <f t="shared" si="131"/>
        <v>0.80790000000000006</v>
      </c>
      <c r="M2059" s="39">
        <f t="shared" si="130"/>
        <v>0.80790000000000006</v>
      </c>
      <c r="P2059">
        <v>0</v>
      </c>
      <c r="Q2059">
        <v>0</v>
      </c>
      <c r="R2059" t="s">
        <v>2881</v>
      </c>
    </row>
    <row r="2060" spans="1:18" hidden="1" x14ac:dyDescent="0.3">
      <c r="A2060">
        <v>415</v>
      </c>
      <c r="B2060" t="s">
        <v>1160</v>
      </c>
      <c r="C2060" t="s">
        <v>567</v>
      </c>
      <c r="D2060" t="s">
        <v>21</v>
      </c>
      <c r="E2060" t="s">
        <v>22</v>
      </c>
      <c r="F2060" s="79">
        <v>45473</v>
      </c>
      <c r="G2060">
        <v>2024</v>
      </c>
      <c r="H2060" t="s">
        <v>699</v>
      </c>
      <c r="I2060" t="s">
        <v>729</v>
      </c>
      <c r="J2060">
        <v>100</v>
      </c>
      <c r="K2060">
        <v>93.04</v>
      </c>
      <c r="L2060" s="39">
        <f t="shared" si="131"/>
        <v>0.93040000000000012</v>
      </c>
      <c r="M2060" s="39">
        <f t="shared" si="130"/>
        <v>0.93040000000000012</v>
      </c>
      <c r="P2060">
        <v>0</v>
      </c>
      <c r="Q2060">
        <v>0</v>
      </c>
      <c r="R2060" t="s">
        <v>2882</v>
      </c>
    </row>
    <row r="2061" spans="1:18" hidden="1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45565</v>
      </c>
      <c r="G2061">
        <v>2024</v>
      </c>
      <c r="H2061" t="s">
        <v>162</v>
      </c>
      <c r="I2061" t="s">
        <v>30</v>
      </c>
      <c r="J2061">
        <v>100</v>
      </c>
      <c r="K2061">
        <v>92.46</v>
      </c>
      <c r="L2061" s="39">
        <f t="shared" si="131"/>
        <v>0.92459999999999998</v>
      </c>
      <c r="M2061" s="39">
        <f t="shared" si="130"/>
        <v>0.92459999999999998</v>
      </c>
      <c r="P2061">
        <v>0</v>
      </c>
      <c r="Q2061">
        <v>0</v>
      </c>
      <c r="R2061" t="s">
        <v>2883</v>
      </c>
    </row>
    <row r="2062" spans="1:18" hidden="1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45657</v>
      </c>
      <c r="G2062">
        <v>2024</v>
      </c>
      <c r="H2062" t="s">
        <v>23</v>
      </c>
      <c r="I2062" t="s">
        <v>30</v>
      </c>
      <c r="J2062">
        <v>100</v>
      </c>
      <c r="K2062">
        <v>98.36</v>
      </c>
      <c r="L2062" s="39">
        <f t="shared" si="131"/>
        <v>0.98360000000000003</v>
      </c>
      <c r="M2062" s="39">
        <f t="shared" si="130"/>
        <v>0.98360000000000003</v>
      </c>
      <c r="P2062">
        <v>0</v>
      </c>
      <c r="Q2062">
        <v>0</v>
      </c>
      <c r="R2062" t="s">
        <v>1162</v>
      </c>
    </row>
    <row r="2063" spans="1:18" hidden="1" x14ac:dyDescent="0.3">
      <c r="A2063">
        <v>415</v>
      </c>
      <c r="B2063" t="s">
        <v>1160</v>
      </c>
      <c r="C2063" t="s">
        <v>567</v>
      </c>
      <c r="D2063" t="s">
        <v>27</v>
      </c>
      <c r="E2063" t="s">
        <v>22</v>
      </c>
      <c r="F2063" s="79">
        <v>45747</v>
      </c>
      <c r="G2063">
        <v>2025</v>
      </c>
      <c r="H2063" t="s">
        <v>1516</v>
      </c>
      <c r="I2063" t="s">
        <v>700</v>
      </c>
      <c r="J2063">
        <v>100</v>
      </c>
      <c r="K2063">
        <v>104.76</v>
      </c>
      <c r="L2063" s="39">
        <f t="shared" si="131"/>
        <v>1</v>
      </c>
      <c r="M2063" s="39">
        <f t="shared" si="130"/>
        <v>1.0476000000000001</v>
      </c>
      <c r="N2063" t="s">
        <v>25</v>
      </c>
      <c r="O2063" t="s">
        <v>25</v>
      </c>
      <c r="P2063">
        <v>0</v>
      </c>
      <c r="Q2063">
        <v>0</v>
      </c>
      <c r="R2063" t="s">
        <v>2884</v>
      </c>
    </row>
    <row r="2064" spans="1:18" hidden="1" x14ac:dyDescent="0.3">
      <c r="A2064">
        <v>415</v>
      </c>
      <c r="B2064" t="s">
        <v>1160</v>
      </c>
      <c r="C2064" t="s">
        <v>567</v>
      </c>
      <c r="D2064" t="s">
        <v>27</v>
      </c>
      <c r="E2064" t="s">
        <v>22</v>
      </c>
      <c r="F2064" s="79">
        <v>45838</v>
      </c>
      <c r="G2064">
        <v>2025</v>
      </c>
      <c r="H2064" t="s">
        <v>699</v>
      </c>
      <c r="I2064" t="s">
        <v>700</v>
      </c>
      <c r="J2064">
        <v>100</v>
      </c>
      <c r="K2064">
        <v>96.44</v>
      </c>
      <c r="L2064" s="39">
        <f t="shared" si="131"/>
        <v>0.96439999999999992</v>
      </c>
      <c r="M2064" s="39">
        <f t="shared" si="130"/>
        <v>0.96439999999999992</v>
      </c>
      <c r="N2064" t="s">
        <v>25</v>
      </c>
      <c r="O2064" t="s">
        <v>25</v>
      </c>
      <c r="P2064">
        <v>0</v>
      </c>
      <c r="Q2064">
        <v>0</v>
      </c>
      <c r="R2064" t="s">
        <v>2885</v>
      </c>
    </row>
    <row r="2065" spans="1:18" hidden="1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45930</v>
      </c>
      <c r="G2065">
        <v>2025</v>
      </c>
      <c r="H2065" t="s">
        <v>162</v>
      </c>
      <c r="I2065" t="s">
        <v>32</v>
      </c>
      <c r="J2065">
        <v>100</v>
      </c>
      <c r="K2065">
        <v>95.56</v>
      </c>
      <c r="L2065" s="39">
        <f t="shared" si="131"/>
        <v>0.9556</v>
      </c>
      <c r="M2065" s="39">
        <f t="shared" si="130"/>
        <v>0.9556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hidden="1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46022</v>
      </c>
      <c r="G2066">
        <v>2025</v>
      </c>
      <c r="H2066" t="s">
        <v>23</v>
      </c>
      <c r="I2066" t="s">
        <v>32</v>
      </c>
      <c r="J2066">
        <v>100</v>
      </c>
      <c r="K2066">
        <v>99.3</v>
      </c>
      <c r="L2066" s="39">
        <f t="shared" si="131"/>
        <v>0.99299999999999999</v>
      </c>
      <c r="M2066" s="39">
        <f t="shared" si="130"/>
        <v>0.99299999999999999</v>
      </c>
      <c r="N2066" t="s">
        <v>25</v>
      </c>
      <c r="O2066" t="s">
        <v>25</v>
      </c>
      <c r="P2066">
        <v>0</v>
      </c>
      <c r="Q2066">
        <v>0</v>
      </c>
      <c r="R2066" t="s">
        <v>1163</v>
      </c>
    </row>
    <row r="2067" spans="1:18" hidden="1" x14ac:dyDescent="0.3">
      <c r="A2067">
        <v>416</v>
      </c>
      <c r="B2067" t="s">
        <v>1164</v>
      </c>
      <c r="C2067" t="s">
        <v>567</v>
      </c>
      <c r="D2067" t="s">
        <v>27</v>
      </c>
      <c r="E2067" t="s">
        <v>22</v>
      </c>
      <c r="F2067" s="79">
        <v>45016</v>
      </c>
      <c r="G2067">
        <v>2023</v>
      </c>
      <c r="H2067" t="s">
        <v>1516</v>
      </c>
      <c r="I2067" t="s">
        <v>1512</v>
      </c>
      <c r="J2067">
        <v>100</v>
      </c>
      <c r="K2067">
        <v>0</v>
      </c>
      <c r="L2067" s="39">
        <f t="shared" si="131"/>
        <v>0</v>
      </c>
      <c r="M2067" s="39">
        <f t="shared" si="130"/>
        <v>0</v>
      </c>
      <c r="N2067" t="s">
        <v>25</v>
      </c>
      <c r="O2067" t="s">
        <v>25</v>
      </c>
      <c r="P2067">
        <v>0</v>
      </c>
      <c r="Q2067">
        <v>0</v>
      </c>
      <c r="R2067" t="s">
        <v>2887</v>
      </c>
    </row>
    <row r="2068" spans="1:18" hidden="1" x14ac:dyDescent="0.3">
      <c r="A2068">
        <v>416</v>
      </c>
      <c r="B2068" t="s">
        <v>1164</v>
      </c>
      <c r="D2068" t="s">
        <v>21</v>
      </c>
      <c r="E2068" t="s">
        <v>22</v>
      </c>
      <c r="F2068" s="79">
        <v>45107</v>
      </c>
      <c r="G2068">
        <v>2023</v>
      </c>
      <c r="H2068" t="s">
        <v>699</v>
      </c>
      <c r="I2068" t="s">
        <v>1512</v>
      </c>
      <c r="J2068">
        <v>100</v>
      </c>
      <c r="K2068">
        <v>95.74</v>
      </c>
      <c r="L2068" s="39">
        <f t="shared" si="131"/>
        <v>0.95739999999999992</v>
      </c>
      <c r="M2068" s="39">
        <f t="shared" si="130"/>
        <v>0.95739999999999992</v>
      </c>
      <c r="P2068">
        <v>0</v>
      </c>
      <c r="Q2068">
        <v>0</v>
      </c>
      <c r="R2068" t="s">
        <v>2888</v>
      </c>
    </row>
    <row r="2069" spans="1:18" hidden="1" x14ac:dyDescent="0.3">
      <c r="A2069">
        <v>416</v>
      </c>
      <c r="B2069" t="s">
        <v>1164</v>
      </c>
      <c r="D2069" t="s">
        <v>21</v>
      </c>
      <c r="E2069" t="s">
        <v>22</v>
      </c>
      <c r="F2069" s="79">
        <v>45199</v>
      </c>
      <c r="G2069">
        <v>2023</v>
      </c>
      <c r="H2069" t="s">
        <v>162</v>
      </c>
      <c r="I2069" t="s">
        <v>28</v>
      </c>
      <c r="J2069">
        <v>100</v>
      </c>
      <c r="K2069">
        <v>87.94</v>
      </c>
      <c r="L2069" s="39">
        <f t="shared" si="131"/>
        <v>0.87939999999999996</v>
      </c>
      <c r="M2069" s="39">
        <f t="shared" si="130"/>
        <v>0.87939999999999996</v>
      </c>
      <c r="P2069">
        <v>0</v>
      </c>
      <c r="Q2069">
        <v>0</v>
      </c>
      <c r="R2069" t="s">
        <v>2889</v>
      </c>
    </row>
    <row r="2070" spans="1:18" hidden="1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45291</v>
      </c>
      <c r="G2070">
        <v>2023</v>
      </c>
      <c r="H2070" t="s">
        <v>23</v>
      </c>
      <c r="I2070" t="s">
        <v>28</v>
      </c>
      <c r="J2070">
        <v>100</v>
      </c>
      <c r="K2070">
        <v>98</v>
      </c>
      <c r="L2070" s="39">
        <f t="shared" si="131"/>
        <v>0.98</v>
      </c>
      <c r="M2070" s="39">
        <f t="shared" si="130"/>
        <v>0.98</v>
      </c>
      <c r="P2070">
        <v>0</v>
      </c>
      <c r="Q2070">
        <v>0</v>
      </c>
      <c r="R2070" t="s">
        <v>1165</v>
      </c>
    </row>
    <row r="2071" spans="1:18" hidden="1" x14ac:dyDescent="0.3">
      <c r="A2071">
        <v>416</v>
      </c>
      <c r="B2071" t="s">
        <v>1164</v>
      </c>
      <c r="C2071" t="s">
        <v>567</v>
      </c>
      <c r="D2071" t="s">
        <v>21</v>
      </c>
      <c r="E2071" t="s">
        <v>22</v>
      </c>
      <c r="F2071" s="79">
        <v>45382</v>
      </c>
      <c r="G2071">
        <v>2024</v>
      </c>
      <c r="H2071" t="s">
        <v>1516</v>
      </c>
      <c r="I2071" t="s">
        <v>729</v>
      </c>
      <c r="J2071">
        <v>100</v>
      </c>
      <c r="K2071">
        <v>120.07</v>
      </c>
      <c r="L2071" s="39">
        <f t="shared" si="131"/>
        <v>1</v>
      </c>
      <c r="M2071" s="39">
        <f t="shared" si="130"/>
        <v>1.2006999999999999</v>
      </c>
      <c r="P2071">
        <v>0</v>
      </c>
      <c r="Q2071">
        <v>0</v>
      </c>
      <c r="R2071" t="s">
        <v>2890</v>
      </c>
    </row>
    <row r="2072" spans="1:18" hidden="1" x14ac:dyDescent="0.3">
      <c r="A2072">
        <v>416</v>
      </c>
      <c r="B2072" t="s">
        <v>1164</v>
      </c>
      <c r="C2072" t="s">
        <v>567</v>
      </c>
      <c r="D2072" t="s">
        <v>21</v>
      </c>
      <c r="E2072" t="s">
        <v>22</v>
      </c>
      <c r="F2072" s="79">
        <v>45473</v>
      </c>
      <c r="G2072">
        <v>2024</v>
      </c>
      <c r="H2072" t="s">
        <v>699</v>
      </c>
      <c r="I2072" t="s">
        <v>729</v>
      </c>
      <c r="J2072">
        <v>100</v>
      </c>
      <c r="K2072">
        <v>117.1</v>
      </c>
      <c r="L2072" s="39">
        <f t="shared" si="131"/>
        <v>1</v>
      </c>
      <c r="M2072" s="39">
        <f t="shared" si="130"/>
        <v>1.171</v>
      </c>
      <c r="P2072">
        <v>0</v>
      </c>
      <c r="Q2072">
        <v>0</v>
      </c>
      <c r="R2072" t="s">
        <v>2891</v>
      </c>
    </row>
    <row r="2073" spans="1:18" hidden="1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45565</v>
      </c>
      <c r="G2073">
        <v>2024</v>
      </c>
      <c r="H2073" t="s">
        <v>162</v>
      </c>
      <c r="I2073" t="s">
        <v>30</v>
      </c>
      <c r="J2073">
        <v>100</v>
      </c>
      <c r="K2073">
        <v>99.81</v>
      </c>
      <c r="L2073" s="39">
        <f t="shared" si="131"/>
        <v>0.99809999999999999</v>
      </c>
      <c r="M2073" s="39">
        <f t="shared" ref="M2073:M2104" si="132">IFERROR(IF(OR(J2073=0,K2073=""),"",IF(E2073="Positivo",MAX(K2073/J2073,0),MAX(J2073/K2073,0))),"")</f>
        <v>0.99809999999999999</v>
      </c>
      <c r="P2073">
        <v>0</v>
      </c>
      <c r="Q2073">
        <v>0</v>
      </c>
      <c r="R2073" t="s">
        <v>2892</v>
      </c>
    </row>
    <row r="2074" spans="1:18" hidden="1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45657</v>
      </c>
      <c r="G2074">
        <v>2024</v>
      </c>
      <c r="H2074" t="s">
        <v>23</v>
      </c>
      <c r="I2074" t="s">
        <v>30</v>
      </c>
      <c r="J2074">
        <v>100</v>
      </c>
      <c r="K2074">
        <v>100</v>
      </c>
      <c r="L2074" s="39">
        <f t="shared" si="131"/>
        <v>1</v>
      </c>
      <c r="M2074" s="39">
        <f t="shared" si="132"/>
        <v>1</v>
      </c>
      <c r="P2074">
        <v>0</v>
      </c>
      <c r="Q2074">
        <v>0</v>
      </c>
      <c r="R2074" t="s">
        <v>1166</v>
      </c>
    </row>
    <row r="2075" spans="1:18" hidden="1" x14ac:dyDescent="0.3">
      <c r="A2075">
        <v>416</v>
      </c>
      <c r="B2075" t="s">
        <v>1164</v>
      </c>
      <c r="C2075" t="s">
        <v>567</v>
      </c>
      <c r="D2075" t="s">
        <v>27</v>
      </c>
      <c r="E2075" t="s">
        <v>22</v>
      </c>
      <c r="F2075" s="79">
        <v>45747</v>
      </c>
      <c r="G2075">
        <v>2025</v>
      </c>
      <c r="H2075" t="s">
        <v>1516</v>
      </c>
      <c r="I2075" t="s">
        <v>700</v>
      </c>
      <c r="J2075">
        <v>100</v>
      </c>
      <c r="K2075">
        <v>170.92</v>
      </c>
      <c r="L2075" s="39">
        <f t="shared" ref="L2075:L2102" si="133">IFERROR(IF(OR(J2075=0,K2075=""),"",IF(E2075="Positivo",MIN(MAX(K2075/J2075,0),1),MIN(MAX(J2075/K2075,0),1))),"")</f>
        <v>1</v>
      </c>
      <c r="M2075" s="39">
        <f t="shared" si="132"/>
        <v>1.7091999999999998</v>
      </c>
      <c r="N2075" t="s">
        <v>25</v>
      </c>
      <c r="O2075" t="s">
        <v>25</v>
      </c>
      <c r="P2075">
        <v>0</v>
      </c>
      <c r="Q2075">
        <v>0</v>
      </c>
      <c r="R2075" t="s">
        <v>2893</v>
      </c>
    </row>
    <row r="2076" spans="1:18" hidden="1" x14ac:dyDescent="0.3">
      <c r="A2076">
        <v>416</v>
      </c>
      <c r="B2076" t="s">
        <v>1164</v>
      </c>
      <c r="C2076" t="s">
        <v>567</v>
      </c>
      <c r="D2076" t="s">
        <v>27</v>
      </c>
      <c r="E2076" t="s">
        <v>22</v>
      </c>
      <c r="F2076" s="79">
        <v>45838</v>
      </c>
      <c r="G2076">
        <v>2025</v>
      </c>
      <c r="H2076" t="s">
        <v>699</v>
      </c>
      <c r="I2076" t="s">
        <v>700</v>
      </c>
      <c r="J2076">
        <v>100</v>
      </c>
      <c r="K2076">
        <v>109.24</v>
      </c>
      <c r="L2076" s="39">
        <f t="shared" si="133"/>
        <v>1</v>
      </c>
      <c r="M2076" s="39">
        <f t="shared" si="132"/>
        <v>1.0924</v>
      </c>
      <c r="N2076" t="s">
        <v>25</v>
      </c>
      <c r="O2076" t="s">
        <v>25</v>
      </c>
      <c r="P2076">
        <v>0</v>
      </c>
      <c r="Q2076">
        <v>0</v>
      </c>
      <c r="R2076" t="s">
        <v>2894</v>
      </c>
    </row>
    <row r="2077" spans="1:18" hidden="1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45930</v>
      </c>
      <c r="G2077">
        <v>2025</v>
      </c>
      <c r="H2077" t="s">
        <v>162</v>
      </c>
      <c r="I2077" t="s">
        <v>32</v>
      </c>
      <c r="J2077">
        <v>100</v>
      </c>
      <c r="K2077">
        <v>96.48</v>
      </c>
      <c r="L2077" s="39">
        <f t="shared" si="133"/>
        <v>0.96479999999999999</v>
      </c>
      <c r="M2077" s="39">
        <f t="shared" si="132"/>
        <v>0.96479999999999999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hidden="1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46022</v>
      </c>
      <c r="G2078">
        <v>2025</v>
      </c>
      <c r="H2078" t="s">
        <v>23</v>
      </c>
      <c r="I2078" t="s">
        <v>32</v>
      </c>
      <c r="J2078">
        <v>100</v>
      </c>
      <c r="K2078">
        <v>100</v>
      </c>
      <c r="L2078" s="39">
        <f t="shared" si="133"/>
        <v>1</v>
      </c>
      <c r="M2078" s="39">
        <f t="shared" si="132"/>
        <v>1</v>
      </c>
      <c r="N2078" t="s">
        <v>25</v>
      </c>
      <c r="O2078" t="s">
        <v>25</v>
      </c>
      <c r="P2078">
        <v>0</v>
      </c>
      <c r="Q2078">
        <v>0</v>
      </c>
      <c r="R2078" t="s">
        <v>1167</v>
      </c>
    </row>
    <row r="2079" spans="1:18" hidden="1" x14ac:dyDescent="0.3">
      <c r="A2079">
        <v>417</v>
      </c>
      <c r="B2079" t="s">
        <v>1168</v>
      </c>
      <c r="C2079" t="s">
        <v>567</v>
      </c>
      <c r="D2079" t="s">
        <v>27</v>
      </c>
      <c r="E2079" t="s">
        <v>22</v>
      </c>
      <c r="F2079" s="79">
        <v>45016</v>
      </c>
      <c r="G2079">
        <v>2023</v>
      </c>
      <c r="H2079" t="s">
        <v>1516</v>
      </c>
      <c r="I2079" t="s">
        <v>1512</v>
      </c>
      <c r="J2079">
        <v>100</v>
      </c>
      <c r="K2079">
        <v>0</v>
      </c>
      <c r="L2079" s="39">
        <f t="shared" si="133"/>
        <v>0</v>
      </c>
      <c r="M2079" s="39">
        <f t="shared" si="132"/>
        <v>0</v>
      </c>
      <c r="N2079" t="s">
        <v>25</v>
      </c>
      <c r="O2079" t="s">
        <v>25</v>
      </c>
      <c r="P2079">
        <v>0</v>
      </c>
      <c r="Q2079">
        <v>0</v>
      </c>
      <c r="R2079" t="s">
        <v>2896</v>
      </c>
    </row>
    <row r="2080" spans="1:18" hidden="1" x14ac:dyDescent="0.3">
      <c r="A2080">
        <v>417</v>
      </c>
      <c r="B2080" t="s">
        <v>1168</v>
      </c>
      <c r="D2080" t="s">
        <v>21</v>
      </c>
      <c r="E2080" t="s">
        <v>22</v>
      </c>
      <c r="F2080" s="79">
        <v>45107</v>
      </c>
      <c r="G2080">
        <v>2023</v>
      </c>
      <c r="H2080" t="s">
        <v>699</v>
      </c>
      <c r="I2080" t="s">
        <v>1512</v>
      </c>
      <c r="J2080">
        <v>100</v>
      </c>
      <c r="K2080">
        <v>110.66833333333</v>
      </c>
      <c r="L2080" s="39">
        <f t="shared" si="133"/>
        <v>1</v>
      </c>
      <c r="M2080" s="39">
        <f t="shared" si="132"/>
        <v>1.1066833333332999</v>
      </c>
      <c r="P2080">
        <v>0</v>
      </c>
      <c r="Q2080">
        <v>0</v>
      </c>
      <c r="R2080" t="s">
        <v>2897</v>
      </c>
    </row>
    <row r="2081" spans="1:18" hidden="1" x14ac:dyDescent="0.3">
      <c r="A2081">
        <v>417</v>
      </c>
      <c r="B2081" t="s">
        <v>1168</v>
      </c>
      <c r="D2081" t="s">
        <v>21</v>
      </c>
      <c r="E2081" t="s">
        <v>22</v>
      </c>
      <c r="F2081" s="79">
        <v>45199</v>
      </c>
      <c r="G2081">
        <v>2023</v>
      </c>
      <c r="H2081" t="s">
        <v>162</v>
      </c>
      <c r="I2081" t="s">
        <v>28</v>
      </c>
      <c r="J2081">
        <v>100</v>
      </c>
      <c r="K2081">
        <v>93.756666666667002</v>
      </c>
      <c r="L2081" s="39">
        <f t="shared" si="133"/>
        <v>0.93756666666666999</v>
      </c>
      <c r="M2081" s="39">
        <f t="shared" si="132"/>
        <v>0.93756666666666999</v>
      </c>
      <c r="P2081">
        <v>0</v>
      </c>
      <c r="Q2081">
        <v>0</v>
      </c>
      <c r="R2081" t="s">
        <v>2898</v>
      </c>
    </row>
    <row r="2082" spans="1:18" hidden="1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45291</v>
      </c>
      <c r="G2082">
        <v>2023</v>
      </c>
      <c r="H2082" t="s">
        <v>23</v>
      </c>
      <c r="I2082" t="s">
        <v>28</v>
      </c>
      <c r="J2082">
        <v>100</v>
      </c>
      <c r="K2082">
        <v>94.39</v>
      </c>
      <c r="L2082" s="39">
        <f t="shared" si="133"/>
        <v>0.94389999999999996</v>
      </c>
      <c r="M2082" s="39">
        <f t="shared" si="132"/>
        <v>0.94389999999999996</v>
      </c>
      <c r="P2082">
        <v>0</v>
      </c>
      <c r="Q2082">
        <v>0</v>
      </c>
      <c r="R2082" t="s">
        <v>1169</v>
      </c>
    </row>
    <row r="2083" spans="1:18" hidden="1" x14ac:dyDescent="0.3">
      <c r="A2083">
        <v>417</v>
      </c>
      <c r="B2083" t="s">
        <v>1168</v>
      </c>
      <c r="C2083" t="s">
        <v>567</v>
      </c>
      <c r="D2083" t="s">
        <v>21</v>
      </c>
      <c r="E2083" t="s">
        <v>22</v>
      </c>
      <c r="F2083" s="79">
        <v>45382</v>
      </c>
      <c r="G2083">
        <v>2024</v>
      </c>
      <c r="H2083" t="s">
        <v>1516</v>
      </c>
      <c r="I2083" t="s">
        <v>729</v>
      </c>
      <c r="J2083">
        <v>100</v>
      </c>
      <c r="K2083">
        <v>99.01</v>
      </c>
      <c r="L2083" s="39">
        <f t="shared" si="133"/>
        <v>0.99010000000000009</v>
      </c>
      <c r="M2083" s="39">
        <f t="shared" si="132"/>
        <v>0.99010000000000009</v>
      </c>
      <c r="P2083">
        <v>0</v>
      </c>
      <c r="Q2083">
        <v>0</v>
      </c>
      <c r="R2083" t="s">
        <v>2899</v>
      </c>
    </row>
    <row r="2084" spans="1:18" hidden="1" x14ac:dyDescent="0.3">
      <c r="A2084">
        <v>417</v>
      </c>
      <c r="B2084" t="s">
        <v>1168</v>
      </c>
      <c r="C2084" t="s">
        <v>567</v>
      </c>
      <c r="D2084" t="s">
        <v>21</v>
      </c>
      <c r="E2084" t="s">
        <v>22</v>
      </c>
      <c r="F2084" s="79">
        <v>45473</v>
      </c>
      <c r="G2084">
        <v>2024</v>
      </c>
      <c r="H2084" t="s">
        <v>699</v>
      </c>
      <c r="I2084" t="s">
        <v>729</v>
      </c>
      <c r="J2084">
        <v>100</v>
      </c>
      <c r="K2084">
        <v>112.12</v>
      </c>
      <c r="L2084" s="39">
        <f t="shared" si="133"/>
        <v>1</v>
      </c>
      <c r="M2084" s="39">
        <f t="shared" si="132"/>
        <v>1.1212</v>
      </c>
      <c r="P2084">
        <v>0</v>
      </c>
      <c r="Q2084">
        <v>0</v>
      </c>
      <c r="R2084" t="s">
        <v>2900</v>
      </c>
    </row>
    <row r="2085" spans="1:18" hidden="1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45565</v>
      </c>
      <c r="G2085">
        <v>2024</v>
      </c>
      <c r="H2085" t="s">
        <v>162</v>
      </c>
      <c r="I2085" t="s">
        <v>30</v>
      </c>
      <c r="J2085">
        <v>100</v>
      </c>
      <c r="K2085">
        <v>100.19</v>
      </c>
      <c r="L2085" s="39">
        <f t="shared" si="133"/>
        <v>1</v>
      </c>
      <c r="M2085" s="39">
        <f t="shared" si="132"/>
        <v>1.0019</v>
      </c>
      <c r="P2085">
        <v>0</v>
      </c>
      <c r="Q2085">
        <v>0</v>
      </c>
      <c r="R2085" t="s">
        <v>2901</v>
      </c>
    </row>
    <row r="2086" spans="1:18" hidden="1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45657</v>
      </c>
      <c r="G2086">
        <v>2024</v>
      </c>
      <c r="H2086" t="s">
        <v>23</v>
      </c>
      <c r="I2086" t="s">
        <v>30</v>
      </c>
      <c r="J2086">
        <v>100</v>
      </c>
      <c r="K2086">
        <v>98.83</v>
      </c>
      <c r="L2086" s="39">
        <f t="shared" si="133"/>
        <v>0.98829999999999996</v>
      </c>
      <c r="M2086" s="39">
        <f t="shared" si="132"/>
        <v>0.98829999999999996</v>
      </c>
      <c r="P2086">
        <v>0</v>
      </c>
      <c r="Q2086">
        <v>0</v>
      </c>
      <c r="R2086" t="s">
        <v>1170</v>
      </c>
    </row>
    <row r="2087" spans="1:18" hidden="1" x14ac:dyDescent="0.3">
      <c r="A2087">
        <v>417</v>
      </c>
      <c r="B2087" t="s">
        <v>1168</v>
      </c>
      <c r="C2087" t="s">
        <v>567</v>
      </c>
      <c r="D2087" t="s">
        <v>27</v>
      </c>
      <c r="E2087" t="s">
        <v>22</v>
      </c>
      <c r="F2087" s="79">
        <v>45747</v>
      </c>
      <c r="G2087">
        <v>2025</v>
      </c>
      <c r="H2087" t="s">
        <v>1516</v>
      </c>
      <c r="I2087" t="s">
        <v>700</v>
      </c>
      <c r="J2087">
        <v>100</v>
      </c>
      <c r="K2087">
        <v>93.68</v>
      </c>
      <c r="L2087" s="39">
        <f t="shared" si="133"/>
        <v>0.93680000000000008</v>
      </c>
      <c r="M2087" s="39">
        <f t="shared" si="132"/>
        <v>0.93680000000000008</v>
      </c>
      <c r="N2087" t="s">
        <v>25</v>
      </c>
      <c r="O2087" t="s">
        <v>25</v>
      </c>
      <c r="P2087">
        <v>0</v>
      </c>
      <c r="Q2087">
        <v>0</v>
      </c>
      <c r="R2087" t="s">
        <v>2902</v>
      </c>
    </row>
    <row r="2088" spans="1:18" hidden="1" x14ac:dyDescent="0.3">
      <c r="A2088">
        <v>417</v>
      </c>
      <c r="B2088" t="s">
        <v>1168</v>
      </c>
      <c r="C2088" t="s">
        <v>567</v>
      </c>
      <c r="D2088" t="s">
        <v>27</v>
      </c>
      <c r="E2088" t="s">
        <v>22</v>
      </c>
      <c r="F2088" s="79">
        <v>45838</v>
      </c>
      <c r="G2088">
        <v>2025</v>
      </c>
      <c r="H2088" t="s">
        <v>699</v>
      </c>
      <c r="I2088" t="s">
        <v>700</v>
      </c>
      <c r="J2088">
        <v>100</v>
      </c>
      <c r="K2088">
        <v>101.28</v>
      </c>
      <c r="L2088" s="39">
        <f t="shared" si="133"/>
        <v>1</v>
      </c>
      <c r="M2088" s="39">
        <f t="shared" si="132"/>
        <v>1.0127999999999999</v>
      </c>
      <c r="N2088" t="s">
        <v>25</v>
      </c>
      <c r="O2088" t="s">
        <v>25</v>
      </c>
      <c r="P2088">
        <v>0</v>
      </c>
      <c r="Q2088">
        <v>0</v>
      </c>
      <c r="R2088" t="s">
        <v>2903</v>
      </c>
    </row>
    <row r="2089" spans="1:18" hidden="1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45930</v>
      </c>
      <c r="G2089">
        <v>2025</v>
      </c>
      <c r="H2089" t="s">
        <v>162</v>
      </c>
      <c r="I2089" t="s">
        <v>32</v>
      </c>
      <c r="J2089">
        <v>100</v>
      </c>
      <c r="K2089">
        <v>99.34</v>
      </c>
      <c r="L2089" s="39">
        <f t="shared" si="133"/>
        <v>0.99340000000000006</v>
      </c>
      <c r="M2089" s="39">
        <f t="shared" si="132"/>
        <v>0.99340000000000006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hidden="1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46022</v>
      </c>
      <c r="G2090">
        <v>2025</v>
      </c>
      <c r="H2090" t="s">
        <v>23</v>
      </c>
      <c r="I2090" t="s">
        <v>32</v>
      </c>
      <c r="J2090">
        <v>100</v>
      </c>
      <c r="K2090">
        <v>97.99</v>
      </c>
      <c r="L2090" s="39">
        <f t="shared" si="133"/>
        <v>0.97989999999999999</v>
      </c>
      <c r="M2090" s="39">
        <f t="shared" si="132"/>
        <v>0.97989999999999999</v>
      </c>
      <c r="N2090" t="s">
        <v>25</v>
      </c>
      <c r="O2090" t="s">
        <v>25</v>
      </c>
      <c r="P2090">
        <v>0</v>
      </c>
      <c r="Q2090">
        <v>0</v>
      </c>
      <c r="R2090" t="s">
        <v>1171</v>
      </c>
    </row>
    <row r="2091" spans="1:18" hidden="1" x14ac:dyDescent="0.3">
      <c r="A2091">
        <v>418</v>
      </c>
      <c r="B2091" t="s">
        <v>1172</v>
      </c>
      <c r="C2091" t="s">
        <v>567</v>
      </c>
      <c r="D2091" t="s">
        <v>27</v>
      </c>
      <c r="E2091" t="s">
        <v>22</v>
      </c>
      <c r="F2091" s="79">
        <v>45016</v>
      </c>
      <c r="G2091">
        <v>2023</v>
      </c>
      <c r="H2091" t="s">
        <v>1516</v>
      </c>
      <c r="I2091" t="s">
        <v>1512</v>
      </c>
      <c r="J2091">
        <v>100</v>
      </c>
      <c r="K2091">
        <v>0</v>
      </c>
      <c r="L2091" s="39">
        <f t="shared" si="133"/>
        <v>0</v>
      </c>
      <c r="M2091" s="39">
        <f t="shared" si="132"/>
        <v>0</v>
      </c>
      <c r="N2091" t="s">
        <v>25</v>
      </c>
      <c r="O2091" t="s">
        <v>25</v>
      </c>
      <c r="P2091">
        <v>0</v>
      </c>
      <c r="Q2091">
        <v>0</v>
      </c>
      <c r="R2091" t="s">
        <v>2905</v>
      </c>
    </row>
    <row r="2092" spans="1:18" hidden="1" x14ac:dyDescent="0.3">
      <c r="A2092">
        <v>418</v>
      </c>
      <c r="B2092" t="s">
        <v>1172</v>
      </c>
      <c r="D2092" t="s">
        <v>21</v>
      </c>
      <c r="E2092" t="s">
        <v>22</v>
      </c>
      <c r="F2092" s="79">
        <v>45107</v>
      </c>
      <c r="G2092">
        <v>2023</v>
      </c>
      <c r="H2092" t="s">
        <v>699</v>
      </c>
      <c r="I2092" t="s">
        <v>1512</v>
      </c>
      <c r="J2092">
        <v>100</v>
      </c>
      <c r="K2092">
        <v>104.35666666666999</v>
      </c>
      <c r="L2092" s="39">
        <f t="shared" si="133"/>
        <v>1</v>
      </c>
      <c r="M2092" s="39">
        <f t="shared" si="132"/>
        <v>1.0435666666666998</v>
      </c>
      <c r="P2092">
        <v>0</v>
      </c>
      <c r="Q2092">
        <v>0</v>
      </c>
      <c r="R2092" t="s">
        <v>2906</v>
      </c>
    </row>
    <row r="2093" spans="1:18" hidden="1" x14ac:dyDescent="0.3">
      <c r="A2093">
        <v>418</v>
      </c>
      <c r="B2093" t="s">
        <v>1172</v>
      </c>
      <c r="D2093" t="s">
        <v>21</v>
      </c>
      <c r="E2093" t="s">
        <v>22</v>
      </c>
      <c r="F2093" s="79">
        <v>45199</v>
      </c>
      <c r="G2093">
        <v>2023</v>
      </c>
      <c r="H2093" t="s">
        <v>162</v>
      </c>
      <c r="I2093" t="s">
        <v>28</v>
      </c>
      <c r="J2093">
        <v>100</v>
      </c>
      <c r="K2093">
        <v>85.611111111111001</v>
      </c>
      <c r="L2093" s="39">
        <f t="shared" si="133"/>
        <v>0.85611111111111005</v>
      </c>
      <c r="M2093" s="39">
        <f t="shared" si="132"/>
        <v>0.85611111111111005</v>
      </c>
      <c r="P2093">
        <v>0</v>
      </c>
      <c r="Q2093">
        <v>0</v>
      </c>
      <c r="R2093" t="s">
        <v>2907</v>
      </c>
    </row>
    <row r="2094" spans="1:18" hidden="1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45291</v>
      </c>
      <c r="G2094">
        <v>2023</v>
      </c>
      <c r="H2094" t="s">
        <v>23</v>
      </c>
      <c r="I2094" t="s">
        <v>28</v>
      </c>
      <c r="J2094">
        <v>100</v>
      </c>
      <c r="K2094">
        <v>95.802222222221999</v>
      </c>
      <c r="L2094" s="39">
        <f t="shared" si="133"/>
        <v>0.95802222222222</v>
      </c>
      <c r="M2094" s="39">
        <f t="shared" si="132"/>
        <v>0.95802222222222</v>
      </c>
      <c r="P2094">
        <v>0</v>
      </c>
      <c r="Q2094">
        <v>0</v>
      </c>
      <c r="R2094" t="s">
        <v>1173</v>
      </c>
    </row>
    <row r="2095" spans="1:18" hidden="1" x14ac:dyDescent="0.3">
      <c r="A2095">
        <v>418</v>
      </c>
      <c r="B2095" t="s">
        <v>1172</v>
      </c>
      <c r="C2095" t="s">
        <v>567</v>
      </c>
      <c r="D2095" t="s">
        <v>21</v>
      </c>
      <c r="E2095" t="s">
        <v>22</v>
      </c>
      <c r="F2095" s="79">
        <v>45382</v>
      </c>
      <c r="G2095">
        <v>2024</v>
      </c>
      <c r="H2095" t="s">
        <v>1516</v>
      </c>
      <c r="I2095" t="s">
        <v>729</v>
      </c>
      <c r="J2095">
        <v>100</v>
      </c>
      <c r="K2095">
        <v>105.5</v>
      </c>
      <c r="L2095" s="39">
        <f t="shared" si="133"/>
        <v>1</v>
      </c>
      <c r="M2095" s="39">
        <f t="shared" si="132"/>
        <v>1.0549999999999999</v>
      </c>
      <c r="P2095">
        <v>0</v>
      </c>
      <c r="Q2095">
        <v>0</v>
      </c>
      <c r="R2095" t="s">
        <v>2908</v>
      </c>
    </row>
    <row r="2096" spans="1:18" hidden="1" x14ac:dyDescent="0.3">
      <c r="A2096">
        <v>418</v>
      </c>
      <c r="B2096" t="s">
        <v>1172</v>
      </c>
      <c r="C2096" t="s">
        <v>567</v>
      </c>
      <c r="D2096" t="s">
        <v>21</v>
      </c>
      <c r="E2096" t="s">
        <v>22</v>
      </c>
      <c r="F2096" s="79">
        <v>45473</v>
      </c>
      <c r="G2096">
        <v>2024</v>
      </c>
      <c r="H2096" t="s">
        <v>699</v>
      </c>
      <c r="I2096" t="s">
        <v>729</v>
      </c>
      <c r="J2096">
        <v>100</v>
      </c>
      <c r="K2096">
        <v>100.79</v>
      </c>
      <c r="L2096" s="39">
        <f t="shared" si="133"/>
        <v>1</v>
      </c>
      <c r="M2096" s="39">
        <f t="shared" si="132"/>
        <v>1.0079</v>
      </c>
      <c r="P2096">
        <v>0</v>
      </c>
      <c r="Q2096">
        <v>0</v>
      </c>
      <c r="R2096" t="s">
        <v>2909</v>
      </c>
    </row>
    <row r="2097" spans="1:18" hidden="1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45565</v>
      </c>
      <c r="G2097">
        <v>2024</v>
      </c>
      <c r="H2097" t="s">
        <v>162</v>
      </c>
      <c r="I2097" t="s">
        <v>30</v>
      </c>
      <c r="J2097">
        <v>100</v>
      </c>
      <c r="K2097">
        <v>97.2</v>
      </c>
      <c r="L2097" s="39">
        <f t="shared" si="133"/>
        <v>0.97199999999999998</v>
      </c>
      <c r="M2097" s="39">
        <f t="shared" si="132"/>
        <v>0.97199999999999998</v>
      </c>
      <c r="P2097">
        <v>0</v>
      </c>
      <c r="Q2097">
        <v>0</v>
      </c>
      <c r="R2097" t="s">
        <v>2910</v>
      </c>
    </row>
    <row r="2098" spans="1:18" hidden="1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45657</v>
      </c>
      <c r="G2098">
        <v>2024</v>
      </c>
      <c r="H2098" t="s">
        <v>23</v>
      </c>
      <c r="I2098" t="s">
        <v>30</v>
      </c>
      <c r="J2098">
        <v>100</v>
      </c>
      <c r="K2098">
        <v>97.78</v>
      </c>
      <c r="L2098" s="39">
        <f t="shared" si="133"/>
        <v>0.9778</v>
      </c>
      <c r="M2098" s="39">
        <f t="shared" si="132"/>
        <v>0.9778</v>
      </c>
      <c r="P2098">
        <v>0</v>
      </c>
      <c r="Q2098">
        <v>0</v>
      </c>
      <c r="R2098" t="s">
        <v>1174</v>
      </c>
    </row>
    <row r="2099" spans="1:18" hidden="1" x14ac:dyDescent="0.3">
      <c r="A2099">
        <v>418</v>
      </c>
      <c r="B2099" t="s">
        <v>1172</v>
      </c>
      <c r="C2099" t="s">
        <v>567</v>
      </c>
      <c r="D2099" t="s">
        <v>27</v>
      </c>
      <c r="E2099" t="s">
        <v>22</v>
      </c>
      <c r="F2099" s="79">
        <v>45747</v>
      </c>
      <c r="G2099">
        <v>2025</v>
      </c>
      <c r="H2099" t="s">
        <v>1516</v>
      </c>
      <c r="I2099" t="s">
        <v>700</v>
      </c>
      <c r="J2099">
        <v>100</v>
      </c>
      <c r="K2099">
        <v>246.7</v>
      </c>
      <c r="L2099" s="39">
        <f t="shared" si="133"/>
        <v>1</v>
      </c>
      <c r="M2099" s="39">
        <f t="shared" si="132"/>
        <v>2.4670000000000001</v>
      </c>
      <c r="N2099" t="s">
        <v>25</v>
      </c>
      <c r="O2099" t="s">
        <v>25</v>
      </c>
      <c r="P2099">
        <v>0</v>
      </c>
      <c r="Q2099">
        <v>0</v>
      </c>
      <c r="R2099" t="s">
        <v>2911</v>
      </c>
    </row>
    <row r="2100" spans="1:18" hidden="1" x14ac:dyDescent="0.3">
      <c r="A2100">
        <v>418</v>
      </c>
      <c r="B2100" t="s">
        <v>1172</v>
      </c>
      <c r="C2100" t="s">
        <v>567</v>
      </c>
      <c r="D2100" t="s">
        <v>27</v>
      </c>
      <c r="E2100" t="s">
        <v>22</v>
      </c>
      <c r="F2100" s="79">
        <v>45838</v>
      </c>
      <c r="G2100">
        <v>2025</v>
      </c>
      <c r="H2100" t="s">
        <v>699</v>
      </c>
      <c r="I2100" t="s">
        <v>700</v>
      </c>
      <c r="J2100">
        <v>100</v>
      </c>
      <c r="K2100">
        <v>105.83</v>
      </c>
      <c r="L2100" s="39">
        <f t="shared" si="133"/>
        <v>1</v>
      </c>
      <c r="M2100" s="39">
        <f t="shared" si="132"/>
        <v>1.0583</v>
      </c>
      <c r="N2100" t="s">
        <v>25</v>
      </c>
      <c r="O2100" t="s">
        <v>25</v>
      </c>
      <c r="P2100">
        <v>0</v>
      </c>
      <c r="Q2100">
        <v>0</v>
      </c>
      <c r="R2100" t="s">
        <v>2912</v>
      </c>
    </row>
    <row r="2101" spans="1:18" hidden="1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45930</v>
      </c>
      <c r="G2101">
        <v>2025</v>
      </c>
      <c r="H2101" t="s">
        <v>162</v>
      </c>
      <c r="I2101" t="s">
        <v>32</v>
      </c>
      <c r="J2101">
        <v>100</v>
      </c>
      <c r="K2101">
        <v>93.96</v>
      </c>
      <c r="L2101" s="39">
        <f t="shared" si="133"/>
        <v>0.93959999999999999</v>
      </c>
      <c r="M2101" s="39">
        <f t="shared" si="132"/>
        <v>0.93959999999999999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hidden="1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46022</v>
      </c>
      <c r="G2102">
        <v>2025</v>
      </c>
      <c r="H2102" t="s">
        <v>23</v>
      </c>
      <c r="I2102" t="s">
        <v>32</v>
      </c>
      <c r="J2102">
        <v>100</v>
      </c>
      <c r="K2102">
        <v>99.61</v>
      </c>
      <c r="L2102" s="39">
        <f t="shared" si="133"/>
        <v>0.99609999999999999</v>
      </c>
      <c r="M2102" s="39">
        <f t="shared" si="132"/>
        <v>0.99609999999999999</v>
      </c>
      <c r="N2102" t="s">
        <v>25</v>
      </c>
      <c r="O2102" t="s">
        <v>25</v>
      </c>
      <c r="P2102">
        <v>0</v>
      </c>
      <c r="Q2102">
        <v>0</v>
      </c>
      <c r="R2102" t="s">
        <v>1175</v>
      </c>
    </row>
    <row r="2103" spans="1:18" hidden="1" x14ac:dyDescent="0.3">
      <c r="A2103">
        <v>419</v>
      </c>
      <c r="B2103" t="s">
        <v>1176</v>
      </c>
      <c r="D2103" t="s">
        <v>21</v>
      </c>
      <c r="E2103" t="s">
        <v>22</v>
      </c>
      <c r="F2103" s="79">
        <v>45107</v>
      </c>
      <c r="G2103">
        <v>2023</v>
      </c>
      <c r="H2103" t="s">
        <v>699</v>
      </c>
      <c r="I2103" t="s">
        <v>1512</v>
      </c>
      <c r="J2103">
        <v>100</v>
      </c>
      <c r="K2103">
        <v>108.3</v>
      </c>
      <c r="L2103" s="39">
        <f>IFERROR(IF(OR(J2103=0,K2103=""),"",IF(E2103="Positivo",MIN(MAX(K2103/J2103,0),1.3),MIN(MAX(J2103/K2103,0),1.3))),"")</f>
        <v>1.083</v>
      </c>
      <c r="M2103" s="39">
        <f t="shared" si="132"/>
        <v>1.083</v>
      </c>
      <c r="N2103" t="s">
        <v>25</v>
      </c>
      <c r="O2103" t="s">
        <v>25</v>
      </c>
      <c r="P2103">
        <v>0</v>
      </c>
      <c r="Q2103">
        <v>0</v>
      </c>
      <c r="R2103" t="s">
        <v>2914</v>
      </c>
    </row>
    <row r="2104" spans="1:18" hidden="1" x14ac:dyDescent="0.3">
      <c r="A2104">
        <v>419</v>
      </c>
      <c r="B2104" t="s">
        <v>1176</v>
      </c>
      <c r="D2104" t="s">
        <v>21</v>
      </c>
      <c r="E2104" t="s">
        <v>22</v>
      </c>
      <c r="F2104" s="79">
        <v>45199</v>
      </c>
      <c r="G2104">
        <v>2023</v>
      </c>
      <c r="H2104" t="s">
        <v>162</v>
      </c>
      <c r="I2104" t="s">
        <v>28</v>
      </c>
      <c r="J2104">
        <v>100</v>
      </c>
      <c r="K2104">
        <v>88.35</v>
      </c>
      <c r="L2104" s="39">
        <f>IFERROR(IF(OR(J2104=0,K2104=""),"",IF(E2104="Positivo",MIN(MAX(K2104/J2104,0),1.3),MIN(MAX(J2104/K2104,0),1.3))),"")</f>
        <v>0.88349999999999995</v>
      </c>
      <c r="M2104" s="39">
        <f t="shared" si="132"/>
        <v>0.88349999999999995</v>
      </c>
      <c r="N2104" t="s">
        <v>25</v>
      </c>
      <c r="O2104" t="s">
        <v>25</v>
      </c>
      <c r="P2104">
        <v>0</v>
      </c>
      <c r="Q2104">
        <v>0</v>
      </c>
      <c r="R2104" t="s">
        <v>2915</v>
      </c>
    </row>
    <row r="2105" spans="1:18" hidden="1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45291</v>
      </c>
      <c r="G2105">
        <v>2023</v>
      </c>
      <c r="H2105" t="s">
        <v>23</v>
      </c>
      <c r="I2105" t="s">
        <v>28</v>
      </c>
      <c r="J2105">
        <v>100</v>
      </c>
      <c r="K2105">
        <v>93.56</v>
      </c>
      <c r="L2105" s="39">
        <f>IFERROR(IF(OR(J2105=0,K2105=""),"",IF(E2105="Positivo",MIN(MAX(K2105/J2105,0),1.3),MIN(MAX(J2105/K2105,0),1.3))),"")</f>
        <v>0.93559999999999999</v>
      </c>
      <c r="M2105" s="39">
        <f t="shared" ref="M2105:M2135" si="134">IFERROR(IF(OR(J2105=0,K2105=""),"",IF(E2105="Positivo",MAX(K2105/J2105,0),MAX(J2105/K2105,0))),"")</f>
        <v>0.93559999999999999</v>
      </c>
      <c r="N2105" t="s">
        <v>25</v>
      </c>
      <c r="O2105" t="s">
        <v>25</v>
      </c>
      <c r="P2105">
        <v>0</v>
      </c>
      <c r="Q2105">
        <v>0</v>
      </c>
      <c r="R2105" t="s">
        <v>1177</v>
      </c>
    </row>
    <row r="2106" spans="1:18" hidden="1" x14ac:dyDescent="0.3">
      <c r="A2106">
        <v>420</v>
      </c>
      <c r="B2106" t="s">
        <v>1178</v>
      </c>
      <c r="C2106" t="s">
        <v>567</v>
      </c>
      <c r="D2106" t="s">
        <v>27</v>
      </c>
      <c r="E2106" t="s">
        <v>22</v>
      </c>
      <c r="F2106" s="79">
        <v>45016</v>
      </c>
      <c r="G2106">
        <v>2023</v>
      </c>
      <c r="H2106" t="s">
        <v>1516</v>
      </c>
      <c r="I2106" t="s">
        <v>1512</v>
      </c>
      <c r="J2106">
        <v>100</v>
      </c>
      <c r="K2106">
        <v>0</v>
      </c>
      <c r="L2106" s="39">
        <f t="shared" ref="L2106:L2116" si="135">IFERROR(IF(OR(J2106=0,K2106=""),"",IF(E2106="Positivo",MIN(MAX(K2106/J2106,0),1),MIN(MAX(J2106/K2106,0),1))),"")</f>
        <v>0</v>
      </c>
      <c r="M2106" s="39">
        <f t="shared" si="134"/>
        <v>0</v>
      </c>
      <c r="N2106" t="s">
        <v>25</v>
      </c>
      <c r="O2106" t="s">
        <v>25</v>
      </c>
      <c r="P2106">
        <v>0</v>
      </c>
      <c r="Q2106">
        <v>0</v>
      </c>
      <c r="R2106" t="s">
        <v>2916</v>
      </c>
    </row>
    <row r="2107" spans="1:18" hidden="1" x14ac:dyDescent="0.3">
      <c r="A2107">
        <v>420</v>
      </c>
      <c r="B2107" t="s">
        <v>1178</v>
      </c>
      <c r="D2107" t="s">
        <v>21</v>
      </c>
      <c r="E2107" t="s">
        <v>22</v>
      </c>
      <c r="F2107" s="79">
        <v>45107</v>
      </c>
      <c r="G2107">
        <v>2023</v>
      </c>
      <c r="H2107" t="s">
        <v>699</v>
      </c>
      <c r="I2107" t="s">
        <v>1512</v>
      </c>
      <c r="J2107">
        <v>100</v>
      </c>
      <c r="K2107">
        <v>106.53</v>
      </c>
      <c r="L2107" s="39">
        <f t="shared" si="135"/>
        <v>1</v>
      </c>
      <c r="M2107" s="39">
        <f t="shared" si="134"/>
        <v>1.0652999999999999</v>
      </c>
      <c r="N2107" t="s">
        <v>25</v>
      </c>
      <c r="O2107" t="s">
        <v>25</v>
      </c>
      <c r="P2107">
        <v>0</v>
      </c>
      <c r="Q2107">
        <v>0</v>
      </c>
      <c r="R2107" t="s">
        <v>2917</v>
      </c>
    </row>
    <row r="2108" spans="1:18" hidden="1" x14ac:dyDescent="0.3">
      <c r="A2108">
        <v>420</v>
      </c>
      <c r="B2108" t="s">
        <v>1178</v>
      </c>
      <c r="D2108" t="s">
        <v>21</v>
      </c>
      <c r="E2108" t="s">
        <v>22</v>
      </c>
      <c r="F2108" s="79">
        <v>45199</v>
      </c>
      <c r="G2108">
        <v>2023</v>
      </c>
      <c r="H2108" t="s">
        <v>162</v>
      </c>
      <c r="I2108" t="s">
        <v>28</v>
      </c>
      <c r="J2108">
        <v>100</v>
      </c>
      <c r="K2108">
        <v>94.69</v>
      </c>
      <c r="L2108" s="39">
        <f t="shared" si="135"/>
        <v>0.94689999999999996</v>
      </c>
      <c r="M2108" s="39">
        <f t="shared" si="134"/>
        <v>0.94689999999999996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hidden="1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45291</v>
      </c>
      <c r="G2109">
        <v>2023</v>
      </c>
      <c r="H2109" t="s">
        <v>23</v>
      </c>
      <c r="I2109" t="s">
        <v>28</v>
      </c>
      <c r="J2109">
        <v>100</v>
      </c>
      <c r="K2109">
        <v>100</v>
      </c>
      <c r="L2109" s="39">
        <f t="shared" si="135"/>
        <v>1</v>
      </c>
      <c r="M2109" s="39">
        <f t="shared" si="134"/>
        <v>1</v>
      </c>
      <c r="N2109" t="s">
        <v>25</v>
      </c>
      <c r="O2109" t="s">
        <v>25</v>
      </c>
      <c r="P2109">
        <v>0</v>
      </c>
      <c r="Q2109">
        <v>0</v>
      </c>
      <c r="R2109" t="s">
        <v>1179</v>
      </c>
    </row>
    <row r="2110" spans="1:18" hidden="1" x14ac:dyDescent="0.3">
      <c r="A2110">
        <v>420</v>
      </c>
      <c r="B2110" t="s">
        <v>1178</v>
      </c>
      <c r="C2110" t="s">
        <v>567</v>
      </c>
      <c r="D2110" t="s">
        <v>21</v>
      </c>
      <c r="E2110" t="s">
        <v>22</v>
      </c>
      <c r="F2110" s="79">
        <v>45473</v>
      </c>
      <c r="G2110">
        <v>2024</v>
      </c>
      <c r="H2110" t="s">
        <v>699</v>
      </c>
      <c r="I2110" t="s">
        <v>729</v>
      </c>
      <c r="J2110">
        <v>100</v>
      </c>
      <c r="K2110">
        <v>89.33</v>
      </c>
      <c r="L2110" s="39">
        <f t="shared" si="135"/>
        <v>0.89329999999999998</v>
      </c>
      <c r="M2110" s="39">
        <f t="shared" si="134"/>
        <v>0.89329999999999998</v>
      </c>
      <c r="N2110" t="s">
        <v>25</v>
      </c>
      <c r="O2110" t="s">
        <v>25</v>
      </c>
      <c r="P2110">
        <v>0</v>
      </c>
      <c r="Q2110">
        <v>0</v>
      </c>
      <c r="R2110" t="s">
        <v>2919</v>
      </c>
    </row>
    <row r="2111" spans="1:18" hidden="1" x14ac:dyDescent="0.3">
      <c r="A2111">
        <v>420</v>
      </c>
      <c r="B2111" t="s">
        <v>1178</v>
      </c>
      <c r="C2111" t="s">
        <v>567</v>
      </c>
      <c r="D2111" t="s">
        <v>21</v>
      </c>
      <c r="E2111" t="s">
        <v>22</v>
      </c>
      <c r="F2111" s="79">
        <v>45565</v>
      </c>
      <c r="G2111">
        <v>2024</v>
      </c>
      <c r="H2111" t="s">
        <v>162</v>
      </c>
      <c r="I2111" t="s">
        <v>30</v>
      </c>
      <c r="J2111">
        <v>100</v>
      </c>
      <c r="K2111">
        <v>102.36</v>
      </c>
      <c r="L2111" s="39">
        <f t="shared" si="135"/>
        <v>1</v>
      </c>
      <c r="M2111" s="39">
        <f t="shared" si="134"/>
        <v>1.0236000000000001</v>
      </c>
      <c r="N2111" t="s">
        <v>25</v>
      </c>
      <c r="O2111" t="s">
        <v>25</v>
      </c>
      <c r="P2111">
        <v>0</v>
      </c>
      <c r="Q2111">
        <v>0</v>
      </c>
      <c r="R2111" t="s">
        <v>2920</v>
      </c>
    </row>
    <row r="2112" spans="1:18" hidden="1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45657</v>
      </c>
      <c r="G2112">
        <v>2024</v>
      </c>
      <c r="H2112" t="s">
        <v>23</v>
      </c>
      <c r="I2112" t="s">
        <v>30</v>
      </c>
      <c r="J2112">
        <v>100</v>
      </c>
      <c r="K2112">
        <v>96.67</v>
      </c>
      <c r="L2112" s="39">
        <f t="shared" si="135"/>
        <v>0.9667</v>
      </c>
      <c r="M2112" s="39">
        <f t="shared" si="134"/>
        <v>0.9667</v>
      </c>
      <c r="N2112" t="s">
        <v>25</v>
      </c>
      <c r="O2112" t="s">
        <v>25</v>
      </c>
      <c r="P2112">
        <v>0</v>
      </c>
      <c r="Q2112">
        <v>0</v>
      </c>
      <c r="R2112" t="s">
        <v>1180</v>
      </c>
    </row>
    <row r="2113" spans="1:18" hidden="1" x14ac:dyDescent="0.3">
      <c r="A2113">
        <v>420</v>
      </c>
      <c r="B2113" t="s">
        <v>1178</v>
      </c>
      <c r="C2113" t="s">
        <v>567</v>
      </c>
      <c r="D2113" t="s">
        <v>27</v>
      </c>
      <c r="E2113" t="s">
        <v>22</v>
      </c>
      <c r="F2113" s="79">
        <v>45747</v>
      </c>
      <c r="G2113">
        <v>2025</v>
      </c>
      <c r="H2113" t="s">
        <v>1516</v>
      </c>
      <c r="I2113" t="s">
        <v>700</v>
      </c>
      <c r="J2113">
        <v>100</v>
      </c>
      <c r="K2113">
        <v>122.2</v>
      </c>
      <c r="L2113" s="39">
        <f t="shared" si="135"/>
        <v>1</v>
      </c>
      <c r="M2113" s="39">
        <f t="shared" si="134"/>
        <v>1.222</v>
      </c>
      <c r="N2113" t="s">
        <v>25</v>
      </c>
      <c r="O2113" t="s">
        <v>25</v>
      </c>
      <c r="P2113">
        <v>0</v>
      </c>
      <c r="Q2113">
        <v>0</v>
      </c>
      <c r="R2113" t="s">
        <v>2921</v>
      </c>
    </row>
    <row r="2114" spans="1:18" hidden="1" x14ac:dyDescent="0.3">
      <c r="A2114">
        <v>420</v>
      </c>
      <c r="B2114" t="s">
        <v>1178</v>
      </c>
      <c r="C2114" t="s">
        <v>567</v>
      </c>
      <c r="D2114" t="s">
        <v>27</v>
      </c>
      <c r="E2114" t="s">
        <v>22</v>
      </c>
      <c r="F2114" s="79">
        <v>45838</v>
      </c>
      <c r="G2114">
        <v>2025</v>
      </c>
      <c r="H2114" t="s">
        <v>699</v>
      </c>
      <c r="I2114" t="s">
        <v>700</v>
      </c>
      <c r="J2114">
        <v>100</v>
      </c>
      <c r="K2114">
        <v>108.52</v>
      </c>
      <c r="L2114" s="39">
        <f t="shared" si="135"/>
        <v>1</v>
      </c>
      <c r="M2114" s="39">
        <f t="shared" si="134"/>
        <v>1.0851999999999999</v>
      </c>
      <c r="N2114" t="s">
        <v>25</v>
      </c>
      <c r="O2114" t="s">
        <v>25</v>
      </c>
      <c r="P2114">
        <v>0</v>
      </c>
      <c r="Q2114">
        <v>0</v>
      </c>
      <c r="R2114" t="s">
        <v>2922</v>
      </c>
    </row>
    <row r="2115" spans="1:18" hidden="1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45930</v>
      </c>
      <c r="G2115">
        <v>2025</v>
      </c>
      <c r="H2115" t="s">
        <v>162</v>
      </c>
      <c r="I2115" t="s">
        <v>32</v>
      </c>
      <c r="J2115">
        <v>100</v>
      </c>
      <c r="K2115">
        <v>100.3</v>
      </c>
      <c r="L2115" s="39">
        <f t="shared" si="135"/>
        <v>1</v>
      </c>
      <c r="M2115" s="39">
        <f t="shared" si="134"/>
        <v>1.0029999999999999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hidden="1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46022</v>
      </c>
      <c r="G2116">
        <v>2025</v>
      </c>
      <c r="H2116" t="s">
        <v>23</v>
      </c>
      <c r="I2116" t="s">
        <v>32</v>
      </c>
      <c r="J2116">
        <v>100</v>
      </c>
      <c r="K2116">
        <v>100</v>
      </c>
      <c r="L2116" s="39">
        <f t="shared" si="135"/>
        <v>1</v>
      </c>
      <c r="M2116" s="39">
        <f t="shared" si="134"/>
        <v>1</v>
      </c>
      <c r="N2116" t="s">
        <v>25</v>
      </c>
      <c r="O2116" t="s">
        <v>25</v>
      </c>
      <c r="P2116">
        <v>0</v>
      </c>
      <c r="Q2116">
        <v>0</v>
      </c>
      <c r="R2116" t="s">
        <v>1181</v>
      </c>
    </row>
    <row r="2117" spans="1:18" hidden="1" x14ac:dyDescent="0.3">
      <c r="A2117">
        <v>421</v>
      </c>
      <c r="B2117" t="s">
        <v>1182</v>
      </c>
      <c r="C2117" t="s">
        <v>1183</v>
      </c>
      <c r="D2117" t="s">
        <v>27</v>
      </c>
      <c r="E2117" t="s">
        <v>22</v>
      </c>
      <c r="F2117" s="79">
        <v>45107</v>
      </c>
      <c r="G2117">
        <v>2023</v>
      </c>
      <c r="H2117" t="s">
        <v>699</v>
      </c>
      <c r="I2117" t="s">
        <v>1512</v>
      </c>
      <c r="J2117">
        <v>104072</v>
      </c>
      <c r="K2117">
        <v>140002</v>
      </c>
      <c r="L2117" s="39">
        <f t="shared" ref="L2117:L2135" si="136">IFERROR(IF(OR(J2117=0,K2117=""),"",IF(E2117="Positivo",MIN(MAX(K2117/J2117,0),1.3),MIN(MAX(J2117/K2117,0),1.3))),"")</f>
        <v>1.3</v>
      </c>
      <c r="M2117" s="39">
        <f t="shared" si="134"/>
        <v>1.3452417557075871</v>
      </c>
      <c r="N2117" t="s">
        <v>25</v>
      </c>
      <c r="O2117" t="s">
        <v>25</v>
      </c>
      <c r="P2117">
        <v>0</v>
      </c>
      <c r="Q2117">
        <v>0</v>
      </c>
      <c r="R2117" t="s">
        <v>2924</v>
      </c>
    </row>
    <row r="2118" spans="1:18" hidden="1" x14ac:dyDescent="0.3">
      <c r="A2118">
        <v>421</v>
      </c>
      <c r="B2118" t="s">
        <v>1182</v>
      </c>
      <c r="C2118" t="s">
        <v>1183</v>
      </c>
      <c r="D2118" t="s">
        <v>27</v>
      </c>
      <c r="E2118" t="s">
        <v>22</v>
      </c>
      <c r="F2118" s="79">
        <v>45291</v>
      </c>
      <c r="G2118">
        <v>2023</v>
      </c>
      <c r="H2118" t="s">
        <v>23</v>
      </c>
      <c r="I2118" t="s">
        <v>28</v>
      </c>
      <c r="J2118">
        <v>97200</v>
      </c>
      <c r="K2118">
        <v>136199</v>
      </c>
      <c r="L2118" s="39">
        <f t="shared" si="136"/>
        <v>1.3</v>
      </c>
      <c r="M2118" s="39">
        <f t="shared" si="134"/>
        <v>1.4012242798353909</v>
      </c>
      <c r="N2118" t="s">
        <v>25</v>
      </c>
      <c r="O2118" t="s">
        <v>25</v>
      </c>
      <c r="P2118">
        <v>0</v>
      </c>
      <c r="Q2118">
        <v>0</v>
      </c>
      <c r="R2118" t="s">
        <v>1184</v>
      </c>
    </row>
    <row r="2119" spans="1:18" hidden="1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45473</v>
      </c>
      <c r="G2119">
        <v>2024</v>
      </c>
      <c r="H2119" t="s">
        <v>699</v>
      </c>
      <c r="I2119" t="s">
        <v>729</v>
      </c>
      <c r="J2119">
        <v>147043</v>
      </c>
      <c r="K2119">
        <v>177740</v>
      </c>
      <c r="L2119" s="39">
        <f t="shared" si="136"/>
        <v>1.2087620627979572</v>
      </c>
      <c r="M2119" s="39">
        <f t="shared" si="134"/>
        <v>1.2087620627979572</v>
      </c>
      <c r="N2119" t="s">
        <v>25</v>
      </c>
      <c r="O2119" t="s">
        <v>25</v>
      </c>
      <c r="P2119">
        <v>0</v>
      </c>
      <c r="Q2119">
        <v>0</v>
      </c>
      <c r="R2119" t="s">
        <v>2925</v>
      </c>
    </row>
    <row r="2120" spans="1:18" hidden="1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121.44</v>
      </c>
      <c r="L2120" s="39">
        <f t="shared" si="136"/>
        <v>1.2143999999999999</v>
      </c>
      <c r="M2120" s="39">
        <f t="shared" si="134"/>
        <v>1.2143999999999999</v>
      </c>
      <c r="P2120">
        <v>0</v>
      </c>
      <c r="Q2120">
        <v>0</v>
      </c>
      <c r="R2120" t="s">
        <v>1185</v>
      </c>
    </row>
    <row r="2121" spans="1:18" hidden="1" x14ac:dyDescent="0.3">
      <c r="A2121">
        <v>422</v>
      </c>
      <c r="B2121" t="s">
        <v>1186</v>
      </c>
      <c r="C2121" t="s">
        <v>1183</v>
      </c>
      <c r="D2121" t="s">
        <v>27</v>
      </c>
      <c r="E2121" t="s">
        <v>22</v>
      </c>
      <c r="F2121" s="79">
        <v>45107</v>
      </c>
      <c r="G2121">
        <v>2023</v>
      </c>
      <c r="H2121" t="s">
        <v>699</v>
      </c>
      <c r="I2121" t="s">
        <v>1512</v>
      </c>
      <c r="J2121">
        <v>11.7</v>
      </c>
      <c r="K2121">
        <v>11.973211368834001</v>
      </c>
      <c r="L2121" s="39">
        <f t="shared" si="136"/>
        <v>1.0233513990456411</v>
      </c>
      <c r="M2121" s="39">
        <f t="shared" si="134"/>
        <v>1.0233513990456411</v>
      </c>
      <c r="N2121" t="s">
        <v>25</v>
      </c>
      <c r="O2121" t="s">
        <v>25</v>
      </c>
      <c r="P2121">
        <v>2</v>
      </c>
      <c r="Q2121">
        <v>2</v>
      </c>
      <c r="R2121" t="s">
        <v>2926</v>
      </c>
    </row>
    <row r="2122" spans="1:18" hidden="1" x14ac:dyDescent="0.3">
      <c r="A2122">
        <v>422</v>
      </c>
      <c r="B2122" t="s">
        <v>1186</v>
      </c>
      <c r="C2122" t="s">
        <v>1183</v>
      </c>
      <c r="D2122" t="s">
        <v>27</v>
      </c>
      <c r="E2122" t="s">
        <v>22</v>
      </c>
      <c r="F2122" s="79">
        <v>45291</v>
      </c>
      <c r="G2122">
        <v>2023</v>
      </c>
      <c r="H2122" t="s">
        <v>23</v>
      </c>
      <c r="I2122" t="s">
        <v>28</v>
      </c>
      <c r="J2122">
        <v>10.5</v>
      </c>
      <c r="K2122">
        <v>11.04</v>
      </c>
      <c r="L2122" s="39">
        <f t="shared" si="136"/>
        <v>1.0514285714285714</v>
      </c>
      <c r="M2122" s="39">
        <f t="shared" si="134"/>
        <v>1.0514285714285714</v>
      </c>
      <c r="N2122" t="s">
        <v>25</v>
      </c>
      <c r="O2122" t="s">
        <v>25</v>
      </c>
      <c r="P2122">
        <v>2</v>
      </c>
      <c r="Q2122">
        <v>2</v>
      </c>
      <c r="R2122" t="s">
        <v>1187</v>
      </c>
    </row>
    <row r="2123" spans="1:18" hidden="1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45473</v>
      </c>
      <c r="G2123">
        <v>2024</v>
      </c>
      <c r="H2123" t="s">
        <v>699</v>
      </c>
      <c r="I2123" t="s">
        <v>729</v>
      </c>
      <c r="J2123">
        <v>9.25</v>
      </c>
      <c r="K2123">
        <v>8.86</v>
      </c>
      <c r="L2123" s="39">
        <f t="shared" si="136"/>
        <v>0.95783783783783782</v>
      </c>
      <c r="M2123" s="39">
        <f t="shared" si="134"/>
        <v>0.95783783783783782</v>
      </c>
      <c r="N2123" t="s">
        <v>25</v>
      </c>
      <c r="O2123" t="s">
        <v>25</v>
      </c>
      <c r="P2123">
        <v>2</v>
      </c>
      <c r="Q2123">
        <v>2</v>
      </c>
      <c r="R2123" t="s">
        <v>2927</v>
      </c>
    </row>
    <row r="2124" spans="1:18" hidden="1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45657</v>
      </c>
      <c r="G2124">
        <v>2024</v>
      </c>
      <c r="H2124" t="s">
        <v>23</v>
      </c>
      <c r="I2124" t="s">
        <v>30</v>
      </c>
      <c r="J2124">
        <v>8.01</v>
      </c>
      <c r="K2124">
        <v>7.91</v>
      </c>
      <c r="L2124" s="39">
        <f t="shared" si="136"/>
        <v>0.98751560549313366</v>
      </c>
      <c r="M2124" s="39">
        <f t="shared" si="134"/>
        <v>0.98751560549313366</v>
      </c>
      <c r="N2124" t="s">
        <v>25</v>
      </c>
      <c r="O2124" t="s">
        <v>25</v>
      </c>
      <c r="P2124">
        <v>2</v>
      </c>
      <c r="Q2124">
        <v>2</v>
      </c>
      <c r="R2124" t="s">
        <v>1188</v>
      </c>
    </row>
    <row r="2125" spans="1:18" hidden="1" x14ac:dyDescent="0.3">
      <c r="A2125">
        <v>422</v>
      </c>
      <c r="B2125" t="s">
        <v>1186</v>
      </c>
      <c r="C2125" t="s">
        <v>1183</v>
      </c>
      <c r="D2125" t="s">
        <v>21</v>
      </c>
      <c r="E2125" t="s">
        <v>22</v>
      </c>
      <c r="F2125" s="79">
        <v>45838</v>
      </c>
      <c r="G2125">
        <v>2025</v>
      </c>
      <c r="H2125" t="s">
        <v>699</v>
      </c>
      <c r="I2125" t="s">
        <v>700</v>
      </c>
      <c r="J2125">
        <v>7.83</v>
      </c>
      <c r="K2125">
        <v>8.1999999999999993</v>
      </c>
      <c r="L2125" s="39">
        <f t="shared" si="136"/>
        <v>1.0472541507024264</v>
      </c>
      <c r="M2125" s="39">
        <f t="shared" si="134"/>
        <v>1.0472541507024264</v>
      </c>
      <c r="N2125" t="s">
        <v>25</v>
      </c>
      <c r="O2125" t="s">
        <v>25</v>
      </c>
      <c r="P2125">
        <v>2</v>
      </c>
      <c r="Q2125">
        <v>2</v>
      </c>
      <c r="R2125" t="s">
        <v>2928</v>
      </c>
    </row>
    <row r="2126" spans="1:18" hidden="1" x14ac:dyDescent="0.3">
      <c r="A2126">
        <v>422</v>
      </c>
      <c r="B2126" t="s">
        <v>1186</v>
      </c>
      <c r="C2126" t="s">
        <v>1183</v>
      </c>
      <c r="D2126" t="s">
        <v>21</v>
      </c>
      <c r="E2126" t="s">
        <v>22</v>
      </c>
      <c r="F2126" s="79">
        <v>46022</v>
      </c>
      <c r="G2126">
        <v>2025</v>
      </c>
      <c r="H2126" t="s">
        <v>23</v>
      </c>
      <c r="I2126" t="s">
        <v>32</v>
      </c>
      <c r="J2126">
        <v>7.68</v>
      </c>
      <c r="K2126">
        <v>7.87</v>
      </c>
      <c r="L2126" s="39">
        <f t="shared" si="136"/>
        <v>1.0247395833333335</v>
      </c>
      <c r="M2126" s="39">
        <f t="shared" si="134"/>
        <v>1.0247395833333335</v>
      </c>
      <c r="N2126" t="s">
        <v>25</v>
      </c>
      <c r="O2126" t="s">
        <v>25</v>
      </c>
      <c r="P2126">
        <v>2</v>
      </c>
      <c r="Q2126">
        <v>2</v>
      </c>
      <c r="R2126" t="s">
        <v>1189</v>
      </c>
    </row>
    <row r="2127" spans="1:18" hidden="1" x14ac:dyDescent="0.3">
      <c r="A2127">
        <v>423</v>
      </c>
      <c r="B2127" t="s">
        <v>1190</v>
      </c>
      <c r="C2127" t="s">
        <v>1183</v>
      </c>
      <c r="D2127" t="s">
        <v>71</v>
      </c>
      <c r="E2127" t="s">
        <v>22</v>
      </c>
      <c r="F2127" s="79">
        <v>45291</v>
      </c>
      <c r="G2127">
        <v>2023</v>
      </c>
      <c r="H2127" t="s">
        <v>23</v>
      </c>
      <c r="I2127" t="s">
        <v>28</v>
      </c>
      <c r="J2127">
        <v>8.4</v>
      </c>
      <c r="K2127">
        <v>7.9</v>
      </c>
      <c r="L2127" s="39">
        <f t="shared" si="136"/>
        <v>0.94047619047619047</v>
      </c>
      <c r="M2127" s="39">
        <f t="shared" si="134"/>
        <v>0.94047619047619047</v>
      </c>
      <c r="N2127" t="s">
        <v>25</v>
      </c>
      <c r="O2127" t="s">
        <v>25</v>
      </c>
      <c r="P2127">
        <v>1</v>
      </c>
      <c r="Q2127">
        <v>1</v>
      </c>
      <c r="R2127" t="s">
        <v>1191</v>
      </c>
    </row>
    <row r="2128" spans="1:18" hidden="1" x14ac:dyDescent="0.3">
      <c r="A2128">
        <v>423</v>
      </c>
      <c r="B2128" t="s">
        <v>1190</v>
      </c>
      <c r="C2128" t="s">
        <v>1183</v>
      </c>
      <c r="D2128" t="s">
        <v>71</v>
      </c>
      <c r="E2128" t="s">
        <v>22</v>
      </c>
      <c r="F2128" s="79">
        <v>45657</v>
      </c>
      <c r="G2128">
        <v>2024</v>
      </c>
      <c r="H2128" t="s">
        <v>23</v>
      </c>
      <c r="I2128" t="s">
        <v>30</v>
      </c>
      <c r="J2128">
        <v>8.3000000000000007</v>
      </c>
      <c r="K2128">
        <v>12.3</v>
      </c>
      <c r="L2128" s="39">
        <f t="shared" si="136"/>
        <v>1.3</v>
      </c>
      <c r="M2128" s="39">
        <f t="shared" si="134"/>
        <v>1.4819277108433735</v>
      </c>
      <c r="P2128">
        <v>1</v>
      </c>
      <c r="Q2128">
        <v>1</v>
      </c>
      <c r="R2128" t="s">
        <v>1192</v>
      </c>
    </row>
    <row r="2129" spans="1:18" hidden="1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46022</v>
      </c>
      <c r="G2129">
        <v>2025</v>
      </c>
      <c r="H2129" t="s">
        <v>23</v>
      </c>
      <c r="I2129" t="s">
        <v>32</v>
      </c>
      <c r="J2129">
        <v>12.3</v>
      </c>
      <c r="K2129">
        <v>15.1</v>
      </c>
      <c r="L2129" s="39">
        <f t="shared" si="136"/>
        <v>1.2276422764227641</v>
      </c>
      <c r="M2129" s="39">
        <f t="shared" si="134"/>
        <v>1.2276422764227641</v>
      </c>
      <c r="N2129" t="s">
        <v>136</v>
      </c>
      <c r="O2129" t="s">
        <v>136</v>
      </c>
      <c r="P2129">
        <v>1</v>
      </c>
      <c r="Q2129">
        <v>1</v>
      </c>
      <c r="R2129" t="s">
        <v>1193</v>
      </c>
    </row>
    <row r="2130" spans="1:18" hidden="1" x14ac:dyDescent="0.3">
      <c r="A2130">
        <v>424</v>
      </c>
      <c r="B2130" t="s">
        <v>1194</v>
      </c>
      <c r="C2130" t="s">
        <v>1183</v>
      </c>
      <c r="D2130" t="s">
        <v>71</v>
      </c>
      <c r="E2130" t="s">
        <v>22</v>
      </c>
      <c r="F2130" s="79">
        <v>45291</v>
      </c>
      <c r="G2130">
        <v>2023</v>
      </c>
      <c r="H2130" t="s">
        <v>23</v>
      </c>
      <c r="I2130" t="s">
        <v>28</v>
      </c>
      <c r="J2130">
        <v>92</v>
      </c>
      <c r="K2130">
        <v>6</v>
      </c>
      <c r="L2130" s="39">
        <f t="shared" si="136"/>
        <v>6.5217391304347824E-2</v>
      </c>
      <c r="M2130" s="39">
        <f t="shared" si="134"/>
        <v>6.5217391304347824E-2</v>
      </c>
      <c r="P2130">
        <v>0</v>
      </c>
      <c r="Q2130">
        <v>0</v>
      </c>
      <c r="R2130" t="s">
        <v>1195</v>
      </c>
    </row>
    <row r="2131" spans="1:18" hidden="1" x14ac:dyDescent="0.3">
      <c r="A2131">
        <v>424</v>
      </c>
      <c r="B2131" t="s">
        <v>1194</v>
      </c>
      <c r="C2131" t="s">
        <v>1183</v>
      </c>
      <c r="D2131" t="s">
        <v>71</v>
      </c>
      <c r="E2131" t="s">
        <v>22</v>
      </c>
      <c r="F2131" s="79">
        <v>45657</v>
      </c>
      <c r="G2131">
        <v>2024</v>
      </c>
      <c r="H2131" t="s">
        <v>23</v>
      </c>
      <c r="I2131" t="s">
        <v>30</v>
      </c>
      <c r="J2131">
        <v>7</v>
      </c>
      <c r="K2131">
        <v>9</v>
      </c>
      <c r="L2131" s="39">
        <f t="shared" si="136"/>
        <v>1.2857142857142858</v>
      </c>
      <c r="M2131" s="39">
        <f t="shared" si="134"/>
        <v>1.2857142857142858</v>
      </c>
      <c r="P2131">
        <v>0</v>
      </c>
      <c r="Q2131">
        <v>0</v>
      </c>
      <c r="R2131" t="s">
        <v>1196</v>
      </c>
    </row>
    <row r="2132" spans="1:18" hidden="1" x14ac:dyDescent="0.3">
      <c r="A2132">
        <v>424</v>
      </c>
      <c r="B2132" t="s">
        <v>2929</v>
      </c>
      <c r="C2132" t="s">
        <v>1183</v>
      </c>
      <c r="D2132" t="s">
        <v>71</v>
      </c>
      <c r="E2132" t="s">
        <v>22</v>
      </c>
      <c r="F2132" s="79">
        <v>46022</v>
      </c>
      <c r="G2132">
        <v>2025</v>
      </c>
      <c r="H2132" t="s">
        <v>23</v>
      </c>
      <c r="I2132" t="s">
        <v>32</v>
      </c>
      <c r="J2132">
        <v>9</v>
      </c>
      <c r="K2132">
        <v>11</v>
      </c>
      <c r="L2132" s="39">
        <f t="shared" si="136"/>
        <v>1.2222222222222223</v>
      </c>
      <c r="M2132" s="39">
        <f t="shared" si="134"/>
        <v>1.2222222222222223</v>
      </c>
      <c r="N2132" t="s">
        <v>128</v>
      </c>
      <c r="O2132" t="s">
        <v>128</v>
      </c>
      <c r="P2132">
        <v>0</v>
      </c>
      <c r="Q2132">
        <v>0</v>
      </c>
      <c r="R2132" t="s">
        <v>1197</v>
      </c>
    </row>
    <row r="2133" spans="1:18" hidden="1" x14ac:dyDescent="0.3">
      <c r="A2133">
        <v>425</v>
      </c>
      <c r="B2133" t="s">
        <v>1198</v>
      </c>
      <c r="C2133" t="s">
        <v>1044</v>
      </c>
      <c r="D2133" t="s">
        <v>71</v>
      </c>
      <c r="E2133" t="s">
        <v>22</v>
      </c>
      <c r="F2133" s="79">
        <v>45291</v>
      </c>
      <c r="G2133">
        <v>2023</v>
      </c>
      <c r="H2133" t="s">
        <v>23</v>
      </c>
      <c r="I2133" t="s">
        <v>28</v>
      </c>
      <c r="J2133">
        <v>5500</v>
      </c>
      <c r="K2133">
        <v>5785</v>
      </c>
      <c r="L2133" s="39">
        <f t="shared" si="136"/>
        <v>1.0518181818181818</v>
      </c>
      <c r="M2133" s="39">
        <f t="shared" si="134"/>
        <v>1.0518181818181818</v>
      </c>
      <c r="N2133" t="s">
        <v>205</v>
      </c>
      <c r="O2133" t="s">
        <v>205</v>
      </c>
      <c r="P2133">
        <v>0</v>
      </c>
      <c r="Q2133">
        <v>0</v>
      </c>
      <c r="R2133" t="s">
        <v>1199</v>
      </c>
    </row>
    <row r="2134" spans="1:18" hidden="1" x14ac:dyDescent="0.3">
      <c r="A2134">
        <v>425</v>
      </c>
      <c r="B2134" t="s">
        <v>1198</v>
      </c>
      <c r="C2134" t="s">
        <v>1044</v>
      </c>
      <c r="D2134" t="s">
        <v>27</v>
      </c>
      <c r="E2134" t="s">
        <v>22</v>
      </c>
      <c r="F2134" s="79">
        <v>45473</v>
      </c>
      <c r="G2134">
        <v>2024</v>
      </c>
      <c r="H2134" t="s">
        <v>699</v>
      </c>
      <c r="I2134" t="s">
        <v>729</v>
      </c>
      <c r="J2134">
        <v>100</v>
      </c>
      <c r="K2134">
        <v>60.69</v>
      </c>
      <c r="L2134" s="39">
        <f t="shared" si="136"/>
        <v>0.6069</v>
      </c>
      <c r="M2134" s="39">
        <f t="shared" si="134"/>
        <v>0.6069</v>
      </c>
      <c r="N2134" t="s">
        <v>128</v>
      </c>
      <c r="O2134" t="s">
        <v>128</v>
      </c>
      <c r="P2134">
        <v>0</v>
      </c>
      <c r="Q2134">
        <v>0</v>
      </c>
      <c r="R2134" t="s">
        <v>2930</v>
      </c>
    </row>
    <row r="2135" spans="1:18" hidden="1" x14ac:dyDescent="0.3">
      <c r="A2135">
        <v>425</v>
      </c>
      <c r="B2135" t="s">
        <v>1198</v>
      </c>
      <c r="C2135" t="s">
        <v>1044</v>
      </c>
      <c r="D2135" t="s">
        <v>27</v>
      </c>
      <c r="E2135" t="s">
        <v>22</v>
      </c>
      <c r="F2135" s="79">
        <v>45657</v>
      </c>
      <c r="G2135">
        <v>2024</v>
      </c>
      <c r="H2135" t="s">
        <v>23</v>
      </c>
      <c r="I2135" t="s">
        <v>30</v>
      </c>
      <c r="J2135">
        <v>100</v>
      </c>
      <c r="K2135">
        <v>164.69</v>
      </c>
      <c r="L2135" s="39">
        <f t="shared" si="136"/>
        <v>1.3</v>
      </c>
      <c r="M2135" s="39">
        <f t="shared" si="134"/>
        <v>1.6469</v>
      </c>
      <c r="N2135" t="s">
        <v>128</v>
      </c>
      <c r="O2135" t="s">
        <v>128</v>
      </c>
      <c r="P2135">
        <v>0</v>
      </c>
      <c r="Q2135">
        <v>0</v>
      </c>
      <c r="R2135" t="s">
        <v>1200</v>
      </c>
    </row>
    <row r="2136" spans="1:18" hidden="1" x14ac:dyDescent="0.3">
      <c r="A2136">
        <v>426</v>
      </c>
      <c r="B2136" t="s">
        <v>1201</v>
      </c>
      <c r="C2136" t="s">
        <v>149</v>
      </c>
      <c r="D2136" t="s">
        <v>27</v>
      </c>
      <c r="E2136" t="s">
        <v>22</v>
      </c>
      <c r="F2136" s="79">
        <v>45107</v>
      </c>
      <c r="G2136">
        <v>2023</v>
      </c>
      <c r="H2136" t="s">
        <v>699</v>
      </c>
      <c r="I2136" t="s">
        <v>1512</v>
      </c>
      <c r="K2136">
        <v>86.98</v>
      </c>
      <c r="L2136" s="39"/>
      <c r="M2136" s="39"/>
      <c r="N2136" t="s">
        <v>355</v>
      </c>
      <c r="O2136" t="s">
        <v>25</v>
      </c>
      <c r="P2136">
        <v>0</v>
      </c>
      <c r="Q2136">
        <v>0</v>
      </c>
      <c r="R2136" t="s">
        <v>2931</v>
      </c>
    </row>
    <row r="2137" spans="1:18" hidden="1" x14ac:dyDescent="0.3">
      <c r="A2137">
        <v>426</v>
      </c>
      <c r="B2137" t="s">
        <v>1201</v>
      </c>
      <c r="C2137" t="s">
        <v>149</v>
      </c>
      <c r="D2137" t="s">
        <v>27</v>
      </c>
      <c r="E2137" t="s">
        <v>22</v>
      </c>
      <c r="F2137" s="79">
        <v>45291</v>
      </c>
      <c r="G2137">
        <v>2023</v>
      </c>
      <c r="H2137" t="s">
        <v>23</v>
      </c>
      <c r="I2137" t="s">
        <v>28</v>
      </c>
      <c r="K2137">
        <v>92.31</v>
      </c>
      <c r="L2137" s="39"/>
      <c r="M2137" s="39"/>
      <c r="N2137" t="s">
        <v>355</v>
      </c>
      <c r="O2137" t="s">
        <v>25</v>
      </c>
      <c r="P2137">
        <v>0</v>
      </c>
      <c r="Q2137">
        <v>0</v>
      </c>
      <c r="R2137" t="s">
        <v>1202</v>
      </c>
    </row>
    <row r="2138" spans="1:18" hidden="1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45473</v>
      </c>
      <c r="G2138">
        <v>2024</v>
      </c>
      <c r="H2138" t="s">
        <v>699</v>
      </c>
      <c r="I2138" t="s">
        <v>729</v>
      </c>
      <c r="J2138">
        <v>80</v>
      </c>
      <c r="K2138">
        <v>60.27</v>
      </c>
      <c r="L2138" s="39">
        <f t="shared" ref="L2138:L2171" si="137">IFERROR(IF(OR(J2138=0,K2138=""),"",IF(E2138="Positivo",MIN(MAX(K2138/J2138,0),1.3),MIN(MAX(J2138/K2138,0),1.3))),"")</f>
        <v>0.75337500000000002</v>
      </c>
      <c r="M2138" s="39">
        <f t="shared" ref="M2138:M2171" si="138">IFERROR(IF(OR(J2138=0,K2138=""),"",IF(E2138="Positivo",MAX(K2138/J2138,0),MAX(J2138/K2138,0))),"")</f>
        <v>0.75337500000000002</v>
      </c>
      <c r="N2138" t="s">
        <v>355</v>
      </c>
      <c r="O2138" t="s">
        <v>25</v>
      </c>
      <c r="P2138">
        <v>0</v>
      </c>
      <c r="Q2138">
        <v>0</v>
      </c>
      <c r="R2138" t="s">
        <v>2932</v>
      </c>
    </row>
    <row r="2139" spans="1:18" hidden="1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45657</v>
      </c>
      <c r="G2139">
        <v>2024</v>
      </c>
      <c r="H2139" t="s">
        <v>23</v>
      </c>
      <c r="I2139" t="s">
        <v>30</v>
      </c>
      <c r="J2139">
        <v>80</v>
      </c>
      <c r="K2139">
        <v>86.72</v>
      </c>
      <c r="L2139" s="39">
        <f t="shared" si="137"/>
        <v>1.0840000000000001</v>
      </c>
      <c r="M2139" s="39">
        <f t="shared" si="138"/>
        <v>1.0840000000000001</v>
      </c>
      <c r="N2139" t="s">
        <v>355</v>
      </c>
      <c r="O2139" t="s">
        <v>25</v>
      </c>
      <c r="P2139">
        <v>0</v>
      </c>
      <c r="Q2139">
        <v>0</v>
      </c>
      <c r="R2139" t="s">
        <v>1203</v>
      </c>
    </row>
    <row r="2140" spans="1:18" hidden="1" x14ac:dyDescent="0.3">
      <c r="A2140">
        <v>427</v>
      </c>
      <c r="B2140" t="s">
        <v>1204</v>
      </c>
      <c r="C2140" t="s">
        <v>190</v>
      </c>
      <c r="D2140" t="s">
        <v>27</v>
      </c>
      <c r="E2140" t="s">
        <v>41</v>
      </c>
      <c r="F2140" s="79">
        <v>45107</v>
      </c>
      <c r="G2140">
        <v>2023</v>
      </c>
      <c r="H2140" t="s">
        <v>699</v>
      </c>
      <c r="I2140" t="s">
        <v>1512</v>
      </c>
      <c r="J2140">
        <v>0.2</v>
      </c>
      <c r="K2140">
        <v>0.13666666666666999</v>
      </c>
      <c r="L2140" s="39">
        <f t="shared" si="137"/>
        <v>1.3</v>
      </c>
      <c r="M2140" s="39">
        <f t="shared" si="138"/>
        <v>1.4634146341463059</v>
      </c>
      <c r="N2140" t="s">
        <v>136</v>
      </c>
      <c r="O2140" t="s">
        <v>136</v>
      </c>
      <c r="P2140">
        <v>1</v>
      </c>
      <c r="Q2140">
        <v>2</v>
      </c>
      <c r="R2140" t="s">
        <v>2933</v>
      </c>
    </row>
    <row r="2141" spans="1:18" hidden="1" x14ac:dyDescent="0.3">
      <c r="A2141">
        <v>427</v>
      </c>
      <c r="B2141" t="s">
        <v>1204</v>
      </c>
      <c r="C2141" t="s">
        <v>190</v>
      </c>
      <c r="D2141" t="s">
        <v>27</v>
      </c>
      <c r="E2141" t="s">
        <v>41</v>
      </c>
      <c r="F2141" s="79">
        <v>45291</v>
      </c>
      <c r="G2141">
        <v>2023</v>
      </c>
      <c r="H2141" t="s">
        <v>23</v>
      </c>
      <c r="I2141" t="s">
        <v>28</v>
      </c>
      <c r="J2141">
        <v>0.2</v>
      </c>
      <c r="K2141">
        <v>0.2</v>
      </c>
      <c r="L2141" s="39">
        <f t="shared" si="137"/>
        <v>1</v>
      </c>
      <c r="M2141" s="39">
        <f t="shared" si="138"/>
        <v>1</v>
      </c>
      <c r="N2141" t="s">
        <v>136</v>
      </c>
      <c r="O2141" t="s">
        <v>136</v>
      </c>
      <c r="P2141">
        <v>1</v>
      </c>
      <c r="Q2141">
        <v>2</v>
      </c>
      <c r="R2141" t="s">
        <v>1205</v>
      </c>
    </row>
    <row r="2142" spans="1:18" hidden="1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45473</v>
      </c>
      <c r="G2142">
        <v>2024</v>
      </c>
      <c r="H2142" t="s">
        <v>699</v>
      </c>
      <c r="I2142" t="s">
        <v>729</v>
      </c>
      <c r="J2142">
        <v>0.2</v>
      </c>
      <c r="K2142">
        <v>0.17</v>
      </c>
      <c r="L2142" s="39">
        <f t="shared" si="137"/>
        <v>1.1764705882352942</v>
      </c>
      <c r="M2142" s="39">
        <f t="shared" si="138"/>
        <v>1.1764705882352942</v>
      </c>
      <c r="N2142" t="s">
        <v>136</v>
      </c>
      <c r="O2142" t="s">
        <v>136</v>
      </c>
      <c r="P2142">
        <v>1</v>
      </c>
      <c r="Q2142">
        <v>2</v>
      </c>
      <c r="R2142" t="s">
        <v>2934</v>
      </c>
    </row>
    <row r="2143" spans="1:18" hidden="1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45657</v>
      </c>
      <c r="G2143">
        <v>2024</v>
      </c>
      <c r="H2143" t="s">
        <v>23</v>
      </c>
      <c r="I2143" t="s">
        <v>30</v>
      </c>
      <c r="J2143">
        <v>0.2</v>
      </c>
      <c r="K2143">
        <v>0.17</v>
      </c>
      <c r="L2143" s="39">
        <f t="shared" si="137"/>
        <v>1.1764705882352942</v>
      </c>
      <c r="M2143" s="39">
        <f t="shared" si="138"/>
        <v>1.1764705882352942</v>
      </c>
      <c r="N2143" t="s">
        <v>136</v>
      </c>
      <c r="O2143" t="s">
        <v>136</v>
      </c>
      <c r="P2143">
        <v>1</v>
      </c>
      <c r="Q2143">
        <v>2</v>
      </c>
      <c r="R2143" t="s">
        <v>1206</v>
      </c>
    </row>
    <row r="2144" spans="1:18" hidden="1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45838</v>
      </c>
      <c r="G2144">
        <v>2025</v>
      </c>
      <c r="H2144" t="s">
        <v>699</v>
      </c>
      <c r="I2144" t="s">
        <v>700</v>
      </c>
      <c r="J2144">
        <v>0.2</v>
      </c>
      <c r="K2144">
        <v>0.14000000000000001</v>
      </c>
      <c r="L2144" s="39">
        <f t="shared" si="137"/>
        <v>1.3</v>
      </c>
      <c r="M2144" s="39">
        <f t="shared" si="138"/>
        <v>1.4285714285714286</v>
      </c>
      <c r="N2144" t="s">
        <v>136</v>
      </c>
      <c r="O2144" t="s">
        <v>136</v>
      </c>
      <c r="P2144">
        <v>1</v>
      </c>
      <c r="Q2144">
        <v>2</v>
      </c>
      <c r="R2144" t="s">
        <v>2935</v>
      </c>
    </row>
    <row r="2145" spans="1:18" hidden="1" x14ac:dyDescent="0.3">
      <c r="A2145">
        <v>427</v>
      </c>
      <c r="B2145" t="s">
        <v>1204</v>
      </c>
      <c r="C2145" t="s">
        <v>190</v>
      </c>
      <c r="D2145" t="s">
        <v>21</v>
      </c>
      <c r="E2145" t="s">
        <v>41</v>
      </c>
      <c r="F2145" s="79">
        <v>46022</v>
      </c>
      <c r="G2145">
        <v>2025</v>
      </c>
      <c r="H2145" t="s">
        <v>23</v>
      </c>
      <c r="I2145" t="s">
        <v>32</v>
      </c>
      <c r="J2145">
        <v>0.2</v>
      </c>
      <c r="K2145">
        <v>0.15</v>
      </c>
      <c r="L2145" s="39">
        <f t="shared" si="137"/>
        <v>1.3</v>
      </c>
      <c r="M2145" s="39">
        <f t="shared" si="138"/>
        <v>1.3333333333333335</v>
      </c>
      <c r="N2145" t="s">
        <v>136</v>
      </c>
      <c r="O2145" t="s">
        <v>136</v>
      </c>
      <c r="P2145">
        <v>2</v>
      </c>
      <c r="Q2145">
        <v>2</v>
      </c>
      <c r="R2145" t="s">
        <v>1207</v>
      </c>
    </row>
    <row r="2146" spans="1:18" hidden="1" x14ac:dyDescent="0.3">
      <c r="A2146">
        <v>428</v>
      </c>
      <c r="B2146" t="s">
        <v>1208</v>
      </c>
      <c r="C2146" t="s">
        <v>190</v>
      </c>
      <c r="D2146" t="s">
        <v>27</v>
      </c>
      <c r="E2146" t="s">
        <v>41</v>
      </c>
      <c r="F2146" s="79">
        <v>45107</v>
      </c>
      <c r="G2146">
        <v>2023</v>
      </c>
      <c r="H2146" t="s">
        <v>699</v>
      </c>
      <c r="I2146" t="s">
        <v>1512</v>
      </c>
      <c r="J2146">
        <v>1</v>
      </c>
      <c r="K2146">
        <v>17.59</v>
      </c>
      <c r="L2146" s="39">
        <f t="shared" si="137"/>
        <v>5.6850483229107449E-2</v>
      </c>
      <c r="M2146" s="39">
        <f t="shared" si="138"/>
        <v>5.6850483229107449E-2</v>
      </c>
      <c r="N2146" t="s">
        <v>424</v>
      </c>
      <c r="O2146" t="s">
        <v>424</v>
      </c>
      <c r="P2146">
        <v>0</v>
      </c>
      <c r="Q2146">
        <v>1</v>
      </c>
      <c r="R2146" t="s">
        <v>2936</v>
      </c>
    </row>
    <row r="2147" spans="1:18" hidden="1" x14ac:dyDescent="0.3">
      <c r="A2147">
        <v>428</v>
      </c>
      <c r="B2147" t="s">
        <v>1208</v>
      </c>
      <c r="C2147" t="s">
        <v>190</v>
      </c>
      <c r="D2147" t="s">
        <v>27</v>
      </c>
      <c r="E2147" t="s">
        <v>41</v>
      </c>
      <c r="F2147" s="79">
        <v>45291</v>
      </c>
      <c r="G2147">
        <v>2023</v>
      </c>
      <c r="H2147" t="s">
        <v>23</v>
      </c>
      <c r="I2147" t="s">
        <v>28</v>
      </c>
      <c r="J2147">
        <v>1</v>
      </c>
      <c r="K2147">
        <v>18.63</v>
      </c>
      <c r="L2147" s="39">
        <f t="shared" si="137"/>
        <v>5.3676865271068172E-2</v>
      </c>
      <c r="M2147" s="39">
        <f t="shared" si="138"/>
        <v>5.3676865271068172E-2</v>
      </c>
      <c r="N2147" t="s">
        <v>424</v>
      </c>
      <c r="O2147" t="s">
        <v>424</v>
      </c>
      <c r="P2147">
        <v>0</v>
      </c>
      <c r="Q2147">
        <v>1</v>
      </c>
      <c r="R2147" t="s">
        <v>1209</v>
      </c>
    </row>
    <row r="2148" spans="1:18" hidden="1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45473</v>
      </c>
      <c r="G2148">
        <v>2024</v>
      </c>
      <c r="H2148" t="s">
        <v>699</v>
      </c>
      <c r="I2148" t="s">
        <v>729</v>
      </c>
      <c r="J2148">
        <v>1</v>
      </c>
      <c r="K2148">
        <v>16.579999999999998</v>
      </c>
      <c r="L2148" s="39">
        <f t="shared" si="137"/>
        <v>6.0313630880579019E-2</v>
      </c>
      <c r="M2148" s="39">
        <f t="shared" si="138"/>
        <v>6.0313630880579019E-2</v>
      </c>
      <c r="N2148" t="s">
        <v>424</v>
      </c>
      <c r="O2148" t="s">
        <v>424</v>
      </c>
      <c r="P2148">
        <v>0</v>
      </c>
      <c r="Q2148">
        <v>1</v>
      </c>
      <c r="R2148" t="s">
        <v>2937</v>
      </c>
    </row>
    <row r="2149" spans="1:18" hidden="1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45657</v>
      </c>
      <c r="G2149">
        <v>2024</v>
      </c>
      <c r="H2149" t="s">
        <v>23</v>
      </c>
      <c r="I2149" t="s">
        <v>30</v>
      </c>
      <c r="J2149">
        <v>1</v>
      </c>
      <c r="K2149">
        <v>18.53</v>
      </c>
      <c r="L2149" s="39">
        <f t="shared" si="137"/>
        <v>5.3966540744738258E-2</v>
      </c>
      <c r="M2149" s="39">
        <f t="shared" si="138"/>
        <v>5.3966540744738258E-2</v>
      </c>
      <c r="N2149" t="s">
        <v>424</v>
      </c>
      <c r="O2149" t="s">
        <v>424</v>
      </c>
      <c r="P2149">
        <v>0</v>
      </c>
      <c r="Q2149">
        <v>1</v>
      </c>
      <c r="R2149" t="s">
        <v>1210</v>
      </c>
    </row>
    <row r="2150" spans="1:18" hidden="1" x14ac:dyDescent="0.3">
      <c r="A2150">
        <v>429</v>
      </c>
      <c r="B2150" t="s">
        <v>1212</v>
      </c>
      <c r="C2150" t="s">
        <v>190</v>
      </c>
      <c r="D2150" t="s">
        <v>27</v>
      </c>
      <c r="E2150" t="s">
        <v>41</v>
      </c>
      <c r="F2150" s="79">
        <v>45107</v>
      </c>
      <c r="G2150">
        <v>2023</v>
      </c>
      <c r="H2150" t="s">
        <v>699</v>
      </c>
      <c r="I2150" t="s">
        <v>1512</v>
      </c>
      <c r="J2150">
        <v>0.76</v>
      </c>
      <c r="K2150">
        <v>0.3</v>
      </c>
      <c r="L2150" s="39">
        <f t="shared" si="137"/>
        <v>1.3</v>
      </c>
      <c r="M2150" s="39">
        <f t="shared" si="138"/>
        <v>2.5333333333333337</v>
      </c>
      <c r="N2150" t="s">
        <v>136</v>
      </c>
      <c r="O2150" t="s">
        <v>136</v>
      </c>
      <c r="P2150">
        <v>1</v>
      </c>
      <c r="Q2150">
        <v>1</v>
      </c>
      <c r="R2150" t="s">
        <v>2939</v>
      </c>
    </row>
    <row r="2151" spans="1:18" hidden="1" x14ac:dyDescent="0.3">
      <c r="A2151">
        <v>429</v>
      </c>
      <c r="B2151" t="s">
        <v>1212</v>
      </c>
      <c r="C2151" t="s">
        <v>190</v>
      </c>
      <c r="D2151" t="s">
        <v>27</v>
      </c>
      <c r="E2151" t="s">
        <v>41</v>
      </c>
      <c r="F2151" s="79">
        <v>45291</v>
      </c>
      <c r="G2151">
        <v>2023</v>
      </c>
      <c r="H2151" t="s">
        <v>23</v>
      </c>
      <c r="I2151" t="s">
        <v>28</v>
      </c>
      <c r="J2151">
        <v>0.76</v>
      </c>
      <c r="K2151">
        <v>0.76</v>
      </c>
      <c r="L2151" s="39">
        <f t="shared" si="137"/>
        <v>1</v>
      </c>
      <c r="M2151" s="39">
        <f t="shared" si="138"/>
        <v>1</v>
      </c>
      <c r="N2151" t="s">
        <v>136</v>
      </c>
      <c r="O2151" t="s">
        <v>136</v>
      </c>
      <c r="P2151">
        <v>0</v>
      </c>
      <c r="Q2151">
        <v>0</v>
      </c>
      <c r="R2151" t="s">
        <v>1213</v>
      </c>
    </row>
    <row r="2152" spans="1:18" hidden="1" x14ac:dyDescent="0.3">
      <c r="A2152">
        <v>429</v>
      </c>
      <c r="B2152" t="s">
        <v>1212</v>
      </c>
      <c r="C2152" t="s">
        <v>190</v>
      </c>
      <c r="D2152" t="s">
        <v>27</v>
      </c>
      <c r="E2152" t="s">
        <v>41</v>
      </c>
      <c r="F2152" s="79">
        <v>45473</v>
      </c>
      <c r="G2152">
        <v>2024</v>
      </c>
      <c r="H2152" t="s">
        <v>699</v>
      </c>
      <c r="I2152" t="s">
        <v>729</v>
      </c>
      <c r="J2152">
        <v>0.76</v>
      </c>
      <c r="K2152">
        <v>0.66</v>
      </c>
      <c r="L2152" s="39">
        <f t="shared" si="137"/>
        <v>1.1515151515151514</v>
      </c>
      <c r="M2152" s="39">
        <f t="shared" si="138"/>
        <v>1.1515151515151514</v>
      </c>
      <c r="N2152" t="s">
        <v>136</v>
      </c>
      <c r="O2152" t="s">
        <v>136</v>
      </c>
      <c r="P2152">
        <v>1</v>
      </c>
      <c r="Q2152">
        <v>1</v>
      </c>
      <c r="R2152" t="s">
        <v>2940</v>
      </c>
    </row>
    <row r="2153" spans="1:18" hidden="1" x14ac:dyDescent="0.3">
      <c r="A2153">
        <v>429</v>
      </c>
      <c r="B2153" t="s">
        <v>1212</v>
      </c>
      <c r="C2153" t="s">
        <v>190</v>
      </c>
      <c r="D2153" t="s">
        <v>27</v>
      </c>
      <c r="E2153" t="s">
        <v>41</v>
      </c>
      <c r="F2153" s="79">
        <v>45657</v>
      </c>
      <c r="G2153">
        <v>2024</v>
      </c>
      <c r="H2153" t="s">
        <v>23</v>
      </c>
      <c r="I2153" t="s">
        <v>30</v>
      </c>
      <c r="J2153">
        <v>0.76</v>
      </c>
      <c r="K2153">
        <v>0.67</v>
      </c>
      <c r="L2153" s="39">
        <f t="shared" si="137"/>
        <v>1.1343283582089552</v>
      </c>
      <c r="M2153" s="39">
        <f t="shared" si="138"/>
        <v>1.1343283582089552</v>
      </c>
      <c r="N2153" t="s">
        <v>136</v>
      </c>
      <c r="O2153" t="s">
        <v>136</v>
      </c>
      <c r="P2153">
        <v>1</v>
      </c>
      <c r="Q2153">
        <v>1</v>
      </c>
      <c r="R2153" t="s">
        <v>1214</v>
      </c>
    </row>
    <row r="2154" spans="1:18" hidden="1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45838</v>
      </c>
      <c r="G2154">
        <v>2025</v>
      </c>
      <c r="H2154" t="s">
        <v>699</v>
      </c>
      <c r="I2154" t="s">
        <v>700</v>
      </c>
      <c r="J2154">
        <v>0.76</v>
      </c>
      <c r="K2154">
        <v>0.59</v>
      </c>
      <c r="L2154" s="39">
        <f t="shared" si="137"/>
        <v>1.2881355932203391</v>
      </c>
      <c r="M2154" s="39">
        <f t="shared" si="138"/>
        <v>1.2881355932203391</v>
      </c>
      <c r="N2154" t="s">
        <v>136</v>
      </c>
      <c r="O2154" t="s">
        <v>136</v>
      </c>
      <c r="P2154">
        <v>1</v>
      </c>
      <c r="Q2154">
        <v>1</v>
      </c>
      <c r="R2154" t="s">
        <v>2941</v>
      </c>
    </row>
    <row r="2155" spans="1:18" hidden="1" x14ac:dyDescent="0.3">
      <c r="A2155">
        <v>429</v>
      </c>
      <c r="B2155" t="s">
        <v>1212</v>
      </c>
      <c r="C2155" t="s">
        <v>190</v>
      </c>
      <c r="D2155" t="s">
        <v>21</v>
      </c>
      <c r="E2155" t="s">
        <v>41</v>
      </c>
      <c r="F2155" s="79">
        <v>46022</v>
      </c>
      <c r="G2155">
        <v>2025</v>
      </c>
      <c r="H2155" t="s">
        <v>23</v>
      </c>
      <c r="I2155" t="s">
        <v>32</v>
      </c>
      <c r="J2155">
        <v>0.76</v>
      </c>
      <c r="K2155">
        <v>0.52</v>
      </c>
      <c r="L2155" s="39">
        <f t="shared" si="137"/>
        <v>1.3</v>
      </c>
      <c r="M2155" s="39">
        <f t="shared" si="138"/>
        <v>1.4615384615384615</v>
      </c>
      <c r="N2155" t="s">
        <v>136</v>
      </c>
      <c r="O2155" t="s">
        <v>136</v>
      </c>
      <c r="P2155">
        <v>2</v>
      </c>
      <c r="Q2155">
        <v>2</v>
      </c>
      <c r="R2155" t="s">
        <v>1215</v>
      </c>
    </row>
    <row r="2156" spans="1:18" hidden="1" x14ac:dyDescent="0.3">
      <c r="A2156">
        <v>430</v>
      </c>
      <c r="B2156" t="s">
        <v>1216</v>
      </c>
      <c r="C2156" t="s">
        <v>159</v>
      </c>
      <c r="D2156" t="s">
        <v>27</v>
      </c>
      <c r="E2156" t="s">
        <v>22</v>
      </c>
      <c r="F2156" s="79">
        <v>45107</v>
      </c>
      <c r="G2156">
        <v>2023</v>
      </c>
      <c r="H2156" t="s">
        <v>699</v>
      </c>
      <c r="I2156" t="s">
        <v>1512</v>
      </c>
      <c r="J2156">
        <v>95</v>
      </c>
      <c r="K2156">
        <v>104.59563552424</v>
      </c>
      <c r="L2156" s="39">
        <f t="shared" si="137"/>
        <v>1.101006689728842</v>
      </c>
      <c r="M2156" s="39">
        <f t="shared" si="138"/>
        <v>1.101006689728842</v>
      </c>
      <c r="N2156" t="s">
        <v>25</v>
      </c>
      <c r="O2156" t="s">
        <v>25</v>
      </c>
      <c r="P2156">
        <v>0</v>
      </c>
      <c r="Q2156">
        <v>0</v>
      </c>
      <c r="R2156" t="s">
        <v>2942</v>
      </c>
    </row>
    <row r="2157" spans="1:18" hidden="1" x14ac:dyDescent="0.3">
      <c r="A2157">
        <v>430</v>
      </c>
      <c r="B2157" t="s">
        <v>1216</v>
      </c>
      <c r="C2157" t="s">
        <v>159</v>
      </c>
      <c r="D2157" t="s">
        <v>27</v>
      </c>
      <c r="E2157" t="s">
        <v>22</v>
      </c>
      <c r="F2157" s="79">
        <v>45291</v>
      </c>
      <c r="G2157">
        <v>2023</v>
      </c>
      <c r="H2157" t="s">
        <v>23</v>
      </c>
      <c r="I2157" t="s">
        <v>28</v>
      </c>
      <c r="J2157">
        <v>95</v>
      </c>
      <c r="K2157">
        <v>101.39526345983001</v>
      </c>
      <c r="L2157" s="39">
        <f t="shared" si="137"/>
        <v>1.0673185627350528</v>
      </c>
      <c r="M2157" s="39">
        <f t="shared" si="138"/>
        <v>1.0673185627350528</v>
      </c>
      <c r="N2157" t="s">
        <v>25</v>
      </c>
      <c r="O2157" t="s">
        <v>25</v>
      </c>
      <c r="P2157">
        <v>0</v>
      </c>
      <c r="Q2157">
        <v>0</v>
      </c>
      <c r="R2157" t="s">
        <v>1217</v>
      </c>
    </row>
    <row r="2158" spans="1:18" hidden="1" x14ac:dyDescent="0.3">
      <c r="A2158">
        <v>430</v>
      </c>
      <c r="B2158" t="s">
        <v>1216</v>
      </c>
      <c r="C2158" t="s">
        <v>159</v>
      </c>
      <c r="D2158" t="s">
        <v>27</v>
      </c>
      <c r="E2158" t="s">
        <v>22</v>
      </c>
      <c r="F2158" s="79">
        <v>45473</v>
      </c>
      <c r="G2158">
        <v>2024</v>
      </c>
      <c r="H2158" t="s">
        <v>699</v>
      </c>
      <c r="I2158" t="s">
        <v>729</v>
      </c>
      <c r="J2158">
        <v>95</v>
      </c>
      <c r="K2158">
        <v>101.88</v>
      </c>
      <c r="L2158" s="39">
        <f t="shared" si="137"/>
        <v>1.0724210526315789</v>
      </c>
      <c r="M2158" s="39">
        <f t="shared" si="138"/>
        <v>1.0724210526315789</v>
      </c>
      <c r="N2158" t="s">
        <v>25</v>
      </c>
      <c r="O2158" t="s">
        <v>25</v>
      </c>
      <c r="P2158">
        <v>0</v>
      </c>
      <c r="Q2158">
        <v>0</v>
      </c>
      <c r="R2158" t="s">
        <v>2943</v>
      </c>
    </row>
    <row r="2159" spans="1:18" hidden="1" x14ac:dyDescent="0.3">
      <c r="A2159">
        <v>430</v>
      </c>
      <c r="B2159" t="s">
        <v>1216</v>
      </c>
      <c r="C2159" t="s">
        <v>159</v>
      </c>
      <c r="D2159" t="s">
        <v>27</v>
      </c>
      <c r="E2159" t="s">
        <v>22</v>
      </c>
      <c r="F2159" s="79">
        <v>45657</v>
      </c>
      <c r="G2159">
        <v>2024</v>
      </c>
      <c r="H2159" t="s">
        <v>23</v>
      </c>
      <c r="I2159" t="s">
        <v>30</v>
      </c>
      <c r="J2159">
        <v>95</v>
      </c>
      <c r="K2159">
        <v>102.9374919710379</v>
      </c>
      <c r="L2159" s="39">
        <f t="shared" si="137"/>
        <v>1.0835525470635567</v>
      </c>
      <c r="M2159" s="39">
        <f t="shared" si="138"/>
        <v>1.0835525470635567</v>
      </c>
      <c r="N2159" t="s">
        <v>25</v>
      </c>
      <c r="O2159" t="s">
        <v>25</v>
      </c>
      <c r="P2159">
        <v>0</v>
      </c>
      <c r="Q2159">
        <v>0</v>
      </c>
      <c r="R2159" t="s">
        <v>1218</v>
      </c>
    </row>
    <row r="2160" spans="1:18" hidden="1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45838</v>
      </c>
      <c r="G2160">
        <v>2025</v>
      </c>
      <c r="H2160" t="s">
        <v>699</v>
      </c>
      <c r="I2160" t="s">
        <v>700</v>
      </c>
      <c r="J2160">
        <v>95</v>
      </c>
      <c r="K2160">
        <v>110.79</v>
      </c>
      <c r="L2160" s="39">
        <f t="shared" si="137"/>
        <v>1.1662105263157896</v>
      </c>
      <c r="M2160" s="39">
        <f t="shared" si="138"/>
        <v>1.1662105263157896</v>
      </c>
      <c r="N2160" t="s">
        <v>25</v>
      </c>
      <c r="O2160" t="s">
        <v>25</v>
      </c>
      <c r="P2160">
        <v>0</v>
      </c>
      <c r="Q2160">
        <v>0</v>
      </c>
      <c r="R2160" t="s">
        <v>2944</v>
      </c>
    </row>
    <row r="2161" spans="1:19" hidden="1" x14ac:dyDescent="0.3">
      <c r="A2161">
        <v>430</v>
      </c>
      <c r="B2161" t="s">
        <v>1216</v>
      </c>
      <c r="C2161" t="s">
        <v>159</v>
      </c>
      <c r="D2161" t="s">
        <v>21</v>
      </c>
      <c r="E2161" t="s">
        <v>22</v>
      </c>
      <c r="F2161" s="79">
        <v>46022</v>
      </c>
      <c r="G2161">
        <v>2025</v>
      </c>
      <c r="H2161" t="s">
        <v>23</v>
      </c>
      <c r="I2161" t="s">
        <v>32</v>
      </c>
      <c r="J2161">
        <v>95</v>
      </c>
      <c r="K2161">
        <v>111.76</v>
      </c>
      <c r="L2161" s="39">
        <f t="shared" si="137"/>
        <v>1.176421052631579</v>
      </c>
      <c r="M2161" s="39">
        <f t="shared" si="138"/>
        <v>1.176421052631579</v>
      </c>
      <c r="N2161" t="s">
        <v>25</v>
      </c>
      <c r="O2161" t="s">
        <v>25</v>
      </c>
      <c r="P2161">
        <v>0</v>
      </c>
      <c r="Q2161">
        <v>0</v>
      </c>
      <c r="R2161" t="s">
        <v>1219</v>
      </c>
    </row>
    <row r="2162" spans="1:19" hidden="1" x14ac:dyDescent="0.3">
      <c r="A2162">
        <v>431</v>
      </c>
      <c r="B2162" t="s">
        <v>1220</v>
      </c>
      <c r="C2162" t="s">
        <v>70</v>
      </c>
      <c r="D2162" t="s">
        <v>21</v>
      </c>
      <c r="E2162" t="s">
        <v>22</v>
      </c>
      <c r="F2162" s="79">
        <v>45199</v>
      </c>
      <c r="G2162">
        <v>2023</v>
      </c>
      <c r="H2162" t="s">
        <v>162</v>
      </c>
      <c r="I2162" t="s">
        <v>28</v>
      </c>
      <c r="J2162">
        <v>100</v>
      </c>
      <c r="K2162">
        <v>100</v>
      </c>
      <c r="L2162" s="39">
        <f t="shared" si="137"/>
        <v>1</v>
      </c>
      <c r="M2162" s="39">
        <f t="shared" si="138"/>
        <v>1</v>
      </c>
      <c r="N2162" t="s">
        <v>25</v>
      </c>
      <c r="O2162" t="s">
        <v>25</v>
      </c>
      <c r="P2162">
        <v>0</v>
      </c>
      <c r="Q2162">
        <v>0</v>
      </c>
      <c r="R2162" t="s">
        <v>2945</v>
      </c>
    </row>
    <row r="2163" spans="1:19" hidden="1" x14ac:dyDescent="0.3">
      <c r="A2163">
        <v>431</v>
      </c>
      <c r="B2163" t="s">
        <v>1220</v>
      </c>
      <c r="C2163" t="s">
        <v>70</v>
      </c>
      <c r="D2163" t="s">
        <v>21</v>
      </c>
      <c r="E2163" t="s">
        <v>22</v>
      </c>
      <c r="F2163" s="79">
        <v>45291</v>
      </c>
      <c r="G2163">
        <v>2023</v>
      </c>
      <c r="H2163" t="s">
        <v>23</v>
      </c>
      <c r="I2163" t="s">
        <v>28</v>
      </c>
      <c r="J2163">
        <v>100</v>
      </c>
      <c r="K2163">
        <v>100</v>
      </c>
      <c r="L2163" s="39">
        <f t="shared" si="137"/>
        <v>1</v>
      </c>
      <c r="M2163" s="39">
        <f t="shared" si="138"/>
        <v>1</v>
      </c>
      <c r="N2163" t="s">
        <v>25</v>
      </c>
      <c r="O2163" t="s">
        <v>25</v>
      </c>
      <c r="P2163">
        <v>0</v>
      </c>
      <c r="Q2163">
        <v>0</v>
      </c>
      <c r="R2163" t="s">
        <v>1221</v>
      </c>
    </row>
    <row r="2164" spans="1:19" hidden="1" x14ac:dyDescent="0.3">
      <c r="A2164">
        <v>431</v>
      </c>
      <c r="B2164" t="s">
        <v>1220</v>
      </c>
      <c r="C2164" t="s">
        <v>70</v>
      </c>
      <c r="D2164" t="s">
        <v>21</v>
      </c>
      <c r="E2164" t="s">
        <v>22</v>
      </c>
      <c r="F2164" s="79">
        <v>45382</v>
      </c>
      <c r="G2164">
        <v>2024</v>
      </c>
      <c r="H2164" t="s">
        <v>1516</v>
      </c>
      <c r="I2164" t="s">
        <v>729</v>
      </c>
      <c r="J2164">
        <v>100</v>
      </c>
      <c r="K2164">
        <v>100</v>
      </c>
      <c r="L2164" s="39">
        <f t="shared" si="137"/>
        <v>1</v>
      </c>
      <c r="M2164" s="39">
        <f t="shared" si="138"/>
        <v>1</v>
      </c>
      <c r="N2164" t="s">
        <v>25</v>
      </c>
      <c r="O2164" t="s">
        <v>25</v>
      </c>
      <c r="P2164">
        <v>0</v>
      </c>
      <c r="Q2164">
        <v>0</v>
      </c>
      <c r="R2164" t="s">
        <v>2946</v>
      </c>
    </row>
    <row r="2165" spans="1:19" hidden="1" x14ac:dyDescent="0.3">
      <c r="A2165">
        <v>431</v>
      </c>
      <c r="B2165" t="s">
        <v>1220</v>
      </c>
      <c r="C2165" t="s">
        <v>70</v>
      </c>
      <c r="D2165" t="s">
        <v>21</v>
      </c>
      <c r="E2165" t="s">
        <v>22</v>
      </c>
      <c r="F2165" s="79">
        <v>45473</v>
      </c>
      <c r="G2165">
        <v>2024</v>
      </c>
      <c r="H2165" t="s">
        <v>699</v>
      </c>
      <c r="I2165" t="s">
        <v>729</v>
      </c>
      <c r="J2165">
        <v>100</v>
      </c>
      <c r="K2165">
        <v>100</v>
      </c>
      <c r="L2165" s="39">
        <f t="shared" si="137"/>
        <v>1</v>
      </c>
      <c r="M2165" s="39">
        <f t="shared" si="138"/>
        <v>1</v>
      </c>
      <c r="N2165" t="s">
        <v>25</v>
      </c>
      <c r="O2165" t="s">
        <v>25</v>
      </c>
      <c r="P2165">
        <v>0</v>
      </c>
      <c r="Q2165">
        <v>0</v>
      </c>
      <c r="R2165" t="s">
        <v>2947</v>
      </c>
    </row>
    <row r="2166" spans="1:19" hidden="1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45565</v>
      </c>
      <c r="G2166">
        <v>2024</v>
      </c>
      <c r="H2166" t="s">
        <v>162</v>
      </c>
      <c r="I2166" t="s">
        <v>30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2948</v>
      </c>
    </row>
    <row r="2167" spans="1:19" hidden="1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45657</v>
      </c>
      <c r="G2167">
        <v>2024</v>
      </c>
      <c r="H2167" t="s">
        <v>23</v>
      </c>
      <c r="I2167" t="s">
        <v>30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1222</v>
      </c>
    </row>
    <row r="2168" spans="1:19" hidden="1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45747</v>
      </c>
      <c r="G2168">
        <v>2025</v>
      </c>
      <c r="H2168" t="s">
        <v>1516</v>
      </c>
      <c r="I2168" t="s">
        <v>700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2949</v>
      </c>
    </row>
    <row r="2169" spans="1:19" hidden="1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45838</v>
      </c>
      <c r="G2169">
        <v>2025</v>
      </c>
      <c r="H2169" t="s">
        <v>699</v>
      </c>
      <c r="I2169" t="s">
        <v>700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2950</v>
      </c>
    </row>
    <row r="2170" spans="1:19" hidden="1" x14ac:dyDescent="0.3">
      <c r="A2170">
        <v>431</v>
      </c>
      <c r="B2170" t="s">
        <v>1220</v>
      </c>
      <c r="C2170" t="s">
        <v>70</v>
      </c>
      <c r="D2170" t="s">
        <v>27</v>
      </c>
      <c r="E2170" t="s">
        <v>22</v>
      </c>
      <c r="F2170" s="79">
        <v>45930</v>
      </c>
      <c r="G2170">
        <v>2025</v>
      </c>
      <c r="H2170" t="s">
        <v>162</v>
      </c>
      <c r="I2170" t="s">
        <v>32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2951</v>
      </c>
    </row>
    <row r="2171" spans="1:19" hidden="1" x14ac:dyDescent="0.3">
      <c r="A2171">
        <v>431</v>
      </c>
      <c r="B2171" t="s">
        <v>1220</v>
      </c>
      <c r="C2171" t="s">
        <v>70</v>
      </c>
      <c r="D2171" t="s">
        <v>27</v>
      </c>
      <c r="E2171" t="s">
        <v>22</v>
      </c>
      <c r="F2171" s="79">
        <v>46022</v>
      </c>
      <c r="G2171">
        <v>2025</v>
      </c>
      <c r="H2171" t="s">
        <v>23</v>
      </c>
      <c r="I2171" t="s">
        <v>32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1223</v>
      </c>
    </row>
    <row r="2172" spans="1:19" hidden="1" x14ac:dyDescent="0.3">
      <c r="A2172">
        <v>432</v>
      </c>
      <c r="B2172" t="s">
        <v>1224</v>
      </c>
      <c r="C2172" t="s">
        <v>70</v>
      </c>
      <c r="D2172" t="s">
        <v>27</v>
      </c>
      <c r="E2172" t="s">
        <v>22</v>
      </c>
      <c r="F2172" s="79">
        <v>45107</v>
      </c>
      <c r="G2172">
        <v>2023</v>
      </c>
      <c r="H2172" t="s">
        <v>699</v>
      </c>
      <c r="I2172" t="s">
        <v>1512</v>
      </c>
      <c r="N2172" t="s">
        <v>25</v>
      </c>
      <c r="O2172" t="s">
        <v>302</v>
      </c>
      <c r="P2172">
        <v>0</v>
      </c>
      <c r="Q2172">
        <v>0</v>
      </c>
      <c r="R2172" t="s">
        <v>2952</v>
      </c>
      <c r="S2172" t="s">
        <v>302</v>
      </c>
    </row>
    <row r="2173" spans="1:19" hidden="1" x14ac:dyDescent="0.3">
      <c r="A2173">
        <v>432</v>
      </c>
      <c r="B2173" t="s">
        <v>1224</v>
      </c>
      <c r="C2173" t="s">
        <v>70</v>
      </c>
      <c r="D2173" t="s">
        <v>21</v>
      </c>
      <c r="E2173" t="s">
        <v>22</v>
      </c>
      <c r="F2173" s="79">
        <v>45199</v>
      </c>
      <c r="G2173">
        <v>2023</v>
      </c>
      <c r="H2173" t="s">
        <v>162</v>
      </c>
      <c r="I2173" t="s">
        <v>28</v>
      </c>
      <c r="J2173">
        <v>90</v>
      </c>
      <c r="K2173">
        <v>100</v>
      </c>
      <c r="L2173" s="39">
        <f t="shared" ref="L2173:L2204" si="139">IFERROR(IF(OR(J2173=0,K2173=""),"",IF(E2173="Positivo",MIN(MAX(K2173/J2173,0),1.3),MIN(MAX(J2173/K2173,0),1.3))),"")</f>
        <v>1.1111111111111112</v>
      </c>
      <c r="M2173" s="39">
        <f t="shared" ref="M2173:M2204" si="140">IFERROR(IF(OR(J2173=0,K2173=""),"",IF(E2173="Positivo",MAX(K2173/J2173,0),MAX(J2173/K2173,0))),"")</f>
        <v>1.1111111111111112</v>
      </c>
      <c r="N2173" t="s">
        <v>25</v>
      </c>
      <c r="O2173" t="s">
        <v>25</v>
      </c>
      <c r="P2173">
        <v>0</v>
      </c>
      <c r="Q2173">
        <v>0</v>
      </c>
      <c r="R2173" t="s">
        <v>2953</v>
      </c>
    </row>
    <row r="2174" spans="1:19" hidden="1" x14ac:dyDescent="0.3">
      <c r="A2174">
        <v>432</v>
      </c>
      <c r="B2174" t="s">
        <v>1224</v>
      </c>
      <c r="C2174" t="s">
        <v>70</v>
      </c>
      <c r="D2174" t="s">
        <v>21</v>
      </c>
      <c r="E2174" t="s">
        <v>22</v>
      </c>
      <c r="F2174" s="79">
        <v>45291</v>
      </c>
      <c r="G2174">
        <v>2023</v>
      </c>
      <c r="H2174" t="s">
        <v>23</v>
      </c>
      <c r="I2174" t="s">
        <v>28</v>
      </c>
      <c r="J2174">
        <v>90</v>
      </c>
      <c r="K2174">
        <v>98.765555555556006</v>
      </c>
      <c r="L2174" s="39">
        <f t="shared" si="139"/>
        <v>1.0973950617284001</v>
      </c>
      <c r="M2174" s="39">
        <f t="shared" si="140"/>
        <v>1.0973950617284001</v>
      </c>
      <c r="N2174" t="s">
        <v>25</v>
      </c>
      <c r="O2174" t="s">
        <v>25</v>
      </c>
      <c r="P2174">
        <v>0</v>
      </c>
      <c r="Q2174">
        <v>0</v>
      </c>
      <c r="R2174" t="s">
        <v>1225</v>
      </c>
    </row>
    <row r="2175" spans="1:19" hidden="1" x14ac:dyDescent="0.3">
      <c r="A2175">
        <v>432</v>
      </c>
      <c r="B2175" t="s">
        <v>1224</v>
      </c>
      <c r="C2175" t="s">
        <v>70</v>
      </c>
      <c r="D2175" t="s">
        <v>21</v>
      </c>
      <c r="E2175" t="s">
        <v>22</v>
      </c>
      <c r="F2175" s="79">
        <v>45382</v>
      </c>
      <c r="G2175">
        <v>2024</v>
      </c>
      <c r="H2175" t="s">
        <v>1516</v>
      </c>
      <c r="I2175" t="s">
        <v>729</v>
      </c>
      <c r="J2175">
        <v>90</v>
      </c>
      <c r="K2175">
        <v>100</v>
      </c>
      <c r="L2175" s="39">
        <f t="shared" si="139"/>
        <v>1.1111111111111112</v>
      </c>
      <c r="M2175" s="39">
        <f t="shared" si="140"/>
        <v>1.1111111111111112</v>
      </c>
      <c r="N2175" t="s">
        <v>25</v>
      </c>
      <c r="O2175" t="s">
        <v>25</v>
      </c>
      <c r="P2175">
        <v>0</v>
      </c>
      <c r="Q2175">
        <v>0</v>
      </c>
      <c r="R2175" t="s">
        <v>2954</v>
      </c>
    </row>
    <row r="2176" spans="1:19" hidden="1" x14ac:dyDescent="0.3">
      <c r="A2176">
        <v>432</v>
      </c>
      <c r="B2176" t="s">
        <v>1224</v>
      </c>
      <c r="C2176" t="s">
        <v>70</v>
      </c>
      <c r="D2176" t="s">
        <v>21</v>
      </c>
      <c r="E2176" t="s">
        <v>22</v>
      </c>
      <c r="F2176" s="79">
        <v>45473</v>
      </c>
      <c r="G2176">
        <v>2024</v>
      </c>
      <c r="H2176" t="s">
        <v>699</v>
      </c>
      <c r="I2176" t="s">
        <v>729</v>
      </c>
      <c r="J2176">
        <v>90</v>
      </c>
      <c r="K2176">
        <v>100</v>
      </c>
      <c r="L2176" s="39">
        <f t="shared" si="139"/>
        <v>1.1111111111111112</v>
      </c>
      <c r="M2176" s="39">
        <f t="shared" si="140"/>
        <v>1.1111111111111112</v>
      </c>
      <c r="N2176" t="s">
        <v>25</v>
      </c>
      <c r="O2176" t="s">
        <v>25</v>
      </c>
      <c r="P2176">
        <v>0</v>
      </c>
      <c r="Q2176">
        <v>0</v>
      </c>
      <c r="R2176" t="s">
        <v>2955</v>
      </c>
    </row>
    <row r="2177" spans="1:18" hidden="1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45565</v>
      </c>
      <c r="G2177">
        <v>2024</v>
      </c>
      <c r="H2177" t="s">
        <v>162</v>
      </c>
      <c r="I2177" t="s">
        <v>30</v>
      </c>
      <c r="J2177">
        <v>90</v>
      </c>
      <c r="K2177">
        <v>0</v>
      </c>
      <c r="L2177" s="39">
        <f t="shared" si="139"/>
        <v>0</v>
      </c>
      <c r="M2177" s="39">
        <f t="shared" si="140"/>
        <v>0</v>
      </c>
      <c r="N2177" t="s">
        <v>25</v>
      </c>
      <c r="O2177" t="s">
        <v>25</v>
      </c>
      <c r="P2177">
        <v>0</v>
      </c>
      <c r="Q2177">
        <v>0</v>
      </c>
      <c r="R2177" t="s">
        <v>2956</v>
      </c>
    </row>
    <row r="2178" spans="1:18" hidden="1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45657</v>
      </c>
      <c r="G2178">
        <v>2024</v>
      </c>
      <c r="H2178" t="s">
        <v>23</v>
      </c>
      <c r="I2178" t="s">
        <v>30</v>
      </c>
      <c r="J2178">
        <v>90</v>
      </c>
      <c r="K2178">
        <v>100</v>
      </c>
      <c r="L2178" s="39">
        <f t="shared" si="139"/>
        <v>1.1111111111111112</v>
      </c>
      <c r="M2178" s="39">
        <f t="shared" si="140"/>
        <v>1.1111111111111112</v>
      </c>
      <c r="N2178" t="s">
        <v>25</v>
      </c>
      <c r="O2178" t="s">
        <v>25</v>
      </c>
      <c r="P2178">
        <v>0</v>
      </c>
      <c r="Q2178">
        <v>0</v>
      </c>
      <c r="R2178" t="s">
        <v>1226</v>
      </c>
    </row>
    <row r="2179" spans="1:18" hidden="1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45747</v>
      </c>
      <c r="G2179">
        <v>2025</v>
      </c>
      <c r="H2179" t="s">
        <v>1516</v>
      </c>
      <c r="I2179" t="s">
        <v>700</v>
      </c>
      <c r="J2179">
        <v>90</v>
      </c>
      <c r="K2179">
        <v>100</v>
      </c>
      <c r="L2179" s="39">
        <f t="shared" si="139"/>
        <v>1.1111111111111112</v>
      </c>
      <c r="M2179" s="39">
        <f t="shared" si="140"/>
        <v>1.1111111111111112</v>
      </c>
      <c r="N2179" t="s">
        <v>25</v>
      </c>
      <c r="O2179" t="s">
        <v>25</v>
      </c>
      <c r="P2179">
        <v>0</v>
      </c>
      <c r="Q2179">
        <v>0</v>
      </c>
      <c r="R2179" t="s">
        <v>2957</v>
      </c>
    </row>
    <row r="2180" spans="1:18" hidden="1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45838</v>
      </c>
      <c r="G2180">
        <v>2025</v>
      </c>
      <c r="H2180" t="s">
        <v>699</v>
      </c>
      <c r="I2180" t="s">
        <v>700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2958</v>
      </c>
    </row>
    <row r="2181" spans="1:18" hidden="1" x14ac:dyDescent="0.3">
      <c r="A2181">
        <v>432</v>
      </c>
      <c r="B2181" t="s">
        <v>1224</v>
      </c>
      <c r="C2181" t="s">
        <v>70</v>
      </c>
      <c r="D2181" t="s">
        <v>27</v>
      </c>
      <c r="E2181" t="s">
        <v>22</v>
      </c>
      <c r="F2181" s="79">
        <v>45930</v>
      </c>
      <c r="G2181">
        <v>2025</v>
      </c>
      <c r="H2181" t="s">
        <v>162</v>
      </c>
      <c r="I2181" t="s">
        <v>32</v>
      </c>
      <c r="J2181">
        <v>90</v>
      </c>
      <c r="K2181">
        <v>100</v>
      </c>
      <c r="L2181" s="39">
        <f t="shared" si="139"/>
        <v>1.1111111111111112</v>
      </c>
      <c r="M2181" s="39">
        <f t="shared" si="140"/>
        <v>1.1111111111111112</v>
      </c>
      <c r="N2181" t="s">
        <v>25</v>
      </c>
      <c r="O2181" t="s">
        <v>25</v>
      </c>
      <c r="P2181">
        <v>0</v>
      </c>
      <c r="Q2181">
        <v>0</v>
      </c>
      <c r="R2181" t="s">
        <v>2959</v>
      </c>
    </row>
    <row r="2182" spans="1:18" hidden="1" x14ac:dyDescent="0.3">
      <c r="A2182">
        <v>432</v>
      </c>
      <c r="B2182" t="s">
        <v>1224</v>
      </c>
      <c r="C2182" t="s">
        <v>70</v>
      </c>
      <c r="D2182" t="s">
        <v>27</v>
      </c>
      <c r="E2182" t="s">
        <v>22</v>
      </c>
      <c r="F2182" s="79">
        <v>46022</v>
      </c>
      <c r="G2182">
        <v>2025</v>
      </c>
      <c r="H2182" t="s">
        <v>23</v>
      </c>
      <c r="I2182" t="s">
        <v>32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1227</v>
      </c>
    </row>
    <row r="2183" spans="1:18" hidden="1" x14ac:dyDescent="0.3">
      <c r="A2183">
        <v>433</v>
      </c>
      <c r="B2183" t="s">
        <v>1228</v>
      </c>
      <c r="C2183" t="s">
        <v>190</v>
      </c>
      <c r="D2183" t="s">
        <v>27</v>
      </c>
      <c r="E2183" t="s">
        <v>41</v>
      </c>
      <c r="F2183" s="79">
        <v>45107</v>
      </c>
      <c r="G2183">
        <v>2023</v>
      </c>
      <c r="H2183" t="s">
        <v>699</v>
      </c>
      <c r="I2183" t="s">
        <v>1512</v>
      </c>
      <c r="J2183">
        <v>0.05</v>
      </c>
      <c r="K2183">
        <v>0.02</v>
      </c>
      <c r="L2183" s="39">
        <f t="shared" si="139"/>
        <v>1.3</v>
      </c>
      <c r="M2183" s="39">
        <f t="shared" si="140"/>
        <v>2.5</v>
      </c>
      <c r="N2183" t="s">
        <v>136</v>
      </c>
      <c r="O2183" t="s">
        <v>136</v>
      </c>
      <c r="P2183">
        <v>1</v>
      </c>
      <c r="Q2183">
        <v>2</v>
      </c>
      <c r="R2183" t="s">
        <v>2960</v>
      </c>
    </row>
    <row r="2184" spans="1:18" hidden="1" x14ac:dyDescent="0.3">
      <c r="A2184">
        <v>433</v>
      </c>
      <c r="B2184" t="s">
        <v>1228</v>
      </c>
      <c r="C2184" t="s">
        <v>190</v>
      </c>
      <c r="D2184" t="s">
        <v>27</v>
      </c>
      <c r="E2184" t="s">
        <v>41</v>
      </c>
      <c r="F2184" s="79">
        <v>45291</v>
      </c>
      <c r="G2184">
        <v>2023</v>
      </c>
      <c r="H2184" t="s">
        <v>23</v>
      </c>
      <c r="I2184" t="s">
        <v>28</v>
      </c>
      <c r="J2184">
        <v>0.05</v>
      </c>
      <c r="K2184">
        <v>0.05</v>
      </c>
      <c r="L2184" s="39">
        <f t="shared" si="139"/>
        <v>1</v>
      </c>
      <c r="M2184" s="39">
        <f t="shared" si="140"/>
        <v>1</v>
      </c>
      <c r="N2184" t="s">
        <v>136</v>
      </c>
      <c r="O2184" t="s">
        <v>136</v>
      </c>
      <c r="P2184">
        <v>0</v>
      </c>
      <c r="Q2184">
        <v>0</v>
      </c>
      <c r="R2184" t="s">
        <v>1229</v>
      </c>
    </row>
    <row r="2185" spans="1:18" hidden="1" x14ac:dyDescent="0.3">
      <c r="A2185">
        <v>433</v>
      </c>
      <c r="B2185" t="s">
        <v>1228</v>
      </c>
      <c r="C2185" t="s">
        <v>190</v>
      </c>
      <c r="D2185" t="s">
        <v>27</v>
      </c>
      <c r="E2185" t="s">
        <v>41</v>
      </c>
      <c r="F2185" s="79">
        <v>45473</v>
      </c>
      <c r="G2185">
        <v>2024</v>
      </c>
      <c r="H2185" t="s">
        <v>699</v>
      </c>
      <c r="I2185" t="s">
        <v>729</v>
      </c>
      <c r="J2185">
        <v>0.05</v>
      </c>
      <c r="K2185">
        <v>7.0000000000000007E-2</v>
      </c>
      <c r="L2185" s="39">
        <f t="shared" si="139"/>
        <v>0.7142857142857143</v>
      </c>
      <c r="M2185" s="39">
        <f t="shared" si="140"/>
        <v>0.7142857142857143</v>
      </c>
      <c r="N2185" t="s">
        <v>136</v>
      </c>
      <c r="O2185" t="s">
        <v>136</v>
      </c>
      <c r="P2185">
        <v>2</v>
      </c>
      <c r="Q2185">
        <v>2</v>
      </c>
      <c r="R2185" t="s">
        <v>2961</v>
      </c>
    </row>
    <row r="2186" spans="1:18" hidden="1" x14ac:dyDescent="0.3">
      <c r="A2186">
        <v>433</v>
      </c>
      <c r="B2186" t="s">
        <v>1228</v>
      </c>
      <c r="C2186" t="s">
        <v>190</v>
      </c>
      <c r="D2186" t="s">
        <v>27</v>
      </c>
      <c r="E2186" t="s">
        <v>41</v>
      </c>
      <c r="F2186" s="79">
        <v>45657</v>
      </c>
      <c r="G2186">
        <v>2024</v>
      </c>
      <c r="H2186" t="s">
        <v>23</v>
      </c>
      <c r="I2186" t="s">
        <v>30</v>
      </c>
      <c r="J2186">
        <v>0.05</v>
      </c>
      <c r="K2186">
        <v>0.14000000000000001</v>
      </c>
      <c r="L2186" s="39">
        <f t="shared" si="139"/>
        <v>0.35714285714285715</v>
      </c>
      <c r="M2186" s="39">
        <f t="shared" si="140"/>
        <v>0.35714285714285715</v>
      </c>
      <c r="N2186" t="s">
        <v>136</v>
      </c>
      <c r="O2186" t="s">
        <v>136</v>
      </c>
      <c r="P2186">
        <v>2</v>
      </c>
      <c r="Q2186">
        <v>2</v>
      </c>
      <c r="R2186" t="s">
        <v>1230</v>
      </c>
    </row>
    <row r="2187" spans="1:18" hidden="1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45838</v>
      </c>
      <c r="G2187">
        <v>2025</v>
      </c>
      <c r="H2187" t="s">
        <v>699</v>
      </c>
      <c r="I2187" t="s">
        <v>700</v>
      </c>
      <c r="J2187">
        <v>0.05</v>
      </c>
      <c r="K2187">
        <v>0.02</v>
      </c>
      <c r="L2187" s="39">
        <f t="shared" si="139"/>
        <v>1.3</v>
      </c>
      <c r="M2187" s="39">
        <f t="shared" si="140"/>
        <v>2.5</v>
      </c>
      <c r="N2187" t="s">
        <v>136</v>
      </c>
      <c r="O2187" t="s">
        <v>136</v>
      </c>
      <c r="P2187">
        <v>2</v>
      </c>
      <c r="Q2187">
        <v>2</v>
      </c>
      <c r="R2187" t="s">
        <v>2962</v>
      </c>
    </row>
    <row r="2188" spans="1:18" hidden="1" x14ac:dyDescent="0.3">
      <c r="A2188">
        <v>433</v>
      </c>
      <c r="B2188" t="s">
        <v>1228</v>
      </c>
      <c r="C2188" t="s">
        <v>190</v>
      </c>
      <c r="D2188" t="s">
        <v>21</v>
      </c>
      <c r="E2188" t="s">
        <v>41</v>
      </c>
      <c r="F2188" s="79">
        <v>46022</v>
      </c>
      <c r="G2188">
        <v>2025</v>
      </c>
      <c r="H2188" t="s">
        <v>23</v>
      </c>
      <c r="I2188" t="s">
        <v>32</v>
      </c>
      <c r="J2188">
        <v>0.05</v>
      </c>
      <c r="K2188">
        <v>0.17</v>
      </c>
      <c r="L2188" s="39">
        <f t="shared" si="139"/>
        <v>0.29411764705882354</v>
      </c>
      <c r="M2188" s="39">
        <f t="shared" si="140"/>
        <v>0.29411764705882354</v>
      </c>
      <c r="N2188" t="s">
        <v>136</v>
      </c>
      <c r="O2188" t="s">
        <v>136</v>
      </c>
      <c r="P2188">
        <v>2</v>
      </c>
      <c r="Q2188">
        <v>2</v>
      </c>
      <c r="R2188" t="s">
        <v>1231</v>
      </c>
    </row>
    <row r="2189" spans="1:18" hidden="1" x14ac:dyDescent="0.3">
      <c r="A2189">
        <v>434</v>
      </c>
      <c r="B2189" t="s">
        <v>1234</v>
      </c>
      <c r="C2189" t="s">
        <v>190</v>
      </c>
      <c r="D2189" t="s">
        <v>54</v>
      </c>
      <c r="E2189" t="s">
        <v>41</v>
      </c>
      <c r="F2189" s="79">
        <v>44957</v>
      </c>
      <c r="G2189">
        <v>2023</v>
      </c>
      <c r="H2189" t="s">
        <v>59</v>
      </c>
      <c r="I2189" t="s">
        <v>1512</v>
      </c>
      <c r="J2189">
        <v>200</v>
      </c>
      <c r="K2189">
        <v>7</v>
      </c>
      <c r="L2189" s="39">
        <f t="shared" si="139"/>
        <v>1.3</v>
      </c>
      <c r="M2189" s="39">
        <f t="shared" si="140"/>
        <v>28.571428571428573</v>
      </c>
      <c r="N2189" t="s">
        <v>403</v>
      </c>
      <c r="O2189" t="s">
        <v>403</v>
      </c>
      <c r="P2189">
        <v>0</v>
      </c>
      <c r="Q2189">
        <v>0</v>
      </c>
      <c r="R2189" t="s">
        <v>2963</v>
      </c>
    </row>
    <row r="2190" spans="1:18" hidden="1" x14ac:dyDescent="0.3">
      <c r="A2190">
        <v>434</v>
      </c>
      <c r="B2190" t="s">
        <v>1234</v>
      </c>
      <c r="C2190" t="s">
        <v>190</v>
      </c>
      <c r="D2190" t="s">
        <v>54</v>
      </c>
      <c r="E2190" t="s">
        <v>41</v>
      </c>
      <c r="F2190" s="79">
        <v>44985</v>
      </c>
      <c r="G2190">
        <v>2023</v>
      </c>
      <c r="H2190" t="s">
        <v>210</v>
      </c>
      <c r="I2190" t="s">
        <v>1512</v>
      </c>
      <c r="J2190">
        <v>200</v>
      </c>
      <c r="K2190">
        <v>0</v>
      </c>
      <c r="L2190" s="39" t="str">
        <f t="shared" si="139"/>
        <v/>
      </c>
      <c r="M2190" s="39" t="str">
        <f t="shared" si="140"/>
        <v/>
      </c>
      <c r="N2190" t="s">
        <v>403</v>
      </c>
      <c r="O2190" t="s">
        <v>403</v>
      </c>
      <c r="P2190">
        <v>0</v>
      </c>
      <c r="Q2190">
        <v>0</v>
      </c>
      <c r="R2190" t="s">
        <v>2964</v>
      </c>
    </row>
    <row r="2191" spans="1:18" hidden="1" x14ac:dyDescent="0.3">
      <c r="A2191">
        <v>434</v>
      </c>
      <c r="B2191" t="s">
        <v>1234</v>
      </c>
      <c r="C2191" t="s">
        <v>190</v>
      </c>
      <c r="D2191" t="s">
        <v>54</v>
      </c>
      <c r="E2191" t="s">
        <v>41</v>
      </c>
      <c r="F2191" s="79">
        <v>45016</v>
      </c>
      <c r="G2191">
        <v>2023</v>
      </c>
      <c r="H2191" t="s">
        <v>1516</v>
      </c>
      <c r="I2191" t="s">
        <v>1512</v>
      </c>
      <c r="J2191">
        <v>200</v>
      </c>
      <c r="K2191">
        <v>1</v>
      </c>
      <c r="L2191" s="39">
        <f t="shared" si="139"/>
        <v>1.3</v>
      </c>
      <c r="M2191" s="39">
        <f t="shared" si="140"/>
        <v>200</v>
      </c>
      <c r="N2191" t="s">
        <v>403</v>
      </c>
      <c r="O2191" t="s">
        <v>403</v>
      </c>
      <c r="P2191">
        <v>0</v>
      </c>
      <c r="Q2191">
        <v>0</v>
      </c>
      <c r="R2191" t="s">
        <v>2965</v>
      </c>
    </row>
    <row r="2192" spans="1:18" hidden="1" x14ac:dyDescent="0.3">
      <c r="A2192">
        <v>434</v>
      </c>
      <c r="B2192" t="s">
        <v>1234</v>
      </c>
      <c r="C2192" t="s">
        <v>190</v>
      </c>
      <c r="D2192" t="s">
        <v>54</v>
      </c>
      <c r="E2192" t="s">
        <v>41</v>
      </c>
      <c r="F2192" s="79">
        <v>45046</v>
      </c>
      <c r="G2192">
        <v>2023</v>
      </c>
      <c r="H2192" t="s">
        <v>1540</v>
      </c>
      <c r="I2192" t="s">
        <v>1512</v>
      </c>
      <c r="J2192">
        <v>200</v>
      </c>
      <c r="K2192">
        <v>0.8</v>
      </c>
      <c r="L2192" s="39">
        <f t="shared" si="139"/>
        <v>1.3</v>
      </c>
      <c r="M2192" s="39">
        <f t="shared" si="140"/>
        <v>250</v>
      </c>
      <c r="N2192" t="s">
        <v>403</v>
      </c>
      <c r="O2192" t="s">
        <v>403</v>
      </c>
      <c r="P2192">
        <v>0</v>
      </c>
      <c r="Q2192">
        <v>0</v>
      </c>
      <c r="R2192" t="s">
        <v>2966</v>
      </c>
    </row>
    <row r="2193" spans="1:18" hidden="1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45077</v>
      </c>
      <c r="G2193">
        <v>2023</v>
      </c>
      <c r="H2193" t="s">
        <v>1542</v>
      </c>
      <c r="I2193" t="s">
        <v>1512</v>
      </c>
      <c r="J2193">
        <v>200</v>
      </c>
      <c r="K2193">
        <v>4.5999999999999996</v>
      </c>
      <c r="L2193" s="39">
        <f t="shared" si="139"/>
        <v>1.3</v>
      </c>
      <c r="M2193" s="39">
        <f t="shared" si="140"/>
        <v>43.478260869565219</v>
      </c>
      <c r="N2193" t="s">
        <v>403</v>
      </c>
      <c r="O2193" t="s">
        <v>403</v>
      </c>
      <c r="P2193">
        <v>0</v>
      </c>
      <c r="Q2193">
        <v>0</v>
      </c>
      <c r="R2193" t="s">
        <v>2967</v>
      </c>
    </row>
    <row r="2194" spans="1:18" hidden="1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45107</v>
      </c>
      <c r="G2194">
        <v>2023</v>
      </c>
      <c r="H2194" t="s">
        <v>699</v>
      </c>
      <c r="I2194" t="s">
        <v>1512</v>
      </c>
      <c r="J2194">
        <v>200</v>
      </c>
      <c r="K2194">
        <v>5.0999999999999996</v>
      </c>
      <c r="L2194" s="39">
        <f t="shared" si="139"/>
        <v>1.3</v>
      </c>
      <c r="M2194" s="39">
        <f t="shared" si="140"/>
        <v>39.215686274509807</v>
      </c>
      <c r="N2194" t="s">
        <v>403</v>
      </c>
      <c r="O2194" t="s">
        <v>403</v>
      </c>
      <c r="P2194">
        <v>0</v>
      </c>
      <c r="Q2194">
        <v>0</v>
      </c>
      <c r="R2194" t="s">
        <v>2968</v>
      </c>
    </row>
    <row r="2195" spans="1:18" hidden="1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45138</v>
      </c>
      <c r="G2195">
        <v>2023</v>
      </c>
      <c r="H2195" t="s">
        <v>260</v>
      </c>
      <c r="I2195" t="s">
        <v>28</v>
      </c>
      <c r="J2195">
        <v>200</v>
      </c>
      <c r="K2195">
        <v>18.899999999999999</v>
      </c>
      <c r="L2195" s="39">
        <f t="shared" si="139"/>
        <v>1.3</v>
      </c>
      <c r="M2195" s="39">
        <f t="shared" si="140"/>
        <v>10.582010582010582</v>
      </c>
      <c r="N2195" t="s">
        <v>403</v>
      </c>
      <c r="O2195" t="s">
        <v>403</v>
      </c>
      <c r="P2195">
        <v>0</v>
      </c>
      <c r="Q2195">
        <v>0</v>
      </c>
      <c r="R2195" t="s">
        <v>2969</v>
      </c>
    </row>
    <row r="2196" spans="1:18" hidden="1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45169</v>
      </c>
      <c r="G2196">
        <v>2023</v>
      </c>
      <c r="H2196" t="s">
        <v>1546</v>
      </c>
      <c r="I2196" t="s">
        <v>28</v>
      </c>
      <c r="J2196">
        <v>200</v>
      </c>
      <c r="K2196">
        <v>20.9</v>
      </c>
      <c r="L2196" s="39">
        <f t="shared" si="139"/>
        <v>1.3</v>
      </c>
      <c r="M2196" s="39">
        <f t="shared" si="140"/>
        <v>9.5693779904306222</v>
      </c>
      <c r="N2196" t="s">
        <v>403</v>
      </c>
      <c r="O2196" t="s">
        <v>403</v>
      </c>
      <c r="P2196">
        <v>0</v>
      </c>
      <c r="Q2196">
        <v>0</v>
      </c>
      <c r="R2196" t="s">
        <v>2970</v>
      </c>
    </row>
    <row r="2197" spans="1:18" hidden="1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45199</v>
      </c>
      <c r="G2197">
        <v>2023</v>
      </c>
      <c r="H2197" t="s">
        <v>162</v>
      </c>
      <c r="I2197" t="s">
        <v>28</v>
      </c>
      <c r="J2197">
        <v>200</v>
      </c>
      <c r="K2197">
        <v>1803.72</v>
      </c>
      <c r="L2197" s="39">
        <f t="shared" si="139"/>
        <v>0.11088195507063181</v>
      </c>
      <c r="M2197" s="39">
        <f t="shared" si="140"/>
        <v>0.11088195507063181</v>
      </c>
      <c r="N2197" t="s">
        <v>403</v>
      </c>
      <c r="O2197" t="s">
        <v>403</v>
      </c>
      <c r="P2197">
        <v>0</v>
      </c>
      <c r="Q2197">
        <v>1</v>
      </c>
      <c r="R2197" t="s">
        <v>2971</v>
      </c>
    </row>
    <row r="2198" spans="1:18" hidden="1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45230</v>
      </c>
      <c r="G2198">
        <v>2023</v>
      </c>
      <c r="H2198" t="s">
        <v>150</v>
      </c>
      <c r="I2198" t="s">
        <v>28</v>
      </c>
      <c r="J2198">
        <v>200</v>
      </c>
      <c r="K2198">
        <v>2.1</v>
      </c>
      <c r="L2198" s="39">
        <f t="shared" si="139"/>
        <v>1.3</v>
      </c>
      <c r="M2198" s="39">
        <f t="shared" si="140"/>
        <v>95.238095238095241</v>
      </c>
      <c r="N2198" t="s">
        <v>403</v>
      </c>
      <c r="O2198" t="s">
        <v>403</v>
      </c>
      <c r="P2198">
        <v>0</v>
      </c>
      <c r="Q2198">
        <v>0</v>
      </c>
      <c r="R2198" t="s">
        <v>2972</v>
      </c>
    </row>
    <row r="2199" spans="1:18" hidden="1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45260</v>
      </c>
      <c r="G2199">
        <v>2023</v>
      </c>
      <c r="H2199" t="s">
        <v>1550</v>
      </c>
      <c r="I2199" t="s">
        <v>28</v>
      </c>
      <c r="J2199">
        <v>200</v>
      </c>
      <c r="K2199">
        <v>14.31</v>
      </c>
      <c r="L2199" s="39">
        <f t="shared" si="139"/>
        <v>1.3</v>
      </c>
      <c r="M2199" s="39">
        <f t="shared" si="140"/>
        <v>13.976240391334731</v>
      </c>
      <c r="N2199" t="s">
        <v>403</v>
      </c>
      <c r="O2199" t="s">
        <v>403</v>
      </c>
      <c r="P2199">
        <v>0</v>
      </c>
      <c r="Q2199">
        <v>0</v>
      </c>
      <c r="R2199" t="s">
        <v>2973</v>
      </c>
    </row>
    <row r="2200" spans="1:18" hidden="1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45291</v>
      </c>
      <c r="G2200">
        <v>2023</v>
      </c>
      <c r="H2200" t="s">
        <v>23</v>
      </c>
      <c r="I2200" t="s">
        <v>28</v>
      </c>
      <c r="J2200">
        <v>200</v>
      </c>
      <c r="K2200">
        <v>415.7</v>
      </c>
      <c r="L2200" s="39">
        <f t="shared" si="139"/>
        <v>0.4811161895597787</v>
      </c>
      <c r="M2200" s="39">
        <f t="shared" si="140"/>
        <v>0.4811161895597787</v>
      </c>
      <c r="N2200" t="s">
        <v>403</v>
      </c>
      <c r="O2200" t="s">
        <v>403</v>
      </c>
      <c r="P2200">
        <v>0</v>
      </c>
      <c r="Q2200">
        <v>0</v>
      </c>
      <c r="R2200" t="s">
        <v>1233</v>
      </c>
    </row>
    <row r="2201" spans="1:18" hidden="1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45322</v>
      </c>
      <c r="G2201">
        <v>2024</v>
      </c>
      <c r="H2201" t="s">
        <v>59</v>
      </c>
      <c r="I2201" t="s">
        <v>729</v>
      </c>
      <c r="J2201">
        <v>200</v>
      </c>
      <c r="K2201">
        <v>9.65</v>
      </c>
      <c r="L2201" s="39">
        <f t="shared" si="139"/>
        <v>1.3</v>
      </c>
      <c r="M2201" s="39">
        <f t="shared" si="140"/>
        <v>20.725388601036268</v>
      </c>
      <c r="N2201" t="s">
        <v>403</v>
      </c>
      <c r="O2201" t="s">
        <v>403</v>
      </c>
      <c r="P2201">
        <v>0</v>
      </c>
      <c r="Q2201">
        <v>1</v>
      </c>
      <c r="R2201" t="s">
        <v>2974</v>
      </c>
    </row>
    <row r="2202" spans="1:18" hidden="1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45351</v>
      </c>
      <c r="G2202">
        <v>2024</v>
      </c>
      <c r="H2202" t="s">
        <v>210</v>
      </c>
      <c r="I2202" t="s">
        <v>729</v>
      </c>
      <c r="J2202">
        <v>200</v>
      </c>
      <c r="K2202">
        <v>107.7</v>
      </c>
      <c r="L2202" s="39">
        <f t="shared" si="139"/>
        <v>1.3</v>
      </c>
      <c r="M2202" s="39">
        <f t="shared" si="140"/>
        <v>1.8570102135561746</v>
      </c>
      <c r="N2202" t="s">
        <v>403</v>
      </c>
      <c r="O2202" t="s">
        <v>403</v>
      </c>
      <c r="P2202">
        <v>0</v>
      </c>
      <c r="Q2202">
        <v>1</v>
      </c>
      <c r="R2202" t="s">
        <v>2975</v>
      </c>
    </row>
    <row r="2203" spans="1:18" hidden="1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45382</v>
      </c>
      <c r="G2203">
        <v>2024</v>
      </c>
      <c r="H2203" t="s">
        <v>1516</v>
      </c>
      <c r="I2203" t="s">
        <v>729</v>
      </c>
      <c r="J2203">
        <v>200</v>
      </c>
      <c r="K2203">
        <v>22.02</v>
      </c>
      <c r="L2203" s="39">
        <f t="shared" si="139"/>
        <v>1.3</v>
      </c>
      <c r="M2203" s="39">
        <f t="shared" si="140"/>
        <v>9.0826521344232525</v>
      </c>
      <c r="N2203" t="s">
        <v>403</v>
      </c>
      <c r="O2203" t="s">
        <v>403</v>
      </c>
      <c r="P2203">
        <v>0</v>
      </c>
      <c r="Q2203">
        <v>1</v>
      </c>
      <c r="R2203" t="s">
        <v>2976</v>
      </c>
    </row>
    <row r="2204" spans="1:18" hidden="1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45412</v>
      </c>
      <c r="G2204">
        <v>2024</v>
      </c>
      <c r="H2204" t="s">
        <v>1540</v>
      </c>
      <c r="I2204" t="s">
        <v>729</v>
      </c>
      <c r="J2204">
        <v>200</v>
      </c>
      <c r="K2204">
        <v>89.04</v>
      </c>
      <c r="L2204" s="39">
        <f t="shared" si="139"/>
        <v>1.3</v>
      </c>
      <c r="M2204" s="39">
        <f t="shared" si="140"/>
        <v>2.24618149146451</v>
      </c>
      <c r="N2204" t="s">
        <v>403</v>
      </c>
      <c r="O2204" t="s">
        <v>403</v>
      </c>
      <c r="P2204">
        <v>0</v>
      </c>
      <c r="Q2204">
        <v>1</v>
      </c>
      <c r="R2204" t="s">
        <v>2977</v>
      </c>
    </row>
    <row r="2205" spans="1:18" hidden="1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45443</v>
      </c>
      <c r="G2205">
        <v>2024</v>
      </c>
      <c r="H2205" t="s">
        <v>1542</v>
      </c>
      <c r="I2205" t="s">
        <v>729</v>
      </c>
      <c r="J2205">
        <v>200</v>
      </c>
      <c r="K2205">
        <v>42</v>
      </c>
      <c r="L2205" s="39">
        <f t="shared" ref="L2205:L2224" si="141">IFERROR(IF(OR(J2205=0,K2205=""),"",IF(E2205="Positivo",MIN(MAX(K2205/J2205,0),1.3),MIN(MAX(J2205/K2205,0),1.3))),"")</f>
        <v>1.3</v>
      </c>
      <c r="M2205" s="39">
        <f t="shared" ref="M2205:M2224" si="142">IFERROR(IF(OR(J2205=0,K2205=""),"",IF(E2205="Positivo",MAX(K2205/J2205,0),MAX(J2205/K2205,0))),"")</f>
        <v>4.7619047619047619</v>
      </c>
      <c r="N2205" t="s">
        <v>403</v>
      </c>
      <c r="O2205" t="s">
        <v>403</v>
      </c>
      <c r="P2205">
        <v>0</v>
      </c>
      <c r="Q2205">
        <v>0</v>
      </c>
      <c r="R2205" t="s">
        <v>2978</v>
      </c>
    </row>
    <row r="2206" spans="1:18" hidden="1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45473</v>
      </c>
      <c r="G2206">
        <v>2024</v>
      </c>
      <c r="H2206" t="s">
        <v>699</v>
      </c>
      <c r="I2206" t="s">
        <v>729</v>
      </c>
      <c r="J2206">
        <v>200</v>
      </c>
      <c r="K2206">
        <v>3219.1</v>
      </c>
      <c r="L2206" s="39">
        <f t="shared" si="141"/>
        <v>6.2129166537230905E-2</v>
      </c>
      <c r="M2206" s="39">
        <f t="shared" si="142"/>
        <v>6.2129166537230905E-2</v>
      </c>
      <c r="N2206" t="s">
        <v>403</v>
      </c>
      <c r="O2206" t="s">
        <v>403</v>
      </c>
      <c r="P2206">
        <v>0</v>
      </c>
      <c r="Q2206">
        <v>1</v>
      </c>
      <c r="R2206" t="s">
        <v>2979</v>
      </c>
    </row>
    <row r="2207" spans="1:18" hidden="1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45504</v>
      </c>
      <c r="G2207">
        <v>2024</v>
      </c>
      <c r="H2207" t="s">
        <v>260</v>
      </c>
      <c r="I2207" t="s">
        <v>30</v>
      </c>
      <c r="J2207">
        <v>200</v>
      </c>
      <c r="K2207">
        <v>1689.599975585938</v>
      </c>
      <c r="L2207" s="39">
        <f t="shared" si="141"/>
        <v>0.11837121383163006</v>
      </c>
      <c r="M2207" s="39">
        <f t="shared" si="142"/>
        <v>0.11837121383163006</v>
      </c>
      <c r="N2207" t="s">
        <v>403</v>
      </c>
      <c r="O2207" t="s">
        <v>403</v>
      </c>
      <c r="P2207">
        <v>0</v>
      </c>
      <c r="Q2207">
        <v>1</v>
      </c>
      <c r="R2207" t="s">
        <v>2980</v>
      </c>
    </row>
    <row r="2208" spans="1:18" hidden="1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45535</v>
      </c>
      <c r="G2208">
        <v>2024</v>
      </c>
      <c r="H2208" t="s">
        <v>1546</v>
      </c>
      <c r="I2208" t="s">
        <v>30</v>
      </c>
      <c r="J2208">
        <v>200</v>
      </c>
      <c r="K2208">
        <v>855.1</v>
      </c>
      <c r="L2208" s="39">
        <f t="shared" si="141"/>
        <v>0.23389077300900479</v>
      </c>
      <c r="M2208" s="39">
        <f t="shared" si="142"/>
        <v>0.23389077300900479</v>
      </c>
      <c r="N2208" t="s">
        <v>403</v>
      </c>
      <c r="O2208" t="s">
        <v>403</v>
      </c>
      <c r="P2208">
        <v>0</v>
      </c>
      <c r="Q2208">
        <v>1</v>
      </c>
      <c r="R2208" t="s">
        <v>2981</v>
      </c>
    </row>
    <row r="2209" spans="1:18" hidden="1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45565</v>
      </c>
      <c r="G2209">
        <v>2024</v>
      </c>
      <c r="H2209" t="s">
        <v>162</v>
      </c>
      <c r="I2209" t="s">
        <v>30</v>
      </c>
      <c r="J2209">
        <v>200</v>
      </c>
      <c r="K2209">
        <v>16.37</v>
      </c>
      <c r="L2209" s="39">
        <f t="shared" si="141"/>
        <v>1.3</v>
      </c>
      <c r="M2209" s="39">
        <f t="shared" si="142"/>
        <v>12.217470983506413</v>
      </c>
      <c r="N2209" t="s">
        <v>403</v>
      </c>
      <c r="O2209" t="s">
        <v>403</v>
      </c>
      <c r="P2209">
        <v>0</v>
      </c>
      <c r="Q2209">
        <v>1</v>
      </c>
      <c r="R2209" t="s">
        <v>2982</v>
      </c>
    </row>
    <row r="2210" spans="1:18" hidden="1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45596</v>
      </c>
      <c r="G2210">
        <v>2024</v>
      </c>
      <c r="H2210" t="s">
        <v>150</v>
      </c>
      <c r="I2210" t="s">
        <v>30</v>
      </c>
      <c r="J2210">
        <v>200</v>
      </c>
      <c r="K2210">
        <v>992.38</v>
      </c>
      <c r="L2210" s="39">
        <f t="shared" si="141"/>
        <v>0.2015357020496181</v>
      </c>
      <c r="M2210" s="39">
        <f t="shared" si="142"/>
        <v>0.2015357020496181</v>
      </c>
      <c r="N2210" t="s">
        <v>403</v>
      </c>
      <c r="O2210" t="s">
        <v>403</v>
      </c>
      <c r="P2210">
        <v>0</v>
      </c>
      <c r="Q2210">
        <v>1</v>
      </c>
      <c r="R2210" t="s">
        <v>2983</v>
      </c>
    </row>
    <row r="2211" spans="1:18" hidden="1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45626</v>
      </c>
      <c r="G2211">
        <v>2024</v>
      </c>
      <c r="H2211" t="s">
        <v>1550</v>
      </c>
      <c r="I2211" t="s">
        <v>30</v>
      </c>
      <c r="J2211">
        <v>200</v>
      </c>
      <c r="K2211">
        <v>73.88</v>
      </c>
      <c r="L2211" s="39">
        <f t="shared" si="141"/>
        <v>1.3</v>
      </c>
      <c r="M2211" s="39">
        <f t="shared" si="142"/>
        <v>2.7070925825663239</v>
      </c>
      <c r="N2211" t="s">
        <v>403</v>
      </c>
      <c r="O2211" t="s">
        <v>403</v>
      </c>
      <c r="P2211">
        <v>0</v>
      </c>
      <c r="Q2211">
        <v>1</v>
      </c>
      <c r="R2211" t="s">
        <v>2984</v>
      </c>
    </row>
    <row r="2212" spans="1:18" hidden="1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45657</v>
      </c>
      <c r="G2212">
        <v>2024</v>
      </c>
      <c r="H2212" t="s">
        <v>23</v>
      </c>
      <c r="I2212" t="s">
        <v>30</v>
      </c>
      <c r="J2212">
        <v>200</v>
      </c>
      <c r="K2212">
        <v>2364.4900977164511</v>
      </c>
      <c r="L2212" s="39">
        <f t="shared" si="141"/>
        <v>8.4584832980757071E-2</v>
      </c>
      <c r="M2212" s="39">
        <f t="shared" si="142"/>
        <v>8.4584832980757071E-2</v>
      </c>
      <c r="N2212" t="s">
        <v>403</v>
      </c>
      <c r="O2212" t="s">
        <v>403</v>
      </c>
      <c r="P2212">
        <v>0</v>
      </c>
      <c r="Q2212">
        <v>1</v>
      </c>
      <c r="R2212" t="s">
        <v>1235</v>
      </c>
    </row>
    <row r="2213" spans="1:18" hidden="1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45688</v>
      </c>
      <c r="G2213">
        <v>2025</v>
      </c>
      <c r="H2213" t="s">
        <v>59</v>
      </c>
      <c r="I2213" t="s">
        <v>700</v>
      </c>
      <c r="J2213">
        <v>200</v>
      </c>
      <c r="K2213">
        <v>2072.4699999999998</v>
      </c>
      <c r="L2213" s="39">
        <f>IFERROR(IF(OR(J2213=0,K2213=""),"",IF(E2213="Positivo",MIN(MAX(K2213/J2213,0),1.3),MIN(MAX(J2213/K2213,0),1.3))),"")</f>
        <v>9.6503206319029963E-2</v>
      </c>
      <c r="M2213" s="39">
        <f t="shared" si="142"/>
        <v>9.6503206319029963E-2</v>
      </c>
      <c r="N2213" t="s">
        <v>403</v>
      </c>
      <c r="O2213" t="s">
        <v>403</v>
      </c>
      <c r="P2213">
        <v>0</v>
      </c>
      <c r="Q2213">
        <v>1</v>
      </c>
      <c r="R2213" t="s">
        <v>2985</v>
      </c>
    </row>
    <row r="2214" spans="1:18" hidden="1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45716</v>
      </c>
      <c r="G2214">
        <v>2025</v>
      </c>
      <c r="H2214" t="s">
        <v>210</v>
      </c>
      <c r="I2214" t="s">
        <v>700</v>
      </c>
      <c r="J2214">
        <v>200</v>
      </c>
      <c r="K2214">
        <v>71.680000000000007</v>
      </c>
      <c r="L2214" s="39">
        <f t="shared" si="141"/>
        <v>1.3</v>
      </c>
      <c r="M2214" s="39">
        <f t="shared" si="142"/>
        <v>2.7901785714285712</v>
      </c>
      <c r="N2214" t="s">
        <v>403</v>
      </c>
      <c r="O2214" t="s">
        <v>403</v>
      </c>
      <c r="P2214">
        <v>0</v>
      </c>
      <c r="Q2214">
        <v>1</v>
      </c>
      <c r="R2214" t="s">
        <v>2986</v>
      </c>
    </row>
    <row r="2215" spans="1:18" hidden="1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45747</v>
      </c>
      <c r="G2215">
        <v>2025</v>
      </c>
      <c r="H2215" t="s">
        <v>1516</v>
      </c>
      <c r="I2215" t="s">
        <v>700</v>
      </c>
      <c r="J2215">
        <v>200</v>
      </c>
      <c r="K2215">
        <v>53.29</v>
      </c>
      <c r="L2215" s="39">
        <f t="shared" si="141"/>
        <v>1.3</v>
      </c>
      <c r="M2215" s="39">
        <f t="shared" si="142"/>
        <v>3.7530493525989868</v>
      </c>
      <c r="N2215" t="s">
        <v>403</v>
      </c>
      <c r="O2215" t="s">
        <v>403</v>
      </c>
      <c r="P2215">
        <v>0</v>
      </c>
      <c r="Q2215">
        <v>1</v>
      </c>
      <c r="R2215" t="s">
        <v>2987</v>
      </c>
    </row>
    <row r="2216" spans="1:18" hidden="1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45777</v>
      </c>
      <c r="G2216">
        <v>2025</v>
      </c>
      <c r="H2216" t="s">
        <v>1540</v>
      </c>
      <c r="I2216" t="s">
        <v>700</v>
      </c>
      <c r="J2216">
        <v>200</v>
      </c>
      <c r="K2216">
        <v>126.74</v>
      </c>
      <c r="L2216" s="39">
        <f t="shared" si="141"/>
        <v>1.3</v>
      </c>
      <c r="M2216" s="39">
        <f t="shared" si="142"/>
        <v>1.5780337699226763</v>
      </c>
      <c r="N2216" t="s">
        <v>403</v>
      </c>
      <c r="O2216" t="s">
        <v>403</v>
      </c>
      <c r="P2216">
        <v>0</v>
      </c>
      <c r="Q2216">
        <v>1</v>
      </c>
      <c r="R2216" t="s">
        <v>2988</v>
      </c>
    </row>
    <row r="2217" spans="1:18" hidden="1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45808</v>
      </c>
      <c r="G2217">
        <v>2025</v>
      </c>
      <c r="H2217" t="s">
        <v>1542</v>
      </c>
      <c r="I2217" t="s">
        <v>700</v>
      </c>
      <c r="J2217">
        <v>200</v>
      </c>
      <c r="K2217">
        <v>12.6</v>
      </c>
      <c r="L2217" s="39">
        <f t="shared" si="141"/>
        <v>1.3</v>
      </c>
      <c r="M2217" s="39">
        <f t="shared" si="142"/>
        <v>15.873015873015873</v>
      </c>
      <c r="N2217" t="s">
        <v>403</v>
      </c>
      <c r="O2217" t="s">
        <v>403</v>
      </c>
      <c r="P2217">
        <v>0</v>
      </c>
      <c r="Q2217">
        <v>1</v>
      </c>
      <c r="R2217" t="s">
        <v>2989</v>
      </c>
    </row>
    <row r="2218" spans="1:18" hidden="1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45838</v>
      </c>
      <c r="G2218">
        <v>2025</v>
      </c>
      <c r="H2218" t="s">
        <v>699</v>
      </c>
      <c r="I2218" t="s">
        <v>700</v>
      </c>
      <c r="J2218">
        <v>200</v>
      </c>
      <c r="K2218">
        <v>130.58000000000001</v>
      </c>
      <c r="L2218" s="39">
        <f t="shared" si="141"/>
        <v>1.3</v>
      </c>
      <c r="M2218" s="39">
        <f t="shared" si="142"/>
        <v>1.5316281206922957</v>
      </c>
      <c r="N2218" t="s">
        <v>403</v>
      </c>
      <c r="O2218" t="s">
        <v>403</v>
      </c>
      <c r="P2218">
        <v>0</v>
      </c>
      <c r="Q2218">
        <v>1</v>
      </c>
      <c r="R2218" t="s">
        <v>2990</v>
      </c>
    </row>
    <row r="2219" spans="1:18" hidden="1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45869</v>
      </c>
      <c r="G2219">
        <v>2025</v>
      </c>
      <c r="H2219" t="s">
        <v>260</v>
      </c>
      <c r="I2219" t="s">
        <v>32</v>
      </c>
      <c r="J2219">
        <v>200</v>
      </c>
      <c r="K2219">
        <v>312.11</v>
      </c>
      <c r="L2219" s="39">
        <f t="shared" si="141"/>
        <v>0.64079971804812408</v>
      </c>
      <c r="M2219" s="39">
        <f t="shared" si="142"/>
        <v>0.64079971804812408</v>
      </c>
      <c r="N2219" t="s">
        <v>403</v>
      </c>
      <c r="O2219" t="s">
        <v>403</v>
      </c>
      <c r="P2219">
        <v>0</v>
      </c>
      <c r="Q2219">
        <v>0</v>
      </c>
      <c r="R2219" t="s">
        <v>2991</v>
      </c>
    </row>
    <row r="2220" spans="1:18" hidden="1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45900</v>
      </c>
      <c r="G2220">
        <v>2025</v>
      </c>
      <c r="H2220" t="s">
        <v>1546</v>
      </c>
      <c r="I2220" t="s">
        <v>32</v>
      </c>
      <c r="J2220">
        <v>200</v>
      </c>
      <c r="K2220">
        <v>84.75</v>
      </c>
      <c r="L2220" s="39">
        <f t="shared" si="141"/>
        <v>1.3</v>
      </c>
      <c r="M2220" s="39">
        <f t="shared" si="142"/>
        <v>2.359882005899705</v>
      </c>
      <c r="N2220" t="s">
        <v>403</v>
      </c>
      <c r="O2220" t="s">
        <v>403</v>
      </c>
      <c r="P2220">
        <v>0</v>
      </c>
      <c r="Q2220">
        <v>0</v>
      </c>
      <c r="R2220" t="s">
        <v>2992</v>
      </c>
    </row>
    <row r="2221" spans="1:18" hidden="1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45930</v>
      </c>
      <c r="G2221">
        <v>2025</v>
      </c>
      <c r="H2221" t="s">
        <v>162</v>
      </c>
      <c r="I2221" t="s">
        <v>32</v>
      </c>
      <c r="J2221">
        <v>200</v>
      </c>
      <c r="K2221">
        <v>109.73</v>
      </c>
      <c r="L2221" s="39">
        <f t="shared" si="141"/>
        <v>1.3</v>
      </c>
      <c r="M2221" s="39">
        <f t="shared" si="142"/>
        <v>1.8226556092226374</v>
      </c>
      <c r="N2221" t="s">
        <v>403</v>
      </c>
      <c r="O2221" t="s">
        <v>403</v>
      </c>
      <c r="P2221">
        <v>0</v>
      </c>
      <c r="Q2221">
        <v>0</v>
      </c>
      <c r="R2221" t="s">
        <v>2993</v>
      </c>
    </row>
    <row r="2222" spans="1:18" hidden="1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45961</v>
      </c>
      <c r="G2222">
        <v>2025</v>
      </c>
      <c r="H2222" t="s">
        <v>150</v>
      </c>
      <c r="I2222" t="s">
        <v>32</v>
      </c>
      <c r="J2222">
        <v>200</v>
      </c>
      <c r="K2222">
        <v>4524.46</v>
      </c>
      <c r="L2222" s="39">
        <f t="shared" si="141"/>
        <v>4.420417022141869E-2</v>
      </c>
      <c r="M2222" s="39">
        <f t="shared" si="142"/>
        <v>4.420417022141869E-2</v>
      </c>
      <c r="N2222" t="s">
        <v>403</v>
      </c>
      <c r="O2222" t="s">
        <v>403</v>
      </c>
      <c r="P2222">
        <v>0</v>
      </c>
      <c r="Q2222">
        <v>0</v>
      </c>
      <c r="R2222" t="s">
        <v>2994</v>
      </c>
    </row>
    <row r="2223" spans="1:18" hidden="1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45991</v>
      </c>
      <c r="G2223">
        <v>2025</v>
      </c>
      <c r="H2223" t="s">
        <v>1550</v>
      </c>
      <c r="I2223" t="s">
        <v>32</v>
      </c>
      <c r="J2223">
        <v>200</v>
      </c>
      <c r="K2223">
        <v>285.14999999999998</v>
      </c>
      <c r="L2223" s="39">
        <f t="shared" si="141"/>
        <v>0.7013852358407856</v>
      </c>
      <c r="M2223" s="39">
        <f t="shared" si="142"/>
        <v>0.7013852358407856</v>
      </c>
      <c r="N2223" t="s">
        <v>403</v>
      </c>
      <c r="O2223" t="s">
        <v>403</v>
      </c>
      <c r="P2223">
        <v>0</v>
      </c>
      <c r="Q2223">
        <v>0</v>
      </c>
      <c r="R2223" t="s">
        <v>2995</v>
      </c>
    </row>
    <row r="2224" spans="1:18" hidden="1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200</v>
      </c>
      <c r="K2224">
        <v>150.1299935057759</v>
      </c>
      <c r="L2224" s="39">
        <f t="shared" si="141"/>
        <v>1.3</v>
      </c>
      <c r="M2224" s="39">
        <f t="shared" si="142"/>
        <v>1.33217883601857</v>
      </c>
      <c r="N2224" t="s">
        <v>403</v>
      </c>
      <c r="O2224" t="s">
        <v>403</v>
      </c>
      <c r="P2224">
        <v>0</v>
      </c>
      <c r="Q2224">
        <v>0</v>
      </c>
      <c r="R2224" t="s">
        <v>1236</v>
      </c>
    </row>
    <row r="2225" spans="1:19" hidden="1" x14ac:dyDescent="0.3">
      <c r="A2225">
        <v>435</v>
      </c>
      <c r="B2225" t="s">
        <v>1237</v>
      </c>
      <c r="C2225" t="s">
        <v>190</v>
      </c>
      <c r="D2225" t="s">
        <v>21</v>
      </c>
      <c r="E2225" t="s">
        <v>22</v>
      </c>
      <c r="F2225" s="79">
        <v>45107</v>
      </c>
      <c r="G2225">
        <v>2023</v>
      </c>
      <c r="H2225" t="s">
        <v>699</v>
      </c>
      <c r="I2225" t="s">
        <v>1512</v>
      </c>
      <c r="J2225">
        <v>100</v>
      </c>
      <c r="L2225" s="39"/>
      <c r="M2225" s="39"/>
      <c r="N2225" t="s">
        <v>25</v>
      </c>
      <c r="O2225" t="s">
        <v>302</v>
      </c>
      <c r="P2225">
        <v>2</v>
      </c>
      <c r="Q2225">
        <v>2</v>
      </c>
      <c r="R2225" t="s">
        <v>2996</v>
      </c>
      <c r="S2225" t="s">
        <v>302</v>
      </c>
    </row>
    <row r="2226" spans="1:19" hidden="1" x14ac:dyDescent="0.3">
      <c r="A2226">
        <v>435</v>
      </c>
      <c r="B2226" t="s">
        <v>1237</v>
      </c>
      <c r="C2226" t="s">
        <v>190</v>
      </c>
      <c r="D2226" t="s">
        <v>21</v>
      </c>
      <c r="E2226" t="s">
        <v>22</v>
      </c>
      <c r="F2226" s="79">
        <v>45291</v>
      </c>
      <c r="G2226">
        <v>2023</v>
      </c>
      <c r="H2226" t="s">
        <v>23</v>
      </c>
      <c r="I2226" t="s">
        <v>28</v>
      </c>
      <c r="J2226">
        <v>100</v>
      </c>
      <c r="K2226">
        <v>-111.57</v>
      </c>
      <c r="L2226" s="39">
        <f>IFERROR(IF(OR(J2226=0,K2226=""),"",IF(E2226="Positivo",MIN(MAX(K2226/J2226,0),1.3),MIN(MAX(J2226/K2226,0),1.3))),"")</f>
        <v>0</v>
      </c>
      <c r="M2226" s="39">
        <f>IFERROR(IF(OR(J2226=0,K2226=""),"",IF(E2226="Positivo",MAX(K2226/J2226,0),MAX(J2226/K2226,0))),"")</f>
        <v>0</v>
      </c>
      <c r="N2226" t="s">
        <v>25</v>
      </c>
      <c r="O2226" t="s">
        <v>25</v>
      </c>
      <c r="P2226">
        <v>2</v>
      </c>
      <c r="Q2226">
        <v>2</v>
      </c>
      <c r="R2226" t="s">
        <v>1238</v>
      </c>
    </row>
    <row r="2227" spans="1:19" hidden="1" x14ac:dyDescent="0.3">
      <c r="A2227">
        <v>435</v>
      </c>
      <c r="B2227" t="s">
        <v>1237</v>
      </c>
      <c r="C2227" t="s">
        <v>190</v>
      </c>
      <c r="D2227" t="s">
        <v>27</v>
      </c>
      <c r="E2227" t="s">
        <v>22</v>
      </c>
      <c r="F2227" s="79">
        <v>45473</v>
      </c>
      <c r="G2227">
        <v>2024</v>
      </c>
      <c r="H2227" t="s">
        <v>699</v>
      </c>
      <c r="I2227" t="s">
        <v>729</v>
      </c>
      <c r="J2227">
        <v>100</v>
      </c>
      <c r="K2227">
        <v>-20.67</v>
      </c>
      <c r="L2227" s="39">
        <f>IFERROR(IF(OR(J2227=0,K2227=""),"",IF(E2227="Positivo",MIN(MAX(K2227/J2227,0),1.3),MIN(MAX(J2227/K2227,0),1.3))),"")</f>
        <v>0</v>
      </c>
      <c r="M2227" s="39">
        <f>IFERROR(IF(OR(J2227=0,K2227=""),"",IF(E2227="Positivo",MAX(K2227/J2227,0),MAX(J2227/K2227,0))),"")</f>
        <v>0</v>
      </c>
      <c r="N2227" t="s">
        <v>25</v>
      </c>
      <c r="O2227" t="s">
        <v>25</v>
      </c>
      <c r="P2227">
        <v>2</v>
      </c>
      <c r="Q2227">
        <v>2</v>
      </c>
      <c r="R2227" t="s">
        <v>2997</v>
      </c>
    </row>
    <row r="2228" spans="1:19" hidden="1" x14ac:dyDescent="0.3">
      <c r="A2228">
        <v>435</v>
      </c>
      <c r="B2228" t="s">
        <v>1237</v>
      </c>
      <c r="C2228" t="s">
        <v>190</v>
      </c>
      <c r="D2228" t="s">
        <v>27</v>
      </c>
      <c r="E2228" t="s">
        <v>22</v>
      </c>
      <c r="F2228" s="79">
        <v>45657</v>
      </c>
      <c r="G2228">
        <v>2024</v>
      </c>
      <c r="H2228" t="s">
        <v>23</v>
      </c>
      <c r="I2228" t="s">
        <v>30</v>
      </c>
      <c r="J2228">
        <v>100</v>
      </c>
      <c r="K2228">
        <v>71.09</v>
      </c>
      <c r="L2228" s="39">
        <f>IFERROR(IF(OR(J2228=0,K2228=""),"",IF(E2228="Positivo",MIN(MAX(K2228/J2228,0),1.3),MIN(MAX(J2228/K2228,0),1.3))),"")</f>
        <v>0.71090000000000009</v>
      </c>
      <c r="M2228" s="39">
        <f>IFERROR(IF(OR(J2228=0,K2228=""),"",IF(E2228="Positivo",MAX(K2228/J2228,0),MAX(J2228/K2228,0))),"")</f>
        <v>0.71090000000000009</v>
      </c>
      <c r="N2228" t="s">
        <v>25</v>
      </c>
      <c r="O2228" t="s">
        <v>25</v>
      </c>
      <c r="P2228">
        <v>2</v>
      </c>
      <c r="Q2228">
        <v>2</v>
      </c>
      <c r="R2228" t="s">
        <v>1239</v>
      </c>
    </row>
    <row r="2229" spans="1:19" hidden="1" x14ac:dyDescent="0.3">
      <c r="A2229">
        <v>435</v>
      </c>
      <c r="B2229" t="s">
        <v>1237</v>
      </c>
      <c r="C2229" t="s">
        <v>190</v>
      </c>
      <c r="D2229" t="s">
        <v>27</v>
      </c>
      <c r="E2229" t="s">
        <v>22</v>
      </c>
      <c r="F2229" s="79">
        <v>45838</v>
      </c>
      <c r="G2229">
        <v>2025</v>
      </c>
      <c r="H2229" t="s">
        <v>699</v>
      </c>
      <c r="I2229" t="s">
        <v>700</v>
      </c>
      <c r="J2229">
        <v>1</v>
      </c>
      <c r="K2229">
        <v>96.09</v>
      </c>
      <c r="L2229" s="39">
        <f>IFERROR(IF(OR(J2229=0,K2229=""),"",IF(E2229="Positivo",MIN(MAX(K2229/J2229,0),1.3),MIN(MAX(J2229/K2229,0),1.3))),"")</f>
        <v>1.3</v>
      </c>
      <c r="M2229" s="39">
        <f>IFERROR(IF(OR(J2229=0,K2229=""),"",IF(E2229="Positivo",MAX(K2229/J2229,0),MAX(J2229/K2229,0))),"")</f>
        <v>96.09</v>
      </c>
      <c r="N2229" t="s">
        <v>25</v>
      </c>
      <c r="O2229" t="s">
        <v>25</v>
      </c>
      <c r="P2229">
        <v>2</v>
      </c>
      <c r="Q2229">
        <v>2</v>
      </c>
      <c r="R2229" t="s">
        <v>2998</v>
      </c>
    </row>
    <row r="2230" spans="1:19" hidden="1" x14ac:dyDescent="0.3">
      <c r="A2230">
        <v>435</v>
      </c>
      <c r="B2230" t="s">
        <v>1237</v>
      </c>
      <c r="C2230" t="s">
        <v>190</v>
      </c>
      <c r="D2230" t="s">
        <v>21</v>
      </c>
      <c r="E2230" t="s">
        <v>22</v>
      </c>
      <c r="F2230" s="79">
        <v>46022</v>
      </c>
      <c r="G2230">
        <v>2025</v>
      </c>
      <c r="H2230" t="s">
        <v>23</v>
      </c>
      <c r="I2230" t="s">
        <v>32</v>
      </c>
      <c r="J2230">
        <v>1</v>
      </c>
      <c r="K2230">
        <v>-732.08</v>
      </c>
      <c r="L2230" s="39">
        <f>IFERROR(IF(OR(J2230=0,K2230=""),"",IF(E2230="Positivo",MIN(MAX(K2230/J2230,0),1.3),MIN(MAX(J2230/K2230,0),1.3))),"")</f>
        <v>0</v>
      </c>
      <c r="M2230" s="39">
        <f>IFERROR(IF(OR(J2230=0,K2230=""),"",IF(E2230="Positivo",MAX(K2230/J2230,0),MAX(J2230/K2230,0))),"")</f>
        <v>0</v>
      </c>
      <c r="N2230" t="s">
        <v>25</v>
      </c>
      <c r="O2230" t="s">
        <v>25</v>
      </c>
      <c r="P2230">
        <v>2</v>
      </c>
      <c r="Q2230">
        <v>2</v>
      </c>
      <c r="R2230" t="s">
        <v>1240</v>
      </c>
    </row>
    <row r="2231" spans="1:19" hidden="1" x14ac:dyDescent="0.3">
      <c r="A2231">
        <v>436</v>
      </c>
      <c r="B2231" t="s">
        <v>1241</v>
      </c>
      <c r="C2231" t="s">
        <v>198</v>
      </c>
      <c r="D2231" t="s">
        <v>54</v>
      </c>
      <c r="E2231" t="s">
        <v>41</v>
      </c>
      <c r="F2231" s="79">
        <v>44957</v>
      </c>
      <c r="G2231">
        <v>2023</v>
      </c>
      <c r="H2231" t="s">
        <v>59</v>
      </c>
      <c r="I2231" t="s">
        <v>1512</v>
      </c>
      <c r="J2231">
        <v>14</v>
      </c>
      <c r="L2231" s="39"/>
      <c r="M2231" s="39"/>
      <c r="N2231" t="s">
        <v>42</v>
      </c>
      <c r="O2231" t="s">
        <v>302</v>
      </c>
      <c r="P2231">
        <v>0</v>
      </c>
      <c r="Q2231">
        <v>1</v>
      </c>
      <c r="R2231" t="s">
        <v>2999</v>
      </c>
      <c r="S2231" t="s">
        <v>302</v>
      </c>
    </row>
    <row r="2232" spans="1:19" hidden="1" x14ac:dyDescent="0.3">
      <c r="A2232">
        <v>436</v>
      </c>
      <c r="B2232" t="s">
        <v>1241</v>
      </c>
      <c r="C2232" t="s">
        <v>198</v>
      </c>
      <c r="D2232" t="s">
        <v>54</v>
      </c>
      <c r="E2232" t="s">
        <v>41</v>
      </c>
      <c r="F2232" s="79">
        <v>44985</v>
      </c>
      <c r="G2232">
        <v>2023</v>
      </c>
      <c r="H2232" t="s">
        <v>210</v>
      </c>
      <c r="I2232" t="s">
        <v>1512</v>
      </c>
      <c r="J2232">
        <v>14</v>
      </c>
      <c r="L2232" s="39"/>
      <c r="M2232" s="39"/>
      <c r="N2232" t="s">
        <v>42</v>
      </c>
      <c r="O2232" t="s">
        <v>302</v>
      </c>
      <c r="P2232">
        <v>0</v>
      </c>
      <c r="Q2232">
        <v>1</v>
      </c>
      <c r="R2232" t="s">
        <v>3000</v>
      </c>
      <c r="S2232" t="s">
        <v>302</v>
      </c>
    </row>
    <row r="2233" spans="1:19" hidden="1" x14ac:dyDescent="0.3">
      <c r="A2233">
        <v>436</v>
      </c>
      <c r="B2233" t="s">
        <v>1241</v>
      </c>
      <c r="C2233" t="s">
        <v>198</v>
      </c>
      <c r="D2233" t="s">
        <v>54</v>
      </c>
      <c r="E2233" t="s">
        <v>41</v>
      </c>
      <c r="F2233" s="79">
        <v>45016</v>
      </c>
      <c r="G2233">
        <v>2023</v>
      </c>
      <c r="H2233" t="s">
        <v>1516</v>
      </c>
      <c r="I2233" t="s">
        <v>1512</v>
      </c>
      <c r="J2233">
        <v>14</v>
      </c>
      <c r="L2233" s="39"/>
      <c r="M2233" s="39"/>
      <c r="N2233" t="s">
        <v>42</v>
      </c>
      <c r="O2233" t="s">
        <v>302</v>
      </c>
      <c r="P2233">
        <v>0</v>
      </c>
      <c r="Q2233">
        <v>1</v>
      </c>
      <c r="R2233" t="s">
        <v>3001</v>
      </c>
      <c r="S2233" t="s">
        <v>302</v>
      </c>
    </row>
    <row r="2234" spans="1:19" hidden="1" x14ac:dyDescent="0.3">
      <c r="A2234">
        <v>436</v>
      </c>
      <c r="B2234" t="s">
        <v>1241</v>
      </c>
      <c r="C2234" t="s">
        <v>198</v>
      </c>
      <c r="D2234" t="s">
        <v>54</v>
      </c>
      <c r="E2234" t="s">
        <v>41</v>
      </c>
      <c r="F2234" s="79">
        <v>45046</v>
      </c>
      <c r="G2234">
        <v>2023</v>
      </c>
      <c r="H2234" t="s">
        <v>1540</v>
      </c>
      <c r="I2234" t="s">
        <v>1512</v>
      </c>
      <c r="J2234">
        <v>14</v>
      </c>
      <c r="N2234" t="s">
        <v>42</v>
      </c>
      <c r="O2234" t="s">
        <v>302</v>
      </c>
      <c r="P2234">
        <v>0</v>
      </c>
      <c r="Q2234">
        <v>1</v>
      </c>
      <c r="R2234" t="s">
        <v>3002</v>
      </c>
      <c r="S2234" t="s">
        <v>302</v>
      </c>
    </row>
    <row r="2235" spans="1:19" hidden="1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45077</v>
      </c>
      <c r="G2235">
        <v>2023</v>
      </c>
      <c r="H2235" t="s">
        <v>1542</v>
      </c>
      <c r="I2235" t="s">
        <v>1512</v>
      </c>
      <c r="J2235">
        <v>14</v>
      </c>
      <c r="N2235" t="s">
        <v>42</v>
      </c>
      <c r="O2235" t="s">
        <v>302</v>
      </c>
      <c r="P2235">
        <v>0</v>
      </c>
      <c r="Q2235">
        <v>1</v>
      </c>
      <c r="R2235" t="s">
        <v>3003</v>
      </c>
      <c r="S2235" t="s">
        <v>302</v>
      </c>
    </row>
    <row r="2236" spans="1:19" hidden="1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45107</v>
      </c>
      <c r="G2236">
        <v>2023</v>
      </c>
      <c r="H2236" t="s">
        <v>699</v>
      </c>
      <c r="I2236" t="s">
        <v>1512</v>
      </c>
      <c r="J2236">
        <v>14</v>
      </c>
      <c r="L2236" s="39"/>
      <c r="M2236" s="39"/>
      <c r="N2236" t="s">
        <v>42</v>
      </c>
      <c r="O2236" t="s">
        <v>302</v>
      </c>
      <c r="P2236">
        <v>0</v>
      </c>
      <c r="Q2236">
        <v>1</v>
      </c>
      <c r="R2236" t="s">
        <v>3004</v>
      </c>
      <c r="S2236" t="s">
        <v>302</v>
      </c>
    </row>
    <row r="2237" spans="1:19" hidden="1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45138</v>
      </c>
      <c r="G2237">
        <v>2023</v>
      </c>
      <c r="H2237" t="s">
        <v>260</v>
      </c>
      <c r="I2237" t="s">
        <v>28</v>
      </c>
      <c r="J2237">
        <v>21</v>
      </c>
      <c r="K2237">
        <v>11.7</v>
      </c>
      <c r="L2237" s="39">
        <f t="shared" ref="L2237:L2271" si="143">IFERROR(IF(OR(J2237=0,K2237=""),"",IF(E2237="Positivo",MIN(MAX(K2237/J2237,0),1.3),MIN(MAX(J2237/K2237,0),1.3))),"")</f>
        <v>1.3</v>
      </c>
      <c r="M2237" s="39">
        <f t="shared" ref="M2237:M2271" si="144">IFERROR(IF(OR(J2237=0,K2237=""),"",IF(E2237="Positivo",MAX(K2237/J2237,0),MAX(J2237/K2237,0))),"")</f>
        <v>1.7948717948717949</v>
      </c>
      <c r="N2237" t="s">
        <v>42</v>
      </c>
      <c r="O2237" t="s">
        <v>42</v>
      </c>
      <c r="P2237">
        <v>0</v>
      </c>
      <c r="Q2237">
        <v>0</v>
      </c>
      <c r="R2237" t="s">
        <v>3005</v>
      </c>
    </row>
    <row r="2238" spans="1:19" hidden="1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45169</v>
      </c>
      <c r="G2238">
        <v>2023</v>
      </c>
      <c r="H2238" t="s">
        <v>1546</v>
      </c>
      <c r="I2238" t="s">
        <v>28</v>
      </c>
      <c r="J2238">
        <v>21</v>
      </c>
      <c r="K2238">
        <v>8.6999999999999993</v>
      </c>
      <c r="L2238" s="39">
        <f t="shared" si="143"/>
        <v>1.3</v>
      </c>
      <c r="M2238" s="39">
        <f t="shared" si="144"/>
        <v>2.4137931034482762</v>
      </c>
      <c r="N2238" t="s">
        <v>42</v>
      </c>
      <c r="O2238" t="s">
        <v>42</v>
      </c>
      <c r="P2238">
        <v>0</v>
      </c>
      <c r="Q2238">
        <v>0</v>
      </c>
      <c r="R2238" t="s">
        <v>3006</v>
      </c>
    </row>
    <row r="2239" spans="1:19" hidden="1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45199</v>
      </c>
      <c r="G2239">
        <v>2023</v>
      </c>
      <c r="H2239" t="s">
        <v>162</v>
      </c>
      <c r="I2239" t="s">
        <v>28</v>
      </c>
      <c r="J2239">
        <v>21</v>
      </c>
      <c r="K2239">
        <v>17.3</v>
      </c>
      <c r="L2239" s="39">
        <f t="shared" si="143"/>
        <v>1.2138728323699421</v>
      </c>
      <c r="M2239" s="39">
        <f t="shared" si="144"/>
        <v>1.2138728323699421</v>
      </c>
      <c r="N2239" t="s">
        <v>42</v>
      </c>
      <c r="O2239" t="s">
        <v>42</v>
      </c>
      <c r="P2239">
        <v>0</v>
      </c>
      <c r="Q2239">
        <v>0</v>
      </c>
      <c r="R2239" t="s">
        <v>3007</v>
      </c>
    </row>
    <row r="2240" spans="1:19" hidden="1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45230</v>
      </c>
      <c r="G2240">
        <v>2023</v>
      </c>
      <c r="H2240" t="s">
        <v>150</v>
      </c>
      <c r="I2240" t="s">
        <v>28</v>
      </c>
      <c r="J2240">
        <v>21</v>
      </c>
      <c r="K2240">
        <v>5.0999999999999996</v>
      </c>
      <c r="L2240" s="39">
        <f t="shared" si="143"/>
        <v>1.3</v>
      </c>
      <c r="M2240" s="39">
        <f t="shared" si="144"/>
        <v>4.1176470588235299</v>
      </c>
      <c r="N2240" t="s">
        <v>42</v>
      </c>
      <c r="O2240" t="s">
        <v>42</v>
      </c>
      <c r="P2240">
        <v>0</v>
      </c>
      <c r="Q2240">
        <v>0</v>
      </c>
      <c r="R2240" t="s">
        <v>3008</v>
      </c>
    </row>
    <row r="2241" spans="1:18" s="2" customFormat="1" hidden="1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45260</v>
      </c>
      <c r="G2241">
        <v>2023</v>
      </c>
      <c r="H2241" t="s">
        <v>1550</v>
      </c>
      <c r="I2241" t="s">
        <v>28</v>
      </c>
      <c r="J2241">
        <v>21</v>
      </c>
      <c r="K2241">
        <v>10.91</v>
      </c>
      <c r="L2241" s="39">
        <f t="shared" si="143"/>
        <v>1.3</v>
      </c>
      <c r="M2241" s="39">
        <f t="shared" si="144"/>
        <v>1.9248395967002749</v>
      </c>
      <c r="N2241" t="s">
        <v>42</v>
      </c>
      <c r="O2241" t="s">
        <v>42</v>
      </c>
      <c r="P2241">
        <v>0</v>
      </c>
      <c r="Q2241">
        <v>0</v>
      </c>
      <c r="R2241" t="s">
        <v>3009</v>
      </c>
    </row>
    <row r="2242" spans="1:18" s="2" customFormat="1" hidden="1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45291</v>
      </c>
      <c r="G2242">
        <v>2023</v>
      </c>
      <c r="H2242" t="s">
        <v>23</v>
      </c>
      <c r="I2242" t="s">
        <v>28</v>
      </c>
      <c r="J2242">
        <v>21</v>
      </c>
      <c r="K2242">
        <v>12.7</v>
      </c>
      <c r="L2242" s="39">
        <f t="shared" si="143"/>
        <v>1.3</v>
      </c>
      <c r="M2242" s="39">
        <f t="shared" si="144"/>
        <v>1.6535433070866143</v>
      </c>
      <c r="N2242" t="s">
        <v>42</v>
      </c>
      <c r="O2242" t="s">
        <v>42</v>
      </c>
      <c r="P2242">
        <v>0</v>
      </c>
      <c r="Q2242">
        <v>0</v>
      </c>
      <c r="R2242" t="s">
        <v>1242</v>
      </c>
    </row>
    <row r="2243" spans="1:18" s="2" customFormat="1" hidden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45322</v>
      </c>
      <c r="G2243">
        <v>2024</v>
      </c>
      <c r="H2243" t="s">
        <v>59</v>
      </c>
      <c r="I2243" t="s">
        <v>729</v>
      </c>
      <c r="J2243">
        <v>14</v>
      </c>
      <c r="K2243">
        <v>9.6999999999999993</v>
      </c>
      <c r="L2243" s="39">
        <f t="shared" si="143"/>
        <v>1.3</v>
      </c>
      <c r="M2243" s="39">
        <f t="shared" si="144"/>
        <v>1.4432989690721651</v>
      </c>
      <c r="N2243" t="s">
        <v>42</v>
      </c>
      <c r="O2243" t="s">
        <v>42</v>
      </c>
      <c r="P2243">
        <v>0</v>
      </c>
      <c r="Q2243">
        <v>0</v>
      </c>
      <c r="R2243" t="s">
        <v>3010</v>
      </c>
    </row>
    <row r="2244" spans="1:18" s="2" customFormat="1" hidden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45351</v>
      </c>
      <c r="G2244">
        <v>2024</v>
      </c>
      <c r="H2244" t="s">
        <v>210</v>
      </c>
      <c r="I2244" t="s">
        <v>729</v>
      </c>
      <c r="J2244">
        <v>14</v>
      </c>
      <c r="K2244">
        <v>13.5</v>
      </c>
      <c r="L2244" s="39">
        <f t="shared" si="143"/>
        <v>1.037037037037037</v>
      </c>
      <c r="M2244" s="39">
        <f t="shared" si="144"/>
        <v>1.037037037037037</v>
      </c>
      <c r="N2244" t="s">
        <v>42</v>
      </c>
      <c r="O2244" t="s">
        <v>42</v>
      </c>
      <c r="P2244">
        <v>0</v>
      </c>
      <c r="Q2244">
        <v>0</v>
      </c>
      <c r="R2244" t="s">
        <v>3011</v>
      </c>
    </row>
    <row r="2245" spans="1:18" s="2" customFormat="1" hidden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45382</v>
      </c>
      <c r="G2245">
        <v>2024</v>
      </c>
      <c r="H2245" t="s">
        <v>1516</v>
      </c>
      <c r="I2245" t="s">
        <v>729</v>
      </c>
      <c r="J2245">
        <v>14</v>
      </c>
      <c r="K2245">
        <v>15.7</v>
      </c>
      <c r="L2245" s="39">
        <f t="shared" si="143"/>
        <v>0.89171974522292996</v>
      </c>
      <c r="M2245" s="39">
        <f t="shared" si="144"/>
        <v>0.89171974522292996</v>
      </c>
      <c r="N2245" t="s">
        <v>42</v>
      </c>
      <c r="O2245" t="s">
        <v>42</v>
      </c>
      <c r="P2245">
        <v>0</v>
      </c>
      <c r="Q2245">
        <v>0</v>
      </c>
      <c r="R2245" t="s">
        <v>3012</v>
      </c>
    </row>
    <row r="2246" spans="1:18" s="2" customFormat="1" hidden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45412</v>
      </c>
      <c r="G2246">
        <v>2024</v>
      </c>
      <c r="H2246" t="s">
        <v>1540</v>
      </c>
      <c r="I2246" t="s">
        <v>729</v>
      </c>
      <c r="J2246">
        <v>14</v>
      </c>
      <c r="K2246">
        <v>11.1</v>
      </c>
      <c r="L2246" s="39">
        <f t="shared" si="143"/>
        <v>1.2612612612612613</v>
      </c>
      <c r="M2246" s="39">
        <f t="shared" si="144"/>
        <v>1.2612612612612613</v>
      </c>
      <c r="N2246" t="s">
        <v>42</v>
      </c>
      <c r="O2246" t="s">
        <v>42</v>
      </c>
      <c r="P2246">
        <v>0</v>
      </c>
      <c r="Q2246">
        <v>0</v>
      </c>
      <c r="R2246" t="s">
        <v>3013</v>
      </c>
    </row>
    <row r="2247" spans="1:18" s="2" customFormat="1" hidden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45443</v>
      </c>
      <c r="G2247">
        <v>2024</v>
      </c>
      <c r="H2247" t="s">
        <v>1542</v>
      </c>
      <c r="I2247" t="s">
        <v>729</v>
      </c>
      <c r="J2247">
        <v>14</v>
      </c>
      <c r="K2247">
        <v>10.6</v>
      </c>
      <c r="L2247" s="39">
        <f t="shared" si="143"/>
        <v>1.3</v>
      </c>
      <c r="M2247" s="39">
        <f t="shared" si="144"/>
        <v>1.3207547169811322</v>
      </c>
      <c r="N2247" t="s">
        <v>42</v>
      </c>
      <c r="O2247" t="s">
        <v>42</v>
      </c>
      <c r="P2247">
        <v>0</v>
      </c>
      <c r="Q2247">
        <v>0</v>
      </c>
      <c r="R2247" t="s">
        <v>3014</v>
      </c>
    </row>
    <row r="2248" spans="1:18" hidden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45473</v>
      </c>
      <c r="G2248">
        <v>2024</v>
      </c>
      <c r="H2248" t="s">
        <v>699</v>
      </c>
      <c r="I2248" t="s">
        <v>729</v>
      </c>
      <c r="J2248">
        <v>14</v>
      </c>
      <c r="K2248">
        <v>8.8000000000000007</v>
      </c>
      <c r="L2248" s="39">
        <f t="shared" si="143"/>
        <v>1.3</v>
      </c>
      <c r="M2248" s="39">
        <f t="shared" si="144"/>
        <v>1.5909090909090908</v>
      </c>
      <c r="N2248" t="s">
        <v>42</v>
      </c>
      <c r="O2248" t="s">
        <v>42</v>
      </c>
      <c r="P2248">
        <v>0</v>
      </c>
      <c r="Q2248">
        <v>0</v>
      </c>
      <c r="R2248" t="s">
        <v>3015</v>
      </c>
    </row>
    <row r="2249" spans="1:18" hidden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45504</v>
      </c>
      <c r="G2249">
        <v>2024</v>
      </c>
      <c r="H2249" t="s">
        <v>260</v>
      </c>
      <c r="I2249" t="s">
        <v>30</v>
      </c>
      <c r="J2249">
        <v>14</v>
      </c>
      <c r="K2249">
        <v>9.4</v>
      </c>
      <c r="L2249" s="39">
        <f t="shared" si="143"/>
        <v>1.3</v>
      </c>
      <c r="M2249" s="39">
        <f t="shared" si="144"/>
        <v>1.4893617021276595</v>
      </c>
      <c r="N2249" t="s">
        <v>42</v>
      </c>
      <c r="O2249" t="s">
        <v>42</v>
      </c>
      <c r="P2249">
        <v>0</v>
      </c>
      <c r="Q2249">
        <v>0</v>
      </c>
      <c r="R2249" t="s">
        <v>3016</v>
      </c>
    </row>
    <row r="2250" spans="1:18" hidden="1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45535</v>
      </c>
      <c r="G2250">
        <v>2024</v>
      </c>
      <c r="H2250" t="s">
        <v>1546</v>
      </c>
      <c r="I2250" t="s">
        <v>30</v>
      </c>
      <c r="J2250">
        <v>14</v>
      </c>
      <c r="K2250">
        <v>8.5</v>
      </c>
      <c r="L2250" s="39">
        <f t="shared" si="143"/>
        <v>1.3</v>
      </c>
      <c r="M2250" s="39">
        <f t="shared" si="144"/>
        <v>1.6470588235294117</v>
      </c>
      <c r="N2250" t="s">
        <v>42</v>
      </c>
      <c r="O2250" t="s">
        <v>42</v>
      </c>
      <c r="P2250">
        <v>0</v>
      </c>
      <c r="Q2250">
        <v>0</v>
      </c>
      <c r="R2250" t="s">
        <v>3017</v>
      </c>
    </row>
    <row r="2251" spans="1:18" hidden="1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45565</v>
      </c>
      <c r="G2251">
        <v>2024</v>
      </c>
      <c r="H2251" t="s">
        <v>162</v>
      </c>
      <c r="I2251" t="s">
        <v>30</v>
      </c>
      <c r="J2251">
        <v>14</v>
      </c>
      <c r="K2251">
        <v>10.5</v>
      </c>
      <c r="L2251" s="39">
        <f t="shared" si="143"/>
        <v>1.3</v>
      </c>
      <c r="M2251" s="39">
        <f t="shared" si="144"/>
        <v>1.3333333333333333</v>
      </c>
      <c r="N2251" t="s">
        <v>42</v>
      </c>
      <c r="O2251" t="s">
        <v>42</v>
      </c>
      <c r="P2251">
        <v>0</v>
      </c>
      <c r="Q2251">
        <v>0</v>
      </c>
      <c r="R2251" t="s">
        <v>3018</v>
      </c>
    </row>
    <row r="2252" spans="1:18" hidden="1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45596</v>
      </c>
      <c r="G2252">
        <v>2024</v>
      </c>
      <c r="H2252" t="s">
        <v>150</v>
      </c>
      <c r="I2252" t="s">
        <v>30</v>
      </c>
      <c r="J2252">
        <v>14</v>
      </c>
      <c r="K2252">
        <v>8</v>
      </c>
      <c r="L2252" s="39">
        <f t="shared" si="143"/>
        <v>1.3</v>
      </c>
      <c r="M2252" s="39">
        <f t="shared" si="144"/>
        <v>1.75</v>
      </c>
      <c r="N2252" t="s">
        <v>42</v>
      </c>
      <c r="O2252" t="s">
        <v>42</v>
      </c>
      <c r="P2252">
        <v>0</v>
      </c>
      <c r="Q2252">
        <v>0</v>
      </c>
      <c r="R2252" t="s">
        <v>3019</v>
      </c>
    </row>
    <row r="2253" spans="1:18" hidden="1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45626</v>
      </c>
      <c r="G2253">
        <v>2024</v>
      </c>
      <c r="H2253" t="s">
        <v>1550</v>
      </c>
      <c r="I2253" t="s">
        <v>30</v>
      </c>
      <c r="J2253">
        <v>14</v>
      </c>
      <c r="K2253">
        <v>10</v>
      </c>
      <c r="L2253" s="39">
        <f t="shared" si="143"/>
        <v>1.3</v>
      </c>
      <c r="M2253" s="39">
        <f t="shared" si="144"/>
        <v>1.4</v>
      </c>
      <c r="N2253" t="s">
        <v>42</v>
      </c>
      <c r="O2253" t="s">
        <v>42</v>
      </c>
      <c r="P2253">
        <v>0</v>
      </c>
      <c r="Q2253">
        <v>0</v>
      </c>
      <c r="R2253" t="s">
        <v>3020</v>
      </c>
    </row>
    <row r="2254" spans="1:18" hidden="1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45657</v>
      </c>
      <c r="G2254">
        <v>2024</v>
      </c>
      <c r="H2254" t="s">
        <v>23</v>
      </c>
      <c r="I2254" t="s">
        <v>30</v>
      </c>
      <c r="J2254">
        <v>14</v>
      </c>
      <c r="K2254">
        <v>16.97</v>
      </c>
      <c r="L2254" s="39">
        <f t="shared" si="143"/>
        <v>0.82498526812021222</v>
      </c>
      <c r="M2254" s="39">
        <f t="shared" si="144"/>
        <v>0.82498526812021222</v>
      </c>
      <c r="N2254" t="s">
        <v>42</v>
      </c>
      <c r="O2254" t="s">
        <v>42</v>
      </c>
      <c r="P2254">
        <v>0</v>
      </c>
      <c r="Q2254">
        <v>0</v>
      </c>
      <c r="R2254" t="s">
        <v>1243</v>
      </c>
    </row>
    <row r="2255" spans="1:18" hidden="1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45688</v>
      </c>
      <c r="G2255">
        <v>2025</v>
      </c>
      <c r="H2255" t="s">
        <v>59</v>
      </c>
      <c r="I2255" t="s">
        <v>700</v>
      </c>
      <c r="J2255">
        <v>14</v>
      </c>
      <c r="K2255">
        <v>9.1999999999999993</v>
      </c>
      <c r="L2255" s="39">
        <f t="shared" si="143"/>
        <v>1.3</v>
      </c>
      <c r="M2255" s="39">
        <f t="shared" si="144"/>
        <v>1.5217391304347827</v>
      </c>
      <c r="N2255" t="s">
        <v>42</v>
      </c>
      <c r="O2255" t="s">
        <v>42</v>
      </c>
      <c r="P2255">
        <v>0</v>
      </c>
      <c r="Q2255">
        <v>0</v>
      </c>
      <c r="R2255" t="s">
        <v>3021</v>
      </c>
    </row>
    <row r="2256" spans="1:18" hidden="1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45716</v>
      </c>
      <c r="G2256">
        <v>2025</v>
      </c>
      <c r="H2256" t="s">
        <v>210</v>
      </c>
      <c r="I2256" t="s">
        <v>700</v>
      </c>
      <c r="J2256">
        <v>14</v>
      </c>
      <c r="K2256">
        <v>3.34</v>
      </c>
      <c r="L2256" s="39">
        <f t="shared" si="143"/>
        <v>1.3</v>
      </c>
      <c r="M2256" s="39">
        <f t="shared" si="144"/>
        <v>4.1916167664670656</v>
      </c>
      <c r="N2256" t="s">
        <v>42</v>
      </c>
      <c r="O2256" t="s">
        <v>42</v>
      </c>
      <c r="P2256">
        <v>0</v>
      </c>
      <c r="Q2256">
        <v>0</v>
      </c>
      <c r="R2256" t="s">
        <v>3022</v>
      </c>
    </row>
    <row r="2257" spans="1:19" hidden="1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45747</v>
      </c>
      <c r="G2257">
        <v>2025</v>
      </c>
      <c r="H2257" t="s">
        <v>1516</v>
      </c>
      <c r="I2257" t="s">
        <v>700</v>
      </c>
      <c r="J2257">
        <v>14</v>
      </c>
      <c r="K2257">
        <v>10.6</v>
      </c>
      <c r="L2257" s="39">
        <f t="shared" si="143"/>
        <v>1.3</v>
      </c>
      <c r="M2257" s="39">
        <f t="shared" si="144"/>
        <v>1.3207547169811322</v>
      </c>
      <c r="N2257" t="s">
        <v>42</v>
      </c>
      <c r="O2257" t="s">
        <v>42</v>
      </c>
      <c r="P2257">
        <v>0</v>
      </c>
      <c r="Q2257">
        <v>0</v>
      </c>
      <c r="R2257" t="s">
        <v>3023</v>
      </c>
    </row>
    <row r="2258" spans="1:19" hidden="1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45777</v>
      </c>
      <c r="G2258">
        <v>2025</v>
      </c>
      <c r="H2258" t="s">
        <v>1540</v>
      </c>
      <c r="I2258" t="s">
        <v>700</v>
      </c>
      <c r="J2258">
        <v>14</v>
      </c>
      <c r="K2258">
        <v>6.4</v>
      </c>
      <c r="L2258" s="39">
        <f t="shared" si="143"/>
        <v>1.3</v>
      </c>
      <c r="M2258" s="39">
        <f t="shared" si="144"/>
        <v>2.1875</v>
      </c>
      <c r="N2258" t="s">
        <v>42</v>
      </c>
      <c r="O2258" t="s">
        <v>42</v>
      </c>
      <c r="P2258">
        <v>0</v>
      </c>
      <c r="Q2258">
        <v>0</v>
      </c>
      <c r="R2258" t="s">
        <v>3024</v>
      </c>
    </row>
    <row r="2259" spans="1:19" hidden="1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45808</v>
      </c>
      <c r="G2259">
        <v>2025</v>
      </c>
      <c r="H2259" t="s">
        <v>1542</v>
      </c>
      <c r="I2259" t="s">
        <v>700</v>
      </c>
      <c r="J2259">
        <v>14</v>
      </c>
      <c r="K2259">
        <v>10.17</v>
      </c>
      <c r="L2259" s="39">
        <f t="shared" si="143"/>
        <v>1.3</v>
      </c>
      <c r="M2259" s="39">
        <f t="shared" si="144"/>
        <v>1.3765978367748279</v>
      </c>
      <c r="N2259" t="s">
        <v>42</v>
      </c>
      <c r="O2259" t="s">
        <v>42</v>
      </c>
      <c r="P2259">
        <v>0</v>
      </c>
      <c r="Q2259">
        <v>0</v>
      </c>
      <c r="R2259" t="s">
        <v>3025</v>
      </c>
    </row>
    <row r="2260" spans="1:19" hidden="1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45838</v>
      </c>
      <c r="G2260">
        <v>2025</v>
      </c>
      <c r="H2260" t="s">
        <v>699</v>
      </c>
      <c r="I2260" t="s">
        <v>700</v>
      </c>
      <c r="J2260">
        <v>14</v>
      </c>
      <c r="K2260">
        <v>11.93</v>
      </c>
      <c r="L2260" s="39">
        <f t="shared" si="143"/>
        <v>1.173512154233026</v>
      </c>
      <c r="M2260" s="39">
        <f t="shared" si="144"/>
        <v>1.173512154233026</v>
      </c>
      <c r="N2260" t="s">
        <v>42</v>
      </c>
      <c r="O2260" t="s">
        <v>42</v>
      </c>
      <c r="P2260">
        <v>0</v>
      </c>
      <c r="Q2260">
        <v>0</v>
      </c>
      <c r="R2260" t="s">
        <v>3026</v>
      </c>
    </row>
    <row r="2261" spans="1:19" hidden="1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45869</v>
      </c>
      <c r="G2261">
        <v>2025</v>
      </c>
      <c r="H2261" t="s">
        <v>260</v>
      </c>
      <c r="I2261" t="s">
        <v>32</v>
      </c>
      <c r="J2261">
        <v>14</v>
      </c>
      <c r="K2261">
        <v>13.41</v>
      </c>
      <c r="L2261" s="39">
        <f t="shared" si="143"/>
        <v>1.0439970171513795</v>
      </c>
      <c r="M2261" s="39">
        <f t="shared" si="144"/>
        <v>1.0439970171513795</v>
      </c>
      <c r="N2261" t="s">
        <v>42</v>
      </c>
      <c r="O2261" t="s">
        <v>42</v>
      </c>
      <c r="P2261">
        <v>0</v>
      </c>
      <c r="Q2261">
        <v>0</v>
      </c>
      <c r="R2261" t="s">
        <v>3027</v>
      </c>
    </row>
    <row r="2262" spans="1:19" hidden="1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45900</v>
      </c>
      <c r="G2262">
        <v>2025</v>
      </c>
      <c r="H2262" t="s">
        <v>1546</v>
      </c>
      <c r="I2262" t="s">
        <v>32</v>
      </c>
      <c r="J2262">
        <v>14</v>
      </c>
      <c r="K2262">
        <v>14.17</v>
      </c>
      <c r="L2262" s="39">
        <f t="shared" si="143"/>
        <v>0.98800282286520824</v>
      </c>
      <c r="M2262" s="39">
        <f t="shared" si="144"/>
        <v>0.98800282286520824</v>
      </c>
      <c r="N2262" t="s">
        <v>42</v>
      </c>
      <c r="O2262" t="s">
        <v>42</v>
      </c>
      <c r="P2262">
        <v>0</v>
      </c>
      <c r="Q2262">
        <v>0</v>
      </c>
      <c r="R2262" t="s">
        <v>3028</v>
      </c>
    </row>
    <row r="2263" spans="1:19" hidden="1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45930</v>
      </c>
      <c r="G2263">
        <v>2025</v>
      </c>
      <c r="H2263" t="s">
        <v>162</v>
      </c>
      <c r="I2263" t="s">
        <v>32</v>
      </c>
      <c r="J2263">
        <v>14</v>
      </c>
      <c r="K2263">
        <v>7.08</v>
      </c>
      <c r="L2263" s="39">
        <f t="shared" si="143"/>
        <v>1.3</v>
      </c>
      <c r="M2263" s="39">
        <f t="shared" si="144"/>
        <v>1.9774011299435028</v>
      </c>
      <c r="N2263" t="s">
        <v>42</v>
      </c>
      <c r="O2263" t="s">
        <v>42</v>
      </c>
      <c r="P2263">
        <v>0</v>
      </c>
      <c r="Q2263">
        <v>1</v>
      </c>
      <c r="R2263" t="s">
        <v>3029</v>
      </c>
    </row>
    <row r="2264" spans="1:19" hidden="1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45961</v>
      </c>
      <c r="G2264">
        <v>2025</v>
      </c>
      <c r="H2264" t="s">
        <v>150</v>
      </c>
      <c r="I2264" t="s">
        <v>32</v>
      </c>
      <c r="J2264">
        <v>14</v>
      </c>
      <c r="K2264">
        <v>15.49</v>
      </c>
      <c r="L2264" s="39">
        <f t="shared" si="143"/>
        <v>0.90380890897353128</v>
      </c>
      <c r="M2264" s="39">
        <f t="shared" si="144"/>
        <v>0.90380890897353128</v>
      </c>
      <c r="N2264" t="s">
        <v>42</v>
      </c>
      <c r="O2264" t="s">
        <v>42</v>
      </c>
      <c r="P2264">
        <v>0</v>
      </c>
      <c r="Q2264">
        <v>1</v>
      </c>
      <c r="R2264" t="s">
        <v>3030</v>
      </c>
    </row>
    <row r="2265" spans="1:19" hidden="1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45991</v>
      </c>
      <c r="G2265">
        <v>2025</v>
      </c>
      <c r="H2265" t="s">
        <v>1550</v>
      </c>
      <c r="I2265" t="s">
        <v>32</v>
      </c>
      <c r="J2265">
        <v>14</v>
      </c>
      <c r="K2265">
        <v>8.1199999999999992</v>
      </c>
      <c r="L2265" s="39">
        <f t="shared" si="143"/>
        <v>1.3</v>
      </c>
      <c r="M2265" s="39">
        <f t="shared" si="144"/>
        <v>1.7241379310344829</v>
      </c>
      <c r="N2265" t="s">
        <v>42</v>
      </c>
      <c r="O2265" t="s">
        <v>42</v>
      </c>
      <c r="P2265">
        <v>0</v>
      </c>
      <c r="Q2265">
        <v>1</v>
      </c>
      <c r="R2265" t="s">
        <v>3031</v>
      </c>
    </row>
    <row r="2266" spans="1:19" hidden="1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46022</v>
      </c>
      <c r="G2266">
        <v>2025</v>
      </c>
      <c r="H2266" t="s">
        <v>23</v>
      </c>
      <c r="I2266" t="s">
        <v>32</v>
      </c>
      <c r="J2266">
        <v>14</v>
      </c>
      <c r="K2266">
        <v>11.77</v>
      </c>
      <c r="L2266" s="39">
        <f t="shared" si="143"/>
        <v>1.1894647408666101</v>
      </c>
      <c r="M2266" s="39">
        <f t="shared" si="144"/>
        <v>1.1894647408666101</v>
      </c>
      <c r="N2266" t="s">
        <v>42</v>
      </c>
      <c r="O2266" t="s">
        <v>42</v>
      </c>
      <c r="P2266">
        <v>0</v>
      </c>
      <c r="Q2266">
        <v>1</v>
      </c>
      <c r="R2266" t="s">
        <v>1244</v>
      </c>
    </row>
    <row r="2267" spans="1:19" hidden="1" x14ac:dyDescent="0.3">
      <c r="A2267">
        <v>437</v>
      </c>
      <c r="B2267" t="s">
        <v>146</v>
      </c>
      <c r="C2267" t="s">
        <v>732</v>
      </c>
      <c r="D2267" t="s">
        <v>71</v>
      </c>
      <c r="E2267" t="s">
        <v>22</v>
      </c>
      <c r="F2267" s="79">
        <v>45230</v>
      </c>
      <c r="G2267">
        <v>2023</v>
      </c>
      <c r="H2267" t="s">
        <v>150</v>
      </c>
      <c r="I2267" t="s">
        <v>28</v>
      </c>
      <c r="J2267">
        <v>80</v>
      </c>
      <c r="K2267">
        <v>96.239806704922998</v>
      </c>
      <c r="L2267" s="39">
        <f t="shared" si="143"/>
        <v>1.2029975838115374</v>
      </c>
      <c r="M2267" s="39">
        <f t="shared" si="144"/>
        <v>1.2029975838115374</v>
      </c>
      <c r="N2267" t="s">
        <v>25</v>
      </c>
      <c r="O2267" t="s">
        <v>25</v>
      </c>
      <c r="P2267">
        <v>0</v>
      </c>
      <c r="Q2267">
        <v>0</v>
      </c>
      <c r="R2267" t="s">
        <v>3032</v>
      </c>
    </row>
    <row r="2268" spans="1:19" hidden="1" x14ac:dyDescent="0.3">
      <c r="A2268">
        <v>437</v>
      </c>
      <c r="B2268" t="s">
        <v>1246</v>
      </c>
      <c r="C2268" t="s">
        <v>732</v>
      </c>
      <c r="D2268" t="s">
        <v>71</v>
      </c>
      <c r="E2268" t="s">
        <v>22</v>
      </c>
      <c r="F2268" s="79">
        <v>45291</v>
      </c>
      <c r="G2268">
        <v>2023</v>
      </c>
      <c r="H2268" t="s">
        <v>23</v>
      </c>
      <c r="I2268" t="s">
        <v>28</v>
      </c>
      <c r="J2268">
        <v>80</v>
      </c>
      <c r="K2268">
        <v>96</v>
      </c>
      <c r="L2268" s="39">
        <f t="shared" si="143"/>
        <v>1.2</v>
      </c>
      <c r="M2268" s="39">
        <f t="shared" si="144"/>
        <v>1.2</v>
      </c>
      <c r="N2268" t="s">
        <v>25</v>
      </c>
      <c r="O2268" t="s">
        <v>25</v>
      </c>
      <c r="P2268">
        <v>0</v>
      </c>
      <c r="Q2268">
        <v>0</v>
      </c>
      <c r="R2268" t="s">
        <v>1247</v>
      </c>
    </row>
    <row r="2269" spans="1:19" hidden="1" x14ac:dyDescent="0.3">
      <c r="A2269">
        <v>437</v>
      </c>
      <c r="B2269" t="s">
        <v>1246</v>
      </c>
      <c r="C2269" t="s">
        <v>732</v>
      </c>
      <c r="D2269" t="s">
        <v>71</v>
      </c>
      <c r="E2269" t="s">
        <v>22</v>
      </c>
      <c r="F2269" s="79">
        <v>45657</v>
      </c>
      <c r="G2269">
        <v>2024</v>
      </c>
      <c r="H2269" t="s">
        <v>23</v>
      </c>
      <c r="I2269" t="s">
        <v>30</v>
      </c>
      <c r="J2269">
        <v>80</v>
      </c>
      <c r="K2269">
        <v>84</v>
      </c>
      <c r="L2269" s="39">
        <f t="shared" si="143"/>
        <v>1.05</v>
      </c>
      <c r="M2269" s="39">
        <f t="shared" si="144"/>
        <v>1.05</v>
      </c>
      <c r="N2269" t="s">
        <v>25</v>
      </c>
      <c r="O2269" t="s">
        <v>25</v>
      </c>
      <c r="P2269">
        <v>0</v>
      </c>
      <c r="Q2269">
        <v>0</v>
      </c>
      <c r="R2269" t="s">
        <v>1248</v>
      </c>
    </row>
    <row r="2270" spans="1:19" hidden="1" x14ac:dyDescent="0.3">
      <c r="A2270">
        <v>437</v>
      </c>
      <c r="B2270" t="s">
        <v>1246</v>
      </c>
      <c r="C2270" t="s">
        <v>732</v>
      </c>
      <c r="D2270" t="s">
        <v>71</v>
      </c>
      <c r="E2270" t="s">
        <v>22</v>
      </c>
      <c r="F2270" s="79">
        <v>46022</v>
      </c>
      <c r="G2270">
        <v>2025</v>
      </c>
      <c r="H2270" t="s">
        <v>23</v>
      </c>
      <c r="I2270" t="s">
        <v>32</v>
      </c>
      <c r="J2270">
        <v>80</v>
      </c>
      <c r="K2270">
        <v>99</v>
      </c>
      <c r="L2270" s="39">
        <f t="shared" si="143"/>
        <v>1.2375</v>
      </c>
      <c r="M2270" s="39">
        <f t="shared" si="144"/>
        <v>1.2375</v>
      </c>
      <c r="N2270" t="s">
        <v>25</v>
      </c>
      <c r="O2270" t="s">
        <v>25</v>
      </c>
      <c r="P2270">
        <v>0</v>
      </c>
      <c r="Q2270">
        <v>0</v>
      </c>
      <c r="R2270" t="s">
        <v>1249</v>
      </c>
    </row>
    <row r="2271" spans="1:19" hidden="1" x14ac:dyDescent="0.3">
      <c r="A2271">
        <v>438</v>
      </c>
      <c r="B2271" t="s">
        <v>1250</v>
      </c>
      <c r="C2271" t="s">
        <v>956</v>
      </c>
      <c r="D2271" t="s">
        <v>27</v>
      </c>
      <c r="E2271" t="s">
        <v>22</v>
      </c>
      <c r="F2271" s="79">
        <v>45291</v>
      </c>
      <c r="G2271">
        <v>2023</v>
      </c>
      <c r="H2271" t="s">
        <v>23</v>
      </c>
      <c r="I2271" t="s">
        <v>28</v>
      </c>
      <c r="J2271">
        <v>100</v>
      </c>
      <c r="K2271">
        <v>100</v>
      </c>
      <c r="L2271" s="39">
        <f t="shared" si="143"/>
        <v>1</v>
      </c>
      <c r="M2271" s="39">
        <f t="shared" si="144"/>
        <v>1</v>
      </c>
      <c r="N2271" t="s">
        <v>25</v>
      </c>
      <c r="O2271" t="s">
        <v>25</v>
      </c>
      <c r="P2271">
        <v>0</v>
      </c>
      <c r="Q2271">
        <v>0</v>
      </c>
      <c r="R2271" t="s">
        <v>1251</v>
      </c>
    </row>
    <row r="2272" spans="1:19" hidden="1" x14ac:dyDescent="0.3">
      <c r="A2272">
        <v>439</v>
      </c>
      <c r="B2272" t="s">
        <v>1252</v>
      </c>
      <c r="C2272" t="s">
        <v>956</v>
      </c>
      <c r="D2272" t="s">
        <v>21</v>
      </c>
      <c r="E2272" t="s">
        <v>22</v>
      </c>
      <c r="F2272" s="79">
        <v>45016</v>
      </c>
      <c r="G2272">
        <v>2023</v>
      </c>
      <c r="H2272" t="s">
        <v>1516</v>
      </c>
      <c r="I2272" t="s">
        <v>1512</v>
      </c>
      <c r="N2272" t="s">
        <v>25</v>
      </c>
      <c r="O2272" t="s">
        <v>302</v>
      </c>
      <c r="P2272">
        <v>0</v>
      </c>
      <c r="Q2272">
        <v>0</v>
      </c>
      <c r="R2272" t="s">
        <v>3033</v>
      </c>
      <c r="S2272" t="s">
        <v>302</v>
      </c>
    </row>
    <row r="2273" spans="1:19" hidden="1" x14ac:dyDescent="0.3">
      <c r="A2273">
        <v>439</v>
      </c>
      <c r="B2273" t="s">
        <v>1252</v>
      </c>
      <c r="C2273" t="s">
        <v>956</v>
      </c>
      <c r="D2273" t="s">
        <v>21</v>
      </c>
      <c r="E2273" t="s">
        <v>22</v>
      </c>
      <c r="F2273" s="79">
        <v>45107</v>
      </c>
      <c r="G2273">
        <v>2023</v>
      </c>
      <c r="H2273" t="s">
        <v>699</v>
      </c>
      <c r="I2273" t="s">
        <v>1512</v>
      </c>
      <c r="L2273" s="39"/>
      <c r="M2273" s="39"/>
      <c r="N2273" t="s">
        <v>25</v>
      </c>
      <c r="O2273" t="s">
        <v>302</v>
      </c>
      <c r="P2273">
        <v>0</v>
      </c>
      <c r="Q2273">
        <v>0</v>
      </c>
      <c r="R2273" t="s">
        <v>3034</v>
      </c>
      <c r="S2273" t="s">
        <v>302</v>
      </c>
    </row>
    <row r="2274" spans="1:19" hidden="1" x14ac:dyDescent="0.3">
      <c r="A2274">
        <v>439</v>
      </c>
      <c r="B2274" t="s">
        <v>1252</v>
      </c>
      <c r="C2274" t="s">
        <v>956</v>
      </c>
      <c r="D2274" t="s">
        <v>27</v>
      </c>
      <c r="E2274" t="s">
        <v>22</v>
      </c>
      <c r="F2274" s="79">
        <v>45291</v>
      </c>
      <c r="G2274">
        <v>2023</v>
      </c>
      <c r="H2274" t="s">
        <v>23</v>
      </c>
      <c r="I2274" t="s">
        <v>28</v>
      </c>
      <c r="J2274">
        <v>100</v>
      </c>
      <c r="K2274">
        <v>100</v>
      </c>
      <c r="L2274" s="39">
        <f>IFERROR(IF(OR(J2274=0,K2274=""),"",IF(E2274="Positivo",MIN(MAX(K2274/J2274,0),1.3),MIN(MAX(J2274/K2274,0),1.3))),"")</f>
        <v>1</v>
      </c>
      <c r="M2274" s="39">
        <f>IFERROR(IF(OR(J2274=0,K2274=""),"",IF(E2274="Positivo",MAX(K2274/J2274,0),MAX(J2274/K2274,0))),"")</f>
        <v>1</v>
      </c>
      <c r="N2274" t="s">
        <v>25</v>
      </c>
      <c r="O2274" t="s">
        <v>25</v>
      </c>
      <c r="P2274">
        <v>0</v>
      </c>
      <c r="Q2274">
        <v>0</v>
      </c>
      <c r="R2274" t="s">
        <v>1253</v>
      </c>
    </row>
    <row r="2275" spans="1:19" hidden="1" x14ac:dyDescent="0.3">
      <c r="A2275">
        <v>439</v>
      </c>
      <c r="B2275" t="s">
        <v>1252</v>
      </c>
      <c r="C2275" t="s">
        <v>956</v>
      </c>
      <c r="D2275" t="s">
        <v>27</v>
      </c>
      <c r="E2275" t="s">
        <v>22</v>
      </c>
      <c r="F2275" s="79">
        <v>45473</v>
      </c>
      <c r="G2275">
        <v>2024</v>
      </c>
      <c r="H2275" t="s">
        <v>699</v>
      </c>
      <c r="I2275" t="s">
        <v>729</v>
      </c>
      <c r="J2275">
        <v>100</v>
      </c>
      <c r="K2275">
        <v>100</v>
      </c>
      <c r="L2275" s="39">
        <f>IFERROR(IF(OR(J2275=0,K2275=""),"",IF(E2275="Positivo",MIN(MAX(K2275/J2275,0),1.3),MIN(MAX(J2275/K2275,0),1.3))),"")</f>
        <v>1</v>
      </c>
      <c r="M2275" s="39">
        <f>IFERROR(IF(OR(J2275=0,K2275=""),"",IF(E2275="Positivo",MAX(K2275/J2275,0),MAX(J2275/K2275,0))),"")</f>
        <v>1</v>
      </c>
      <c r="N2275" t="s">
        <v>25</v>
      </c>
      <c r="O2275" t="s">
        <v>25</v>
      </c>
      <c r="P2275">
        <v>0</v>
      </c>
      <c r="Q2275">
        <v>0</v>
      </c>
      <c r="R2275" t="s">
        <v>3035</v>
      </c>
    </row>
    <row r="2276" spans="1:19" hidden="1" x14ac:dyDescent="0.3">
      <c r="A2276">
        <v>439</v>
      </c>
      <c r="B2276" t="s">
        <v>1252</v>
      </c>
      <c r="C2276" t="s">
        <v>956</v>
      </c>
      <c r="D2276" t="s">
        <v>27</v>
      </c>
      <c r="E2276" t="s">
        <v>22</v>
      </c>
      <c r="F2276" s="79">
        <v>45657</v>
      </c>
      <c r="G2276">
        <v>2024</v>
      </c>
      <c r="H2276" t="s">
        <v>23</v>
      </c>
      <c r="I2276" t="s">
        <v>30</v>
      </c>
      <c r="J2276">
        <v>100</v>
      </c>
      <c r="K2276">
        <v>100</v>
      </c>
      <c r="L2276" s="39">
        <f>IFERROR(IF(OR(J2276=0,K2276=""),"",IF(E2276="Positivo",MIN(MAX(K2276/J2276,0),1.3),MIN(MAX(J2276/K2276,0),1.3))),"")</f>
        <v>1</v>
      </c>
      <c r="M2276" s="39">
        <f>IFERROR(IF(OR(J2276=0,K2276=""),"",IF(E2276="Positivo",MAX(K2276/J2276,0),MAX(J2276/K2276,0))),"")</f>
        <v>1</v>
      </c>
      <c r="N2276" t="s">
        <v>25</v>
      </c>
      <c r="O2276" t="s">
        <v>25</v>
      </c>
      <c r="P2276">
        <v>0</v>
      </c>
      <c r="Q2276">
        <v>0</v>
      </c>
      <c r="R2276" t="s">
        <v>1254</v>
      </c>
    </row>
    <row r="2277" spans="1:19" hidden="1" x14ac:dyDescent="0.3">
      <c r="A2277">
        <v>439</v>
      </c>
      <c r="B2277" t="s">
        <v>1252</v>
      </c>
      <c r="C2277" t="s">
        <v>956</v>
      </c>
      <c r="D2277" t="s">
        <v>27</v>
      </c>
      <c r="E2277" t="s">
        <v>22</v>
      </c>
      <c r="F2277" s="79">
        <v>45838</v>
      </c>
      <c r="G2277">
        <v>2025</v>
      </c>
      <c r="H2277" t="s">
        <v>699</v>
      </c>
      <c r="I2277" t="s">
        <v>700</v>
      </c>
      <c r="J2277">
        <v>100</v>
      </c>
      <c r="K2277">
        <v>100</v>
      </c>
      <c r="L2277" s="39">
        <f>IFERROR(IF(OR(J2277=0,K2277=""),"",IF(E2277="Positivo",MIN(MAX(K2277/J2277,0),1.3),MIN(MAX(J2277/K2277,0),1.3))),"")</f>
        <v>1</v>
      </c>
      <c r="M2277" s="39">
        <f>IFERROR(IF(OR(J2277=0,K2277=""),"",IF(E2277="Positivo",MAX(K2277/J2277,0),MAX(J2277/K2277,0))),"")</f>
        <v>1</v>
      </c>
      <c r="N2277" t="s">
        <v>25</v>
      </c>
      <c r="O2277" t="s">
        <v>25</v>
      </c>
      <c r="P2277">
        <v>0</v>
      </c>
      <c r="Q2277">
        <v>0</v>
      </c>
      <c r="R2277" t="s">
        <v>3036</v>
      </c>
    </row>
    <row r="2278" spans="1:19" hidden="1" x14ac:dyDescent="0.3">
      <c r="A2278">
        <v>439</v>
      </c>
      <c r="B2278" t="s">
        <v>1252</v>
      </c>
      <c r="C2278" t="s">
        <v>956</v>
      </c>
      <c r="D2278" t="s">
        <v>21</v>
      </c>
      <c r="E2278" t="s">
        <v>22</v>
      </c>
      <c r="F2278" s="79">
        <v>46022</v>
      </c>
      <c r="G2278">
        <v>2025</v>
      </c>
      <c r="H2278" t="s">
        <v>23</v>
      </c>
      <c r="I2278" t="s">
        <v>32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1255</v>
      </c>
    </row>
    <row r="2279" spans="1:19" hidden="1" x14ac:dyDescent="0.3">
      <c r="A2279">
        <v>440</v>
      </c>
      <c r="B2279" t="s">
        <v>1256</v>
      </c>
      <c r="C2279" t="s">
        <v>956</v>
      </c>
      <c r="D2279" t="s">
        <v>21</v>
      </c>
      <c r="E2279" t="s">
        <v>22</v>
      </c>
      <c r="F2279" s="79">
        <v>45016</v>
      </c>
      <c r="G2279">
        <v>2023</v>
      </c>
      <c r="H2279" t="s">
        <v>1516</v>
      </c>
      <c r="I2279" t="s">
        <v>1512</v>
      </c>
      <c r="L2279" s="39"/>
      <c r="M2279" s="39"/>
      <c r="N2279" t="s">
        <v>25</v>
      </c>
      <c r="O2279" t="s">
        <v>302</v>
      </c>
      <c r="P2279">
        <v>0</v>
      </c>
      <c r="Q2279">
        <v>1</v>
      </c>
      <c r="R2279" t="s">
        <v>3037</v>
      </c>
      <c r="S2279" t="s">
        <v>302</v>
      </c>
    </row>
    <row r="2280" spans="1:19" hidden="1" x14ac:dyDescent="0.3">
      <c r="A2280">
        <v>440</v>
      </c>
      <c r="B2280" t="s">
        <v>1256</v>
      </c>
      <c r="C2280" t="s">
        <v>956</v>
      </c>
      <c r="D2280" t="s">
        <v>21</v>
      </c>
      <c r="E2280" t="s">
        <v>22</v>
      </c>
      <c r="F2280" s="79">
        <v>45107</v>
      </c>
      <c r="G2280">
        <v>2023</v>
      </c>
      <c r="H2280" t="s">
        <v>699</v>
      </c>
      <c r="I2280" t="s">
        <v>1512</v>
      </c>
      <c r="L2280" s="39"/>
      <c r="M2280" s="39"/>
      <c r="N2280" t="s">
        <v>25</v>
      </c>
      <c r="O2280" t="s">
        <v>302</v>
      </c>
      <c r="P2280">
        <v>0</v>
      </c>
      <c r="Q2280">
        <v>1</v>
      </c>
      <c r="R2280" t="s">
        <v>3038</v>
      </c>
      <c r="S2280" t="s">
        <v>302</v>
      </c>
    </row>
    <row r="2281" spans="1:19" hidden="1" x14ac:dyDescent="0.3">
      <c r="A2281">
        <v>440</v>
      </c>
      <c r="B2281" t="s">
        <v>1256</v>
      </c>
      <c r="C2281" t="s">
        <v>956</v>
      </c>
      <c r="D2281" t="s">
        <v>27</v>
      </c>
      <c r="E2281" t="s">
        <v>22</v>
      </c>
      <c r="F2281" s="79">
        <v>45291</v>
      </c>
      <c r="G2281">
        <v>2023</v>
      </c>
      <c r="H2281" t="s">
        <v>23</v>
      </c>
      <c r="I2281" t="s">
        <v>28</v>
      </c>
      <c r="J2281">
        <v>98</v>
      </c>
      <c r="K2281">
        <v>97.746062537526996</v>
      </c>
      <c r="L2281" s="39">
        <f t="shared" ref="L2281:L2301" si="145">IFERROR(IF(OR(J2281=0,K2281=""),"",IF(E2281="Positivo",MIN(MAX(K2281/J2281,0),1.3),MIN(MAX(J2281/K2281,0),1.3))),"")</f>
        <v>0.99740880140333665</v>
      </c>
      <c r="M2281" s="39">
        <f t="shared" ref="M2281:M2301" si="146">IFERROR(IF(OR(J2281=0,K2281=""),"",IF(E2281="Positivo",MAX(K2281/J2281,0),MAX(J2281/K2281,0))),"")</f>
        <v>0.99740880140333665</v>
      </c>
      <c r="N2281" t="s">
        <v>25</v>
      </c>
      <c r="O2281" t="s">
        <v>25</v>
      </c>
      <c r="P2281">
        <v>0</v>
      </c>
      <c r="Q2281">
        <v>1</v>
      </c>
      <c r="R2281" t="s">
        <v>1257</v>
      </c>
    </row>
    <row r="2282" spans="1:19" hidden="1" x14ac:dyDescent="0.3">
      <c r="A2282">
        <v>440</v>
      </c>
      <c r="B2282" t="s">
        <v>1256</v>
      </c>
      <c r="C2282" t="s">
        <v>956</v>
      </c>
      <c r="D2282" t="s">
        <v>27</v>
      </c>
      <c r="E2282" t="s">
        <v>22</v>
      </c>
      <c r="F2282" s="79">
        <v>45473</v>
      </c>
      <c r="G2282">
        <v>2024</v>
      </c>
      <c r="H2282" t="s">
        <v>699</v>
      </c>
      <c r="I2282" t="s">
        <v>729</v>
      </c>
      <c r="J2282">
        <v>98</v>
      </c>
      <c r="K2282">
        <v>99.73</v>
      </c>
      <c r="L2282" s="39">
        <f t="shared" si="145"/>
        <v>1.0176530612244898</v>
      </c>
      <c r="M2282" s="39">
        <f t="shared" si="146"/>
        <v>1.0176530612244898</v>
      </c>
      <c r="N2282" t="s">
        <v>25</v>
      </c>
      <c r="O2282" t="s">
        <v>25</v>
      </c>
      <c r="P2282">
        <v>0</v>
      </c>
      <c r="Q2282">
        <v>1</v>
      </c>
      <c r="R2282" t="s">
        <v>3039</v>
      </c>
    </row>
    <row r="2283" spans="1:19" hidden="1" x14ac:dyDescent="0.3">
      <c r="A2283">
        <v>440</v>
      </c>
      <c r="B2283" t="s">
        <v>1256</v>
      </c>
      <c r="C2283" t="s">
        <v>956</v>
      </c>
      <c r="D2283" t="s">
        <v>27</v>
      </c>
      <c r="E2283" t="s">
        <v>22</v>
      </c>
      <c r="F2283" s="79">
        <v>45657</v>
      </c>
      <c r="G2283">
        <v>2024</v>
      </c>
      <c r="H2283" t="s">
        <v>23</v>
      </c>
      <c r="I2283" t="s">
        <v>30</v>
      </c>
      <c r="J2283">
        <v>98</v>
      </c>
      <c r="K2283">
        <v>99.24</v>
      </c>
      <c r="L2283" s="39">
        <f t="shared" si="145"/>
        <v>1.0126530612244897</v>
      </c>
      <c r="M2283" s="39">
        <f t="shared" si="146"/>
        <v>1.0126530612244897</v>
      </c>
      <c r="N2283" t="s">
        <v>25</v>
      </c>
      <c r="O2283" t="s">
        <v>25</v>
      </c>
      <c r="P2283">
        <v>0</v>
      </c>
      <c r="Q2283">
        <v>1</v>
      </c>
      <c r="R2283" t="s">
        <v>1258</v>
      </c>
    </row>
    <row r="2284" spans="1:19" hidden="1" x14ac:dyDescent="0.3">
      <c r="A2284">
        <v>440</v>
      </c>
      <c r="B2284" t="s">
        <v>1256</v>
      </c>
      <c r="C2284" t="s">
        <v>956</v>
      </c>
      <c r="D2284" t="s">
        <v>27</v>
      </c>
      <c r="E2284" t="s">
        <v>22</v>
      </c>
      <c r="F2284" s="79">
        <v>45838</v>
      </c>
      <c r="G2284">
        <v>2025</v>
      </c>
      <c r="H2284" t="s">
        <v>699</v>
      </c>
      <c r="I2284" t="s">
        <v>700</v>
      </c>
      <c r="J2284">
        <v>98</v>
      </c>
      <c r="K2284">
        <v>99.77</v>
      </c>
      <c r="L2284" s="39">
        <f t="shared" si="145"/>
        <v>1.018061224489796</v>
      </c>
      <c r="M2284" s="39">
        <f t="shared" si="146"/>
        <v>1.018061224489796</v>
      </c>
      <c r="N2284" t="s">
        <v>25</v>
      </c>
      <c r="O2284" t="s">
        <v>25</v>
      </c>
      <c r="P2284">
        <v>0</v>
      </c>
      <c r="Q2284">
        <v>1</v>
      </c>
      <c r="R2284" t="s">
        <v>3040</v>
      </c>
    </row>
    <row r="2285" spans="1:19" hidden="1" x14ac:dyDescent="0.3">
      <c r="A2285">
        <v>440</v>
      </c>
      <c r="B2285" t="s">
        <v>1256</v>
      </c>
      <c r="C2285" t="s">
        <v>956</v>
      </c>
      <c r="D2285" t="s">
        <v>21</v>
      </c>
      <c r="E2285" t="s">
        <v>22</v>
      </c>
      <c r="F2285" s="79">
        <v>46022</v>
      </c>
      <c r="G2285">
        <v>2025</v>
      </c>
      <c r="H2285" t="s">
        <v>23</v>
      </c>
      <c r="I2285" t="s">
        <v>32</v>
      </c>
      <c r="J2285">
        <v>98</v>
      </c>
      <c r="K2285">
        <v>99.74</v>
      </c>
      <c r="L2285" s="39">
        <f t="shared" si="145"/>
        <v>1.0177551020408162</v>
      </c>
      <c r="M2285" s="39">
        <f t="shared" si="146"/>
        <v>1.0177551020408162</v>
      </c>
      <c r="N2285" t="s">
        <v>25</v>
      </c>
      <c r="O2285" t="s">
        <v>25</v>
      </c>
      <c r="P2285">
        <v>0</v>
      </c>
      <c r="Q2285">
        <v>1</v>
      </c>
      <c r="R2285" t="s">
        <v>1259</v>
      </c>
    </row>
    <row r="2286" spans="1:19" hidden="1" x14ac:dyDescent="0.3">
      <c r="A2286">
        <v>441</v>
      </c>
      <c r="B2286" t="s">
        <v>1260</v>
      </c>
      <c r="C2286" t="s">
        <v>511</v>
      </c>
      <c r="D2286" t="s">
        <v>54</v>
      </c>
      <c r="E2286" t="s">
        <v>22</v>
      </c>
      <c r="F2286" s="79">
        <v>45322</v>
      </c>
      <c r="G2286">
        <v>2024</v>
      </c>
      <c r="H2286" t="s">
        <v>59</v>
      </c>
      <c r="I2286" t="s">
        <v>729</v>
      </c>
      <c r="J2286">
        <v>90</v>
      </c>
      <c r="K2286">
        <v>87.82</v>
      </c>
      <c r="L2286" s="39">
        <f t="shared" si="145"/>
        <v>0.97577777777777774</v>
      </c>
      <c r="M2286" s="39">
        <f t="shared" si="146"/>
        <v>0.97577777777777774</v>
      </c>
      <c r="N2286" t="s">
        <v>25</v>
      </c>
      <c r="O2286" t="s">
        <v>25</v>
      </c>
      <c r="P2286">
        <v>0</v>
      </c>
      <c r="Q2286">
        <v>1</v>
      </c>
      <c r="R2286" t="s">
        <v>3041</v>
      </c>
    </row>
    <row r="2287" spans="1:19" hidden="1" x14ac:dyDescent="0.3">
      <c r="A2287">
        <v>441</v>
      </c>
      <c r="B2287" t="s">
        <v>1260</v>
      </c>
      <c r="C2287" t="s">
        <v>511</v>
      </c>
      <c r="D2287" t="s">
        <v>54</v>
      </c>
      <c r="E2287" t="s">
        <v>22</v>
      </c>
      <c r="F2287" s="79">
        <v>45351</v>
      </c>
      <c r="G2287">
        <v>2024</v>
      </c>
      <c r="H2287" t="s">
        <v>210</v>
      </c>
      <c r="I2287" t="s">
        <v>729</v>
      </c>
      <c r="J2287">
        <v>90</v>
      </c>
      <c r="K2287">
        <v>90.88</v>
      </c>
      <c r="L2287" s="39">
        <f t="shared" si="145"/>
        <v>1.0097777777777777</v>
      </c>
      <c r="M2287" s="39">
        <f t="shared" si="146"/>
        <v>1.0097777777777777</v>
      </c>
      <c r="N2287" t="s">
        <v>25</v>
      </c>
      <c r="O2287" t="s">
        <v>25</v>
      </c>
      <c r="P2287">
        <v>0</v>
      </c>
      <c r="Q2287">
        <v>1</v>
      </c>
      <c r="R2287" t="s">
        <v>3042</v>
      </c>
    </row>
    <row r="2288" spans="1:19" hidden="1" x14ac:dyDescent="0.3">
      <c r="A2288">
        <v>441</v>
      </c>
      <c r="B2288" t="s">
        <v>1260</v>
      </c>
      <c r="C2288" t="s">
        <v>511</v>
      </c>
      <c r="D2288" t="s">
        <v>54</v>
      </c>
      <c r="E2288" t="s">
        <v>22</v>
      </c>
      <c r="F2288" s="79">
        <v>45382</v>
      </c>
      <c r="G2288">
        <v>2024</v>
      </c>
      <c r="H2288" t="s">
        <v>1516</v>
      </c>
      <c r="I2288" t="s">
        <v>729</v>
      </c>
      <c r="J2288">
        <v>90</v>
      </c>
      <c r="K2288">
        <v>91.52</v>
      </c>
      <c r="L2288" s="39">
        <f t="shared" si="145"/>
        <v>1.016888888888889</v>
      </c>
      <c r="M2288" s="39">
        <f t="shared" si="146"/>
        <v>1.016888888888889</v>
      </c>
      <c r="N2288" t="s">
        <v>25</v>
      </c>
      <c r="O2288" t="s">
        <v>25</v>
      </c>
      <c r="P2288">
        <v>0</v>
      </c>
      <c r="Q2288">
        <v>1</v>
      </c>
      <c r="R2288" t="s">
        <v>3043</v>
      </c>
    </row>
    <row r="2289" spans="1:18" hidden="1" x14ac:dyDescent="0.3">
      <c r="A2289">
        <v>441</v>
      </c>
      <c r="B2289" t="s">
        <v>1260</v>
      </c>
      <c r="C2289" t="s">
        <v>511</v>
      </c>
      <c r="D2289" t="s">
        <v>54</v>
      </c>
      <c r="E2289" t="s">
        <v>22</v>
      </c>
      <c r="F2289" s="79">
        <v>45412</v>
      </c>
      <c r="G2289">
        <v>2024</v>
      </c>
      <c r="H2289" t="s">
        <v>1540</v>
      </c>
      <c r="I2289" t="s">
        <v>729</v>
      </c>
      <c r="J2289">
        <v>90</v>
      </c>
      <c r="K2289">
        <v>95.82</v>
      </c>
      <c r="L2289" s="39">
        <f t="shared" si="145"/>
        <v>1.0646666666666667</v>
      </c>
      <c r="M2289" s="39">
        <f t="shared" si="146"/>
        <v>1.0646666666666667</v>
      </c>
      <c r="N2289" t="s">
        <v>25</v>
      </c>
      <c r="O2289" t="s">
        <v>25</v>
      </c>
      <c r="P2289">
        <v>0</v>
      </c>
      <c r="Q2289">
        <v>1</v>
      </c>
      <c r="R2289" t="s">
        <v>3044</v>
      </c>
    </row>
    <row r="2290" spans="1:18" hidden="1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45443</v>
      </c>
      <c r="G2290">
        <v>2024</v>
      </c>
      <c r="H2290" t="s">
        <v>1542</v>
      </c>
      <c r="I2290" t="s">
        <v>729</v>
      </c>
      <c r="J2290">
        <v>90</v>
      </c>
      <c r="K2290">
        <v>96.89</v>
      </c>
      <c r="L2290" s="39">
        <f t="shared" si="145"/>
        <v>1.0765555555555555</v>
      </c>
      <c r="M2290" s="39">
        <f t="shared" si="146"/>
        <v>1.0765555555555555</v>
      </c>
      <c r="N2290" t="s">
        <v>25</v>
      </c>
      <c r="O2290" t="s">
        <v>25</v>
      </c>
      <c r="P2290">
        <v>0</v>
      </c>
      <c r="Q2290">
        <v>1</v>
      </c>
      <c r="R2290" t="s">
        <v>3045</v>
      </c>
    </row>
    <row r="2291" spans="1:18" hidden="1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45473</v>
      </c>
      <c r="G2291">
        <v>2024</v>
      </c>
      <c r="H2291" t="s">
        <v>699</v>
      </c>
      <c r="I2291" t="s">
        <v>729</v>
      </c>
      <c r="J2291">
        <v>90</v>
      </c>
      <c r="K2291">
        <v>101.44927536231801</v>
      </c>
      <c r="L2291" s="39">
        <f t="shared" si="145"/>
        <v>1.1272141706924224</v>
      </c>
      <c r="M2291" s="39">
        <f t="shared" si="146"/>
        <v>1.1272141706924224</v>
      </c>
      <c r="N2291" t="s">
        <v>25</v>
      </c>
      <c r="O2291" t="s">
        <v>25</v>
      </c>
      <c r="P2291">
        <v>0</v>
      </c>
      <c r="Q2291">
        <v>0</v>
      </c>
      <c r="R2291" t="s">
        <v>3046</v>
      </c>
    </row>
    <row r="2292" spans="1:18" hidden="1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45504</v>
      </c>
      <c r="G2292">
        <v>2024</v>
      </c>
      <c r="H2292" t="s">
        <v>260</v>
      </c>
      <c r="I2292" t="s">
        <v>30</v>
      </c>
      <c r="J2292">
        <v>90</v>
      </c>
      <c r="K2292">
        <v>91.2</v>
      </c>
      <c r="L2292" s="39">
        <f t="shared" si="145"/>
        <v>1.0133333333333334</v>
      </c>
      <c r="M2292" s="39">
        <f t="shared" si="146"/>
        <v>1.0133333333333334</v>
      </c>
      <c r="N2292" t="s">
        <v>25</v>
      </c>
      <c r="O2292" t="s">
        <v>25</v>
      </c>
      <c r="P2292">
        <v>0</v>
      </c>
      <c r="Q2292">
        <v>0</v>
      </c>
      <c r="R2292" t="s">
        <v>3047</v>
      </c>
    </row>
    <row r="2293" spans="1:18" hidden="1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45535</v>
      </c>
      <c r="G2293">
        <v>2024</v>
      </c>
      <c r="H2293" t="s">
        <v>1546</v>
      </c>
      <c r="I2293" t="s">
        <v>30</v>
      </c>
      <c r="J2293">
        <v>90</v>
      </c>
      <c r="K2293">
        <v>98.160535117056796</v>
      </c>
      <c r="L2293" s="39">
        <f t="shared" si="145"/>
        <v>1.0906726124117421</v>
      </c>
      <c r="M2293" s="39">
        <f t="shared" si="146"/>
        <v>1.0906726124117421</v>
      </c>
      <c r="N2293" t="s">
        <v>25</v>
      </c>
      <c r="O2293" t="s">
        <v>25</v>
      </c>
      <c r="P2293">
        <v>0</v>
      </c>
      <c r="Q2293">
        <v>0</v>
      </c>
      <c r="R2293" t="s">
        <v>3048</v>
      </c>
    </row>
    <row r="2294" spans="1:18" hidden="1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45565</v>
      </c>
      <c r="G2294">
        <v>2024</v>
      </c>
      <c r="H2294" t="s">
        <v>162</v>
      </c>
      <c r="I2294" t="s">
        <v>30</v>
      </c>
      <c r="J2294">
        <v>90</v>
      </c>
      <c r="K2294">
        <v>97.789566755083996</v>
      </c>
      <c r="L2294" s="39">
        <f t="shared" si="145"/>
        <v>1.0865507417231555</v>
      </c>
      <c r="M2294" s="39">
        <f t="shared" si="146"/>
        <v>1.0865507417231555</v>
      </c>
      <c r="N2294" t="s">
        <v>25</v>
      </c>
      <c r="O2294" t="s">
        <v>25</v>
      </c>
      <c r="P2294">
        <v>0</v>
      </c>
      <c r="Q2294">
        <v>0</v>
      </c>
      <c r="R2294" t="s">
        <v>3049</v>
      </c>
    </row>
    <row r="2295" spans="1:18" hidden="1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45596</v>
      </c>
      <c r="G2295">
        <v>2024</v>
      </c>
      <c r="H2295" t="s">
        <v>150</v>
      </c>
      <c r="I2295" t="s">
        <v>30</v>
      </c>
      <c r="J2295">
        <v>90</v>
      </c>
      <c r="K2295">
        <v>96.619083395942894</v>
      </c>
      <c r="L2295" s="39">
        <f t="shared" si="145"/>
        <v>1.0735453710660321</v>
      </c>
      <c r="M2295" s="39">
        <f t="shared" si="146"/>
        <v>1.0735453710660321</v>
      </c>
      <c r="N2295" t="s">
        <v>25</v>
      </c>
      <c r="O2295" t="s">
        <v>25</v>
      </c>
      <c r="P2295">
        <v>0</v>
      </c>
      <c r="Q2295">
        <v>0</v>
      </c>
      <c r="R2295" t="s">
        <v>3050</v>
      </c>
    </row>
    <row r="2296" spans="1:18" hidden="1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45626</v>
      </c>
      <c r="G2296">
        <v>2024</v>
      </c>
      <c r="H2296" t="s">
        <v>1550</v>
      </c>
      <c r="I2296" t="s">
        <v>30</v>
      </c>
      <c r="J2296">
        <v>90</v>
      </c>
      <c r="K2296">
        <v>97.5359342915811</v>
      </c>
      <c r="L2296" s="39">
        <f t="shared" si="145"/>
        <v>1.08373260323979</v>
      </c>
      <c r="M2296" s="39">
        <f t="shared" si="146"/>
        <v>1.08373260323979</v>
      </c>
      <c r="N2296" t="s">
        <v>25</v>
      </c>
      <c r="O2296" t="s">
        <v>25</v>
      </c>
      <c r="P2296">
        <v>0</v>
      </c>
      <c r="Q2296">
        <v>0</v>
      </c>
      <c r="R2296" t="s">
        <v>3051</v>
      </c>
    </row>
    <row r="2297" spans="1:18" hidden="1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45657</v>
      </c>
      <c r="G2297">
        <v>2024</v>
      </c>
      <c r="H2297" t="s">
        <v>23</v>
      </c>
      <c r="I2297" t="s">
        <v>30</v>
      </c>
      <c r="J2297">
        <v>90</v>
      </c>
      <c r="K2297">
        <v>99.919935948759004</v>
      </c>
      <c r="L2297" s="39">
        <f t="shared" si="145"/>
        <v>1.1102215105417668</v>
      </c>
      <c r="M2297" s="39">
        <f t="shared" si="146"/>
        <v>1.1102215105417668</v>
      </c>
      <c r="N2297" t="s">
        <v>25</v>
      </c>
      <c r="O2297" t="s">
        <v>25</v>
      </c>
      <c r="P2297">
        <v>0</v>
      </c>
      <c r="Q2297">
        <v>0</v>
      </c>
      <c r="R2297" t="s">
        <v>1261</v>
      </c>
    </row>
    <row r="2298" spans="1:18" hidden="1" x14ac:dyDescent="0.3">
      <c r="A2298">
        <v>442</v>
      </c>
      <c r="B2298" t="s">
        <v>1262</v>
      </c>
      <c r="C2298" t="s">
        <v>246</v>
      </c>
      <c r="D2298" t="s">
        <v>27</v>
      </c>
      <c r="E2298" t="s">
        <v>22</v>
      </c>
      <c r="F2298" s="79">
        <v>45473</v>
      </c>
      <c r="G2298">
        <v>2024</v>
      </c>
      <c r="H2298" t="s">
        <v>699</v>
      </c>
      <c r="I2298" t="s">
        <v>729</v>
      </c>
      <c r="J2298">
        <v>100</v>
      </c>
      <c r="K2298">
        <v>80</v>
      </c>
      <c r="L2298" s="39">
        <f t="shared" si="145"/>
        <v>0.8</v>
      </c>
      <c r="M2298" s="39">
        <f t="shared" si="146"/>
        <v>0.8</v>
      </c>
      <c r="P2298">
        <v>0</v>
      </c>
      <c r="Q2298">
        <v>0</v>
      </c>
      <c r="R2298" t="s">
        <v>3052</v>
      </c>
    </row>
    <row r="2299" spans="1:18" hidden="1" x14ac:dyDescent="0.3">
      <c r="A2299">
        <v>442</v>
      </c>
      <c r="B2299" t="s">
        <v>1262</v>
      </c>
      <c r="C2299" t="s">
        <v>246</v>
      </c>
      <c r="D2299" t="s">
        <v>27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100</v>
      </c>
      <c r="K2299">
        <v>145</v>
      </c>
      <c r="L2299" s="39">
        <f t="shared" si="145"/>
        <v>1.3</v>
      </c>
      <c r="M2299" s="39">
        <f t="shared" si="146"/>
        <v>1.45</v>
      </c>
      <c r="P2299">
        <v>0</v>
      </c>
      <c r="Q2299">
        <v>0</v>
      </c>
      <c r="R2299" t="s">
        <v>1263</v>
      </c>
    </row>
    <row r="2300" spans="1:18" hidden="1" x14ac:dyDescent="0.3">
      <c r="A2300">
        <v>443</v>
      </c>
      <c r="B2300" t="s">
        <v>1264</v>
      </c>
      <c r="C2300" t="s">
        <v>246</v>
      </c>
      <c r="D2300" t="s">
        <v>27</v>
      </c>
      <c r="E2300" t="s">
        <v>22</v>
      </c>
      <c r="F2300" s="79">
        <v>45473</v>
      </c>
      <c r="G2300">
        <v>2024</v>
      </c>
      <c r="H2300" t="s">
        <v>699</v>
      </c>
      <c r="I2300" t="s">
        <v>729</v>
      </c>
      <c r="J2300">
        <v>100</v>
      </c>
      <c r="K2300">
        <v>114.33</v>
      </c>
      <c r="L2300" s="39">
        <f t="shared" si="145"/>
        <v>1.1433</v>
      </c>
      <c r="M2300" s="39">
        <f t="shared" si="146"/>
        <v>1.1433</v>
      </c>
      <c r="P2300">
        <v>0</v>
      </c>
      <c r="Q2300">
        <v>0</v>
      </c>
      <c r="R2300" t="s">
        <v>3053</v>
      </c>
    </row>
    <row r="2301" spans="1:18" hidden="1" x14ac:dyDescent="0.3">
      <c r="A2301">
        <v>443</v>
      </c>
      <c r="B2301" t="s">
        <v>1264</v>
      </c>
      <c r="C2301" t="s">
        <v>246</v>
      </c>
      <c r="D2301" t="s">
        <v>27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100</v>
      </c>
      <c r="K2301">
        <v>209</v>
      </c>
      <c r="L2301" s="39">
        <f t="shared" si="145"/>
        <v>1.3</v>
      </c>
      <c r="M2301" s="39">
        <f t="shared" si="146"/>
        <v>2.09</v>
      </c>
      <c r="P2301">
        <v>0</v>
      </c>
      <c r="Q2301">
        <v>0</v>
      </c>
      <c r="R2301" t="s">
        <v>1265</v>
      </c>
    </row>
    <row r="2302" spans="1:18" hidden="1" x14ac:dyDescent="0.3">
      <c r="A2302">
        <v>444</v>
      </c>
      <c r="B2302" t="s">
        <v>1266</v>
      </c>
      <c r="C2302" t="s">
        <v>541</v>
      </c>
      <c r="D2302" t="s">
        <v>27</v>
      </c>
      <c r="E2302" t="s">
        <v>22</v>
      </c>
      <c r="F2302" s="79">
        <v>45657</v>
      </c>
      <c r="G2302">
        <v>2024</v>
      </c>
      <c r="H2302" t="s">
        <v>23</v>
      </c>
      <c r="I2302" t="s">
        <v>30</v>
      </c>
      <c r="K2302">
        <v>2.1</v>
      </c>
      <c r="L2302" s="39"/>
      <c r="M2302" s="39"/>
      <c r="N2302" t="s">
        <v>355</v>
      </c>
      <c r="P2302">
        <v>0</v>
      </c>
      <c r="Q2302">
        <v>1</v>
      </c>
      <c r="R2302" t="s">
        <v>1267</v>
      </c>
    </row>
    <row r="2303" spans="1:18" hidden="1" x14ac:dyDescent="0.3">
      <c r="A2303">
        <v>444</v>
      </c>
      <c r="B2303" t="s">
        <v>1266</v>
      </c>
      <c r="C2303" t="s">
        <v>541</v>
      </c>
      <c r="D2303" t="s">
        <v>27</v>
      </c>
      <c r="E2303" t="s">
        <v>41</v>
      </c>
      <c r="F2303" s="79">
        <v>45838</v>
      </c>
      <c r="G2303">
        <v>2025</v>
      </c>
      <c r="H2303" t="s">
        <v>699</v>
      </c>
      <c r="I2303" t="s">
        <v>700</v>
      </c>
      <c r="J2303">
        <v>3</v>
      </c>
      <c r="K2303">
        <v>1.6</v>
      </c>
      <c r="L2303" s="39">
        <f>IFERROR(IF(OR(J2303=0,K2303=""),"",IF(E2303="Positivo",MIN(MAX(K2303/J2303,0),1.3),MIN(MAX(J2303/K2303,0),1.3))),"")</f>
        <v>1.3</v>
      </c>
      <c r="M2303" s="39">
        <f t="shared" ref="M2303:M2334" si="147">IFERROR(IF(OR(J2303=0,K2303=""),"",IF(E2303="Positivo",MAX(K2303/J2303,0),MAX(J2303/K2303,0))),"")</f>
        <v>1.875</v>
      </c>
      <c r="N2303" t="s">
        <v>136</v>
      </c>
      <c r="O2303" t="s">
        <v>136</v>
      </c>
      <c r="P2303">
        <v>0</v>
      </c>
      <c r="Q2303">
        <v>1</v>
      </c>
      <c r="R2303" t="s">
        <v>3054</v>
      </c>
    </row>
    <row r="2304" spans="1:18" hidden="1" x14ac:dyDescent="0.3">
      <c r="A2304">
        <v>444</v>
      </c>
      <c r="B2304" t="s">
        <v>1266</v>
      </c>
      <c r="C2304" t="s">
        <v>541</v>
      </c>
      <c r="D2304" t="s">
        <v>21</v>
      </c>
      <c r="E2304" t="s">
        <v>41</v>
      </c>
      <c r="F2304" s="79">
        <v>46022</v>
      </c>
      <c r="G2304">
        <v>2025</v>
      </c>
      <c r="H2304" t="s">
        <v>23</v>
      </c>
      <c r="I2304" t="s">
        <v>32</v>
      </c>
      <c r="J2304">
        <v>3</v>
      </c>
      <c r="K2304">
        <v>1.7</v>
      </c>
      <c r="L2304" s="39">
        <f>IFERROR(IF(OR(J2304=0,K2304=""),"",IF(E2304="Positivo",MIN(MAX(K2304/J2304,0),1.3),MIN(MAX(J2304/K2304,0),1.3))),"")</f>
        <v>1.3</v>
      </c>
      <c r="M2304" s="39">
        <f t="shared" si="147"/>
        <v>1.7647058823529411</v>
      </c>
      <c r="N2304" t="s">
        <v>128</v>
      </c>
      <c r="O2304" t="s">
        <v>136</v>
      </c>
      <c r="P2304">
        <v>0</v>
      </c>
      <c r="Q2304">
        <v>1</v>
      </c>
      <c r="R2304" t="s">
        <v>1268</v>
      </c>
    </row>
    <row r="2305" spans="1:18" hidden="1" x14ac:dyDescent="0.3">
      <c r="A2305">
        <v>445</v>
      </c>
      <c r="B2305" t="s">
        <v>1269</v>
      </c>
      <c r="C2305" t="s">
        <v>541</v>
      </c>
      <c r="D2305" t="s">
        <v>27</v>
      </c>
      <c r="E2305" t="s">
        <v>22</v>
      </c>
      <c r="F2305" s="79">
        <v>45473</v>
      </c>
      <c r="G2305">
        <v>2024</v>
      </c>
      <c r="H2305" t="s">
        <v>699</v>
      </c>
      <c r="I2305" t="s">
        <v>729</v>
      </c>
      <c r="J2305">
        <v>67.5</v>
      </c>
      <c r="K2305">
        <v>55.2</v>
      </c>
      <c r="L2305" s="39">
        <f t="shared" ref="L2305:L2334" si="148">IFERROR(IF(OR(J2305=0,K2305=""),"",IF(E2305="Positivo",MIN(MAX(K2305/J2305,0),1.3),MIN(MAX(J2305/K2305,0),1.3))),"")</f>
        <v>0.81777777777777783</v>
      </c>
      <c r="M2305" s="39">
        <f t="shared" si="147"/>
        <v>0.81777777777777783</v>
      </c>
      <c r="N2305" t="s">
        <v>25</v>
      </c>
      <c r="O2305" t="s">
        <v>25</v>
      </c>
      <c r="P2305">
        <v>0</v>
      </c>
      <c r="Q2305">
        <v>0</v>
      </c>
      <c r="R2305" t="s">
        <v>3055</v>
      </c>
    </row>
    <row r="2306" spans="1:18" hidden="1" x14ac:dyDescent="0.3">
      <c r="A2306">
        <v>445</v>
      </c>
      <c r="B2306" t="s">
        <v>1269</v>
      </c>
      <c r="C2306" t="s">
        <v>541</v>
      </c>
      <c r="D2306" t="s">
        <v>27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J2306">
        <v>67.5</v>
      </c>
      <c r="K2306">
        <v>86.5</v>
      </c>
      <c r="L2306" s="39">
        <f t="shared" si="148"/>
        <v>1.2814814814814814</v>
      </c>
      <c r="M2306" s="39">
        <f t="shared" si="147"/>
        <v>1.2814814814814814</v>
      </c>
      <c r="N2306" t="s">
        <v>25</v>
      </c>
      <c r="O2306" t="s">
        <v>25</v>
      </c>
      <c r="P2306">
        <v>0</v>
      </c>
      <c r="Q2306">
        <v>0</v>
      </c>
      <c r="R2306" t="s">
        <v>1270</v>
      </c>
    </row>
    <row r="2307" spans="1:18" hidden="1" x14ac:dyDescent="0.3">
      <c r="A2307">
        <v>445</v>
      </c>
      <c r="B2307" t="s">
        <v>1269</v>
      </c>
      <c r="C2307" t="s">
        <v>541</v>
      </c>
      <c r="D2307" t="s">
        <v>21</v>
      </c>
      <c r="E2307" t="s">
        <v>22</v>
      </c>
      <c r="F2307" s="79">
        <v>45838</v>
      </c>
      <c r="G2307">
        <v>2025</v>
      </c>
      <c r="H2307" t="s">
        <v>699</v>
      </c>
      <c r="I2307" t="s">
        <v>700</v>
      </c>
      <c r="J2307">
        <v>70</v>
      </c>
      <c r="K2307">
        <v>75.7</v>
      </c>
      <c r="L2307" s="39">
        <f t="shared" si="148"/>
        <v>1.0814285714285714</v>
      </c>
      <c r="M2307" s="39">
        <f t="shared" si="147"/>
        <v>1.0814285714285714</v>
      </c>
      <c r="N2307" t="s">
        <v>25</v>
      </c>
      <c r="O2307" t="s">
        <v>25</v>
      </c>
      <c r="P2307">
        <v>0</v>
      </c>
      <c r="Q2307">
        <v>0</v>
      </c>
      <c r="R2307" t="s">
        <v>3056</v>
      </c>
    </row>
    <row r="2308" spans="1:18" hidden="1" x14ac:dyDescent="0.3">
      <c r="A2308">
        <v>445</v>
      </c>
      <c r="B2308" t="s">
        <v>1269</v>
      </c>
      <c r="C2308" t="s">
        <v>541</v>
      </c>
      <c r="D2308" t="s">
        <v>21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70</v>
      </c>
      <c r="K2308">
        <v>85.3</v>
      </c>
      <c r="L2308" s="39">
        <f t="shared" si="148"/>
        <v>1.2185714285714286</v>
      </c>
      <c r="M2308" s="39">
        <f t="shared" si="147"/>
        <v>1.2185714285714286</v>
      </c>
      <c r="N2308" t="s">
        <v>25</v>
      </c>
      <c r="O2308" t="s">
        <v>25</v>
      </c>
      <c r="P2308">
        <v>0</v>
      </c>
      <c r="Q2308">
        <v>0</v>
      </c>
      <c r="R2308" t="s">
        <v>1271</v>
      </c>
    </row>
    <row r="2309" spans="1:18" hidden="1" x14ac:dyDescent="0.3">
      <c r="A2309">
        <v>447</v>
      </c>
      <c r="B2309" t="s">
        <v>724</v>
      </c>
      <c r="C2309" t="s">
        <v>254</v>
      </c>
      <c r="D2309" t="s">
        <v>27</v>
      </c>
      <c r="E2309" t="s">
        <v>22</v>
      </c>
      <c r="F2309" s="79">
        <v>45473</v>
      </c>
      <c r="G2309">
        <v>2024</v>
      </c>
      <c r="H2309" t="s">
        <v>699</v>
      </c>
      <c r="I2309" t="s">
        <v>729</v>
      </c>
      <c r="J2309">
        <v>15</v>
      </c>
      <c r="K2309">
        <v>31.04</v>
      </c>
      <c r="L2309" s="39">
        <f t="shared" si="148"/>
        <v>1.3</v>
      </c>
      <c r="M2309" s="39">
        <f t="shared" si="147"/>
        <v>2.0693333333333332</v>
      </c>
      <c r="N2309" t="s">
        <v>25</v>
      </c>
      <c r="O2309" t="s">
        <v>25</v>
      </c>
      <c r="P2309">
        <v>0</v>
      </c>
      <c r="Q2309">
        <v>0</v>
      </c>
      <c r="R2309" t="s">
        <v>3057</v>
      </c>
    </row>
    <row r="2310" spans="1:18" hidden="1" x14ac:dyDescent="0.3">
      <c r="A2310">
        <v>447</v>
      </c>
      <c r="B2310" t="s">
        <v>724</v>
      </c>
      <c r="C2310" t="s">
        <v>254</v>
      </c>
      <c r="D2310" t="s">
        <v>27</v>
      </c>
      <c r="E2310" t="s">
        <v>22</v>
      </c>
      <c r="F2310" s="79">
        <v>45657</v>
      </c>
      <c r="G2310">
        <v>2024</v>
      </c>
      <c r="H2310" t="s">
        <v>23</v>
      </c>
      <c r="I2310" t="s">
        <v>30</v>
      </c>
      <c r="J2310">
        <v>15</v>
      </c>
      <c r="K2310">
        <v>16.16</v>
      </c>
      <c r="L2310" s="39">
        <f t="shared" si="148"/>
        <v>1.0773333333333333</v>
      </c>
      <c r="M2310" s="39">
        <f t="shared" si="147"/>
        <v>1.0773333333333333</v>
      </c>
      <c r="N2310" t="s">
        <v>25</v>
      </c>
      <c r="O2310" t="s">
        <v>25</v>
      </c>
      <c r="P2310">
        <v>0</v>
      </c>
      <c r="Q2310">
        <v>0</v>
      </c>
      <c r="R2310" t="s">
        <v>1272</v>
      </c>
    </row>
    <row r="2311" spans="1:18" hidden="1" x14ac:dyDescent="0.3">
      <c r="A2311">
        <v>447</v>
      </c>
      <c r="B2311" t="s">
        <v>724</v>
      </c>
      <c r="C2311" t="s">
        <v>254</v>
      </c>
      <c r="D2311" t="s">
        <v>27</v>
      </c>
      <c r="E2311" t="s">
        <v>22</v>
      </c>
      <c r="F2311" s="79">
        <v>45838</v>
      </c>
      <c r="G2311">
        <v>2025</v>
      </c>
      <c r="H2311" t="s">
        <v>699</v>
      </c>
      <c r="I2311" t="s">
        <v>700</v>
      </c>
      <c r="J2311">
        <v>15</v>
      </c>
      <c r="K2311">
        <v>16.54</v>
      </c>
      <c r="L2311" s="39">
        <f t="shared" si="148"/>
        <v>1.1026666666666667</v>
      </c>
      <c r="M2311" s="39">
        <f t="shared" si="147"/>
        <v>1.1026666666666667</v>
      </c>
      <c r="N2311" t="s">
        <v>25</v>
      </c>
      <c r="O2311" t="s">
        <v>25</v>
      </c>
      <c r="P2311">
        <v>0</v>
      </c>
      <c r="Q2311">
        <v>0</v>
      </c>
      <c r="R2311" t="s">
        <v>3058</v>
      </c>
    </row>
    <row r="2312" spans="1:18" hidden="1" x14ac:dyDescent="0.3">
      <c r="A2312">
        <v>447</v>
      </c>
      <c r="B2312" t="s">
        <v>724</v>
      </c>
      <c r="C2312" t="s">
        <v>254</v>
      </c>
      <c r="D2312" t="s">
        <v>21</v>
      </c>
      <c r="E2312" t="s">
        <v>22</v>
      </c>
      <c r="F2312" s="79">
        <v>46022</v>
      </c>
      <c r="G2312">
        <v>2025</v>
      </c>
      <c r="H2312" t="s">
        <v>23</v>
      </c>
      <c r="I2312" t="s">
        <v>32</v>
      </c>
      <c r="J2312">
        <v>15</v>
      </c>
      <c r="K2312">
        <v>15.01</v>
      </c>
      <c r="L2312" s="39">
        <f t="shared" si="148"/>
        <v>1.0006666666666666</v>
      </c>
      <c r="M2312" s="39">
        <f t="shared" si="147"/>
        <v>1.0006666666666666</v>
      </c>
      <c r="N2312" t="s">
        <v>25</v>
      </c>
      <c r="O2312" t="s">
        <v>25</v>
      </c>
      <c r="P2312">
        <v>0</v>
      </c>
      <c r="Q2312">
        <v>0</v>
      </c>
      <c r="R2312" t="s">
        <v>1273</v>
      </c>
    </row>
    <row r="2313" spans="1:18" hidden="1" x14ac:dyDescent="0.3">
      <c r="A2313">
        <v>448</v>
      </c>
      <c r="B2313" t="s">
        <v>1274</v>
      </c>
      <c r="C2313" t="s">
        <v>254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9</v>
      </c>
      <c r="K2313">
        <v>18.93</v>
      </c>
      <c r="L2313" s="39">
        <f t="shared" si="148"/>
        <v>1.3</v>
      </c>
      <c r="M2313" s="39">
        <f t="shared" si="147"/>
        <v>2.1033333333333335</v>
      </c>
      <c r="N2313" t="s">
        <v>25</v>
      </c>
      <c r="O2313" t="s">
        <v>25</v>
      </c>
      <c r="P2313">
        <v>0</v>
      </c>
      <c r="Q2313">
        <v>0</v>
      </c>
      <c r="R2313" t="s">
        <v>3059</v>
      </c>
    </row>
    <row r="2314" spans="1:18" hidden="1" x14ac:dyDescent="0.3">
      <c r="A2314">
        <v>448</v>
      </c>
      <c r="B2314" t="s">
        <v>1274</v>
      </c>
      <c r="C2314" t="s">
        <v>254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9</v>
      </c>
      <c r="K2314">
        <v>9.32</v>
      </c>
      <c r="L2314" s="39">
        <f t="shared" si="148"/>
        <v>1.0355555555555556</v>
      </c>
      <c r="M2314" s="39">
        <f t="shared" si="147"/>
        <v>1.0355555555555556</v>
      </c>
      <c r="N2314" t="s">
        <v>25</v>
      </c>
      <c r="O2314" t="s">
        <v>25</v>
      </c>
      <c r="P2314">
        <v>0</v>
      </c>
      <c r="Q2314">
        <v>0</v>
      </c>
      <c r="R2314" t="s">
        <v>1275</v>
      </c>
    </row>
    <row r="2315" spans="1:18" hidden="1" x14ac:dyDescent="0.3">
      <c r="A2315">
        <v>448</v>
      </c>
      <c r="B2315" t="s">
        <v>1274</v>
      </c>
      <c r="C2315" t="s">
        <v>254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17</v>
      </c>
      <c r="K2315">
        <v>39.619999999999997</v>
      </c>
      <c r="L2315" s="39">
        <f t="shared" si="148"/>
        <v>1.3</v>
      </c>
      <c r="M2315" s="39">
        <f t="shared" si="147"/>
        <v>2.3305882352941176</v>
      </c>
      <c r="N2315" t="s">
        <v>25</v>
      </c>
      <c r="O2315" t="s">
        <v>25</v>
      </c>
      <c r="P2315">
        <v>0</v>
      </c>
      <c r="Q2315">
        <v>0</v>
      </c>
      <c r="R2315" t="s">
        <v>3060</v>
      </c>
    </row>
    <row r="2316" spans="1:18" hidden="1" x14ac:dyDescent="0.3">
      <c r="A2316">
        <v>448</v>
      </c>
      <c r="B2316" t="s">
        <v>1274</v>
      </c>
      <c r="C2316" t="s">
        <v>254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17</v>
      </c>
      <c r="K2316">
        <v>59.36</v>
      </c>
      <c r="L2316" s="39">
        <f t="shared" si="148"/>
        <v>1.3</v>
      </c>
      <c r="M2316" s="39">
        <f t="shared" si="147"/>
        <v>3.4917647058823529</v>
      </c>
      <c r="N2316" t="s">
        <v>25</v>
      </c>
      <c r="O2316" t="s">
        <v>25</v>
      </c>
      <c r="P2316">
        <v>0</v>
      </c>
      <c r="Q2316">
        <v>1</v>
      </c>
      <c r="R2316" t="s">
        <v>1276</v>
      </c>
    </row>
    <row r="2317" spans="1:18" hidden="1" x14ac:dyDescent="0.3">
      <c r="A2317">
        <v>449</v>
      </c>
      <c r="B2317" t="s">
        <v>1277</v>
      </c>
      <c r="C2317" t="s">
        <v>732</v>
      </c>
      <c r="D2317" t="s">
        <v>21</v>
      </c>
      <c r="E2317" t="s">
        <v>22</v>
      </c>
      <c r="F2317" s="79">
        <v>45382</v>
      </c>
      <c r="G2317">
        <v>2024</v>
      </c>
      <c r="H2317" t="s">
        <v>1516</v>
      </c>
      <c r="I2317" t="s">
        <v>729</v>
      </c>
      <c r="J2317">
        <v>20</v>
      </c>
      <c r="K2317">
        <v>51.28</v>
      </c>
      <c r="L2317" s="39">
        <f t="shared" si="148"/>
        <v>1.3</v>
      </c>
      <c r="M2317" s="39">
        <f t="shared" si="147"/>
        <v>2.5640000000000001</v>
      </c>
      <c r="P2317">
        <v>0</v>
      </c>
      <c r="Q2317">
        <v>0</v>
      </c>
      <c r="R2317" t="s">
        <v>3061</v>
      </c>
    </row>
    <row r="2318" spans="1:18" hidden="1" x14ac:dyDescent="0.3">
      <c r="A2318">
        <v>449</v>
      </c>
      <c r="B2318" t="s">
        <v>1277</v>
      </c>
      <c r="C2318" t="s">
        <v>732</v>
      </c>
      <c r="D2318" t="s">
        <v>21</v>
      </c>
      <c r="E2318" t="s">
        <v>22</v>
      </c>
      <c r="F2318" s="79">
        <v>45565</v>
      </c>
      <c r="G2318">
        <v>2024</v>
      </c>
      <c r="H2318" t="s">
        <v>162</v>
      </c>
      <c r="I2318" t="s">
        <v>30</v>
      </c>
      <c r="J2318">
        <v>70</v>
      </c>
      <c r="K2318">
        <v>84.615384615384599</v>
      </c>
      <c r="L2318" s="39">
        <f t="shared" si="148"/>
        <v>1.2087912087912085</v>
      </c>
      <c r="M2318" s="39">
        <f t="shared" si="147"/>
        <v>1.2087912087912085</v>
      </c>
      <c r="P2318">
        <v>0</v>
      </c>
      <c r="Q2318">
        <v>0</v>
      </c>
      <c r="R2318" t="s">
        <v>3062</v>
      </c>
    </row>
    <row r="2319" spans="1:18" hidden="1" x14ac:dyDescent="0.3">
      <c r="A2319">
        <v>449</v>
      </c>
      <c r="B2319" t="s">
        <v>1277</v>
      </c>
      <c r="C2319" t="s">
        <v>732</v>
      </c>
      <c r="D2319" t="s">
        <v>21</v>
      </c>
      <c r="E2319" t="s">
        <v>22</v>
      </c>
      <c r="F2319" s="79">
        <v>45657</v>
      </c>
      <c r="G2319">
        <v>2024</v>
      </c>
      <c r="H2319" t="s">
        <v>23</v>
      </c>
      <c r="I2319" t="s">
        <v>30</v>
      </c>
      <c r="J2319">
        <v>100</v>
      </c>
      <c r="K2319">
        <v>100</v>
      </c>
      <c r="L2319" s="39">
        <f t="shared" si="148"/>
        <v>1</v>
      </c>
      <c r="M2319" s="39">
        <f t="shared" si="147"/>
        <v>1</v>
      </c>
      <c r="P2319">
        <v>0</v>
      </c>
      <c r="Q2319">
        <v>0</v>
      </c>
      <c r="R2319" t="s">
        <v>1278</v>
      </c>
    </row>
    <row r="2320" spans="1:18" hidden="1" x14ac:dyDescent="0.3">
      <c r="A2320">
        <v>451</v>
      </c>
      <c r="B2320" t="s">
        <v>1279</v>
      </c>
      <c r="C2320" t="s">
        <v>1078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0</v>
      </c>
      <c r="K2320">
        <v>34.9</v>
      </c>
      <c r="L2320" s="39" t="str">
        <f t="shared" si="148"/>
        <v/>
      </c>
      <c r="M2320" s="39" t="str">
        <f t="shared" si="147"/>
        <v/>
      </c>
      <c r="P2320">
        <v>0</v>
      </c>
      <c r="Q2320">
        <v>0</v>
      </c>
      <c r="R2320" t="s">
        <v>3063</v>
      </c>
    </row>
    <row r="2321" spans="1:18" hidden="1" x14ac:dyDescent="0.3">
      <c r="A2321">
        <v>451</v>
      </c>
      <c r="B2321" t="s">
        <v>1279</v>
      </c>
      <c r="C2321" t="s">
        <v>1078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0</v>
      </c>
      <c r="K2321">
        <v>42.7</v>
      </c>
      <c r="L2321" s="39" t="str">
        <f t="shared" si="148"/>
        <v/>
      </c>
      <c r="M2321" s="39" t="str">
        <f t="shared" si="147"/>
        <v/>
      </c>
      <c r="P2321">
        <v>0</v>
      </c>
      <c r="Q2321">
        <v>0</v>
      </c>
      <c r="R2321" t="s">
        <v>1280</v>
      </c>
    </row>
    <row r="2322" spans="1:18" hidden="1" x14ac:dyDescent="0.3">
      <c r="A2322">
        <v>451</v>
      </c>
      <c r="B2322" t="s">
        <v>1279</v>
      </c>
      <c r="C2322" t="s">
        <v>1078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100</v>
      </c>
      <c r="K2322">
        <v>119.5</v>
      </c>
      <c r="L2322" s="39">
        <f t="shared" si="148"/>
        <v>1.1950000000000001</v>
      </c>
      <c r="M2322" s="39">
        <f t="shared" si="147"/>
        <v>1.1950000000000001</v>
      </c>
      <c r="P2322">
        <v>0</v>
      </c>
      <c r="Q2322">
        <v>0</v>
      </c>
      <c r="R2322" t="s">
        <v>3064</v>
      </c>
    </row>
    <row r="2323" spans="1:18" hidden="1" x14ac:dyDescent="0.3">
      <c r="A2323">
        <v>451</v>
      </c>
      <c r="B2323" t="s">
        <v>1281</v>
      </c>
      <c r="C2323" t="s">
        <v>1078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100</v>
      </c>
      <c r="K2323">
        <v>130.80000000000001</v>
      </c>
      <c r="L2323" s="39">
        <f t="shared" si="148"/>
        <v>1.3</v>
      </c>
      <c r="M2323" s="39">
        <f t="shared" si="147"/>
        <v>1.3080000000000001</v>
      </c>
      <c r="N2323" t="s">
        <v>25</v>
      </c>
      <c r="O2323" t="s">
        <v>25</v>
      </c>
      <c r="P2323">
        <v>0</v>
      </c>
      <c r="Q2323">
        <v>0</v>
      </c>
      <c r="R2323" t="s">
        <v>1282</v>
      </c>
    </row>
    <row r="2324" spans="1:18" hidden="1" x14ac:dyDescent="0.3">
      <c r="A2324">
        <v>452</v>
      </c>
      <c r="B2324" t="s">
        <v>1283</v>
      </c>
      <c r="C2324" t="s">
        <v>1078</v>
      </c>
      <c r="D2324" t="s">
        <v>21</v>
      </c>
      <c r="E2324" t="s">
        <v>22</v>
      </c>
      <c r="F2324" s="79">
        <v>45473</v>
      </c>
      <c r="G2324">
        <v>2024</v>
      </c>
      <c r="H2324" t="s">
        <v>699</v>
      </c>
      <c r="I2324" t="s">
        <v>729</v>
      </c>
      <c r="J2324">
        <v>100</v>
      </c>
      <c r="K2324">
        <v>100</v>
      </c>
      <c r="L2324" s="39">
        <f t="shared" si="148"/>
        <v>1</v>
      </c>
      <c r="M2324" s="39">
        <f t="shared" si="147"/>
        <v>1</v>
      </c>
      <c r="N2324" t="s">
        <v>25</v>
      </c>
      <c r="O2324" t="s">
        <v>25</v>
      </c>
      <c r="P2324">
        <v>0</v>
      </c>
      <c r="Q2324">
        <v>0</v>
      </c>
      <c r="R2324" t="s">
        <v>3065</v>
      </c>
    </row>
    <row r="2325" spans="1:18" hidden="1" x14ac:dyDescent="0.3">
      <c r="A2325">
        <v>452</v>
      </c>
      <c r="B2325" t="s">
        <v>1283</v>
      </c>
      <c r="C2325" t="s">
        <v>1078</v>
      </c>
      <c r="D2325" t="s">
        <v>27</v>
      </c>
      <c r="E2325" t="s">
        <v>22</v>
      </c>
      <c r="F2325" s="79">
        <v>45657</v>
      </c>
      <c r="G2325">
        <v>2024</v>
      </c>
      <c r="H2325" t="s">
        <v>23</v>
      </c>
      <c r="I2325" t="s">
        <v>30</v>
      </c>
      <c r="J2325">
        <v>100</v>
      </c>
      <c r="K2325">
        <v>160</v>
      </c>
      <c r="L2325" s="39">
        <f t="shared" si="148"/>
        <v>1.3</v>
      </c>
      <c r="M2325" s="39">
        <f t="shared" si="147"/>
        <v>1.6</v>
      </c>
      <c r="P2325">
        <v>0</v>
      </c>
      <c r="Q2325">
        <v>0</v>
      </c>
      <c r="R2325" t="s">
        <v>1284</v>
      </c>
    </row>
    <row r="2326" spans="1:18" hidden="1" x14ac:dyDescent="0.3">
      <c r="A2326">
        <v>452</v>
      </c>
      <c r="B2326" t="s">
        <v>1283</v>
      </c>
      <c r="C2326" t="s">
        <v>1078</v>
      </c>
      <c r="D2326" t="s">
        <v>21</v>
      </c>
      <c r="E2326" t="s">
        <v>22</v>
      </c>
      <c r="F2326" s="79">
        <v>45838</v>
      </c>
      <c r="G2326">
        <v>2025</v>
      </c>
      <c r="H2326" t="s">
        <v>699</v>
      </c>
      <c r="I2326" t="s">
        <v>700</v>
      </c>
      <c r="J2326">
        <v>100</v>
      </c>
      <c r="K2326">
        <v>102.27</v>
      </c>
      <c r="L2326" s="39">
        <f t="shared" si="148"/>
        <v>1.0226999999999999</v>
      </c>
      <c r="M2326" s="39">
        <f t="shared" si="147"/>
        <v>1.0226999999999999</v>
      </c>
      <c r="N2326" t="s">
        <v>25</v>
      </c>
      <c r="O2326" t="s">
        <v>25</v>
      </c>
      <c r="P2326">
        <v>0</v>
      </c>
      <c r="Q2326">
        <v>0</v>
      </c>
      <c r="R2326" t="s">
        <v>3066</v>
      </c>
    </row>
    <row r="2327" spans="1:18" hidden="1" x14ac:dyDescent="0.3">
      <c r="A2327">
        <v>452</v>
      </c>
      <c r="B2327" t="s">
        <v>1283</v>
      </c>
      <c r="C2327" t="s">
        <v>1078</v>
      </c>
      <c r="D2327" t="s">
        <v>21</v>
      </c>
      <c r="E2327" t="s">
        <v>22</v>
      </c>
      <c r="F2327" s="79">
        <v>46022</v>
      </c>
      <c r="G2327">
        <v>2025</v>
      </c>
      <c r="H2327" t="s">
        <v>23</v>
      </c>
      <c r="I2327" t="s">
        <v>32</v>
      </c>
      <c r="J2327">
        <v>100</v>
      </c>
      <c r="K2327">
        <v>200</v>
      </c>
      <c r="L2327" s="39">
        <f t="shared" si="148"/>
        <v>1.3</v>
      </c>
      <c r="M2327" s="39">
        <f t="shared" si="147"/>
        <v>2</v>
      </c>
      <c r="N2327" t="s">
        <v>25</v>
      </c>
      <c r="O2327" t="s">
        <v>25</v>
      </c>
      <c r="P2327">
        <v>0</v>
      </c>
      <c r="Q2327">
        <v>0</v>
      </c>
      <c r="R2327" t="s">
        <v>1285</v>
      </c>
    </row>
    <row r="2328" spans="1:18" hidden="1" x14ac:dyDescent="0.3">
      <c r="A2328">
        <v>453</v>
      </c>
      <c r="B2328" t="s">
        <v>1286</v>
      </c>
      <c r="C2328" t="s">
        <v>1089</v>
      </c>
      <c r="D2328" t="s">
        <v>21</v>
      </c>
      <c r="E2328" t="s">
        <v>22</v>
      </c>
      <c r="F2328" s="79">
        <v>45382</v>
      </c>
      <c r="G2328">
        <v>2024</v>
      </c>
      <c r="H2328" t="s">
        <v>1516</v>
      </c>
      <c r="I2328" t="s">
        <v>729</v>
      </c>
      <c r="K2328">
        <v>13</v>
      </c>
      <c r="L2328" s="39" t="str">
        <f t="shared" si="148"/>
        <v/>
      </c>
      <c r="M2328" s="39" t="str">
        <f t="shared" si="147"/>
        <v/>
      </c>
      <c r="P2328">
        <v>0</v>
      </c>
      <c r="Q2328">
        <v>0</v>
      </c>
      <c r="R2328" t="s">
        <v>3067</v>
      </c>
    </row>
    <row r="2329" spans="1:18" hidden="1" x14ac:dyDescent="0.3">
      <c r="A2329">
        <v>453</v>
      </c>
      <c r="B2329" t="s">
        <v>1286</v>
      </c>
      <c r="C2329" t="s">
        <v>1089</v>
      </c>
      <c r="D2329" t="s">
        <v>21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25</v>
      </c>
      <c r="K2329">
        <v>35</v>
      </c>
      <c r="L2329" s="39">
        <f t="shared" si="148"/>
        <v>1.3</v>
      </c>
      <c r="M2329" s="39">
        <f t="shared" si="147"/>
        <v>1.4</v>
      </c>
      <c r="P2329">
        <v>0</v>
      </c>
      <c r="Q2329">
        <v>0</v>
      </c>
      <c r="R2329" t="s">
        <v>3068</v>
      </c>
    </row>
    <row r="2330" spans="1:18" hidden="1" x14ac:dyDescent="0.3">
      <c r="A2330">
        <v>453</v>
      </c>
      <c r="B2330" t="s">
        <v>1286</v>
      </c>
      <c r="C2330" t="s">
        <v>1089</v>
      </c>
      <c r="D2330" t="s">
        <v>21</v>
      </c>
      <c r="E2330" t="s">
        <v>22</v>
      </c>
      <c r="F2330" s="79">
        <v>45565</v>
      </c>
      <c r="G2330">
        <v>2024</v>
      </c>
      <c r="H2330" t="s">
        <v>162</v>
      </c>
      <c r="I2330" t="s">
        <v>30</v>
      </c>
      <c r="J2330">
        <v>25</v>
      </c>
      <c r="K2330">
        <v>75</v>
      </c>
      <c r="L2330" s="39">
        <f t="shared" si="148"/>
        <v>1.3</v>
      </c>
      <c r="M2330" s="39">
        <f t="shared" si="147"/>
        <v>3</v>
      </c>
      <c r="P2330">
        <v>0</v>
      </c>
      <c r="Q2330">
        <v>0</v>
      </c>
      <c r="R2330" t="s">
        <v>3069</v>
      </c>
    </row>
    <row r="2331" spans="1:18" hidden="1" x14ac:dyDescent="0.3">
      <c r="A2331">
        <v>453</v>
      </c>
      <c r="B2331" t="s">
        <v>1286</v>
      </c>
      <c r="C2331" t="s">
        <v>1089</v>
      </c>
      <c r="D2331" t="s">
        <v>21</v>
      </c>
      <c r="E2331" t="s">
        <v>22</v>
      </c>
      <c r="F2331" s="79">
        <v>45657</v>
      </c>
      <c r="G2331">
        <v>2024</v>
      </c>
      <c r="H2331" t="s">
        <v>23</v>
      </c>
      <c r="I2331" t="s">
        <v>30</v>
      </c>
      <c r="J2331">
        <v>25</v>
      </c>
      <c r="K2331">
        <v>37</v>
      </c>
      <c r="L2331" s="39">
        <f t="shared" si="148"/>
        <v>1.3</v>
      </c>
      <c r="M2331" s="39">
        <f t="shared" si="147"/>
        <v>1.48</v>
      </c>
      <c r="P2331">
        <v>0</v>
      </c>
      <c r="Q2331">
        <v>0</v>
      </c>
      <c r="R2331" t="s">
        <v>1287</v>
      </c>
    </row>
    <row r="2332" spans="1:18" hidden="1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45747</v>
      </c>
      <c r="G2332">
        <v>2025</v>
      </c>
      <c r="H2332" t="s">
        <v>1516</v>
      </c>
      <c r="I2332" t="s">
        <v>700</v>
      </c>
      <c r="J2332">
        <v>25</v>
      </c>
      <c r="K2332">
        <v>12</v>
      </c>
      <c r="L2332" s="39">
        <f t="shared" si="148"/>
        <v>0.48</v>
      </c>
      <c r="M2332" s="39">
        <f t="shared" si="147"/>
        <v>0.48</v>
      </c>
      <c r="P2332">
        <v>0</v>
      </c>
      <c r="Q2332">
        <v>0</v>
      </c>
      <c r="R2332" t="s">
        <v>3070</v>
      </c>
    </row>
    <row r="2333" spans="1:18" hidden="1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45838</v>
      </c>
      <c r="G2333">
        <v>2025</v>
      </c>
      <c r="H2333" t="s">
        <v>699</v>
      </c>
      <c r="I2333" t="s">
        <v>700</v>
      </c>
      <c r="J2333">
        <v>50</v>
      </c>
      <c r="K2333">
        <v>50</v>
      </c>
      <c r="L2333" s="39">
        <f t="shared" si="148"/>
        <v>1</v>
      </c>
      <c r="M2333" s="39">
        <f t="shared" si="147"/>
        <v>1</v>
      </c>
      <c r="P2333">
        <v>0</v>
      </c>
      <c r="Q2333">
        <v>0</v>
      </c>
      <c r="R2333" t="s">
        <v>3071</v>
      </c>
    </row>
    <row r="2334" spans="1:18" hidden="1" x14ac:dyDescent="0.3">
      <c r="A2334">
        <v>453</v>
      </c>
      <c r="B2334" t="s">
        <v>1286</v>
      </c>
      <c r="C2334" t="s">
        <v>1089</v>
      </c>
      <c r="D2334" t="s">
        <v>27</v>
      </c>
      <c r="E2334" t="s">
        <v>22</v>
      </c>
      <c r="F2334" s="79">
        <v>45930</v>
      </c>
      <c r="G2334">
        <v>2025</v>
      </c>
      <c r="H2334" t="s">
        <v>162</v>
      </c>
      <c r="I2334" t="s">
        <v>32</v>
      </c>
      <c r="J2334">
        <v>46</v>
      </c>
      <c r="K2334">
        <v>46</v>
      </c>
      <c r="L2334" s="39">
        <f t="shared" si="148"/>
        <v>1</v>
      </c>
      <c r="M2334" s="39">
        <f t="shared" si="147"/>
        <v>1</v>
      </c>
      <c r="P2334">
        <v>0</v>
      </c>
      <c r="Q2334">
        <v>0</v>
      </c>
      <c r="R2334" t="s">
        <v>3072</v>
      </c>
    </row>
    <row r="2335" spans="1:18" hidden="1" x14ac:dyDescent="0.3">
      <c r="A2335">
        <v>453</v>
      </c>
      <c r="B2335" t="s">
        <v>1286</v>
      </c>
      <c r="C2335" t="s">
        <v>1089</v>
      </c>
      <c r="D2335" t="s">
        <v>27</v>
      </c>
      <c r="E2335" t="s">
        <v>22</v>
      </c>
      <c r="F2335" s="79">
        <v>46022</v>
      </c>
      <c r="G2335">
        <v>2025</v>
      </c>
      <c r="H2335" t="s">
        <v>23</v>
      </c>
      <c r="I2335" t="s">
        <v>32</v>
      </c>
      <c r="J2335">
        <v>44</v>
      </c>
      <c r="K2335">
        <v>44</v>
      </c>
      <c r="L2335" s="39">
        <f t="shared" ref="L2335:L2366" si="149">IFERROR(IF(OR(J2335=0,K2335=""),"",IF(E2335="Positivo",MIN(MAX(K2335/J2335,0),1.3),MIN(MAX(J2335/K2335,0),1.3))),"")</f>
        <v>1</v>
      </c>
      <c r="M2335" s="39">
        <f t="shared" ref="M2335:M2366" si="150">IFERROR(IF(OR(J2335=0,K2335=""),"",IF(E2335="Positivo",MAX(K2335/J2335,0),MAX(J2335/K2335,0))),"")</f>
        <v>1</v>
      </c>
      <c r="P2335">
        <v>0</v>
      </c>
      <c r="Q2335">
        <v>0</v>
      </c>
      <c r="R2335" t="s">
        <v>1288</v>
      </c>
    </row>
    <row r="2336" spans="1:18" hidden="1" x14ac:dyDescent="0.3">
      <c r="A2336">
        <v>454</v>
      </c>
      <c r="B2336" t="s">
        <v>1289</v>
      </c>
      <c r="C2336" t="s">
        <v>1089</v>
      </c>
      <c r="D2336" t="s">
        <v>21</v>
      </c>
      <c r="E2336" t="s">
        <v>22</v>
      </c>
      <c r="F2336" s="79">
        <v>45565</v>
      </c>
      <c r="G2336">
        <v>2024</v>
      </c>
      <c r="H2336" t="s">
        <v>162</v>
      </c>
      <c r="I2336" t="s">
        <v>30</v>
      </c>
      <c r="J2336">
        <v>0</v>
      </c>
      <c r="K2336">
        <v>88</v>
      </c>
      <c r="L2336" s="39" t="str">
        <f t="shared" si="149"/>
        <v/>
      </c>
      <c r="M2336" s="39" t="str">
        <f t="shared" si="150"/>
        <v/>
      </c>
      <c r="P2336">
        <v>0</v>
      </c>
      <c r="Q2336">
        <v>0</v>
      </c>
      <c r="R2336" t="s">
        <v>3073</v>
      </c>
    </row>
    <row r="2337" spans="1:18" hidden="1" x14ac:dyDescent="0.3">
      <c r="A2337">
        <v>454</v>
      </c>
      <c r="B2337" t="s">
        <v>1289</v>
      </c>
      <c r="C2337" t="s">
        <v>1089</v>
      </c>
      <c r="D2337" t="s">
        <v>21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0</v>
      </c>
      <c r="K2337">
        <v>88</v>
      </c>
      <c r="L2337" s="39" t="str">
        <f t="shared" si="149"/>
        <v/>
      </c>
      <c r="M2337" s="39" t="str">
        <f t="shared" si="150"/>
        <v/>
      </c>
      <c r="P2337">
        <v>0</v>
      </c>
      <c r="Q2337">
        <v>0</v>
      </c>
      <c r="R2337" t="s">
        <v>1290</v>
      </c>
    </row>
    <row r="2338" spans="1:18" hidden="1" x14ac:dyDescent="0.3">
      <c r="A2338">
        <v>455</v>
      </c>
      <c r="B2338" t="s">
        <v>1291</v>
      </c>
      <c r="C2338" t="s">
        <v>1089</v>
      </c>
      <c r="D2338" t="s">
        <v>21</v>
      </c>
      <c r="E2338" t="s">
        <v>22</v>
      </c>
      <c r="F2338" s="79">
        <v>45565</v>
      </c>
      <c r="G2338">
        <v>2024</v>
      </c>
      <c r="H2338" t="s">
        <v>162</v>
      </c>
      <c r="I2338" t="s">
        <v>30</v>
      </c>
      <c r="J2338">
        <v>90</v>
      </c>
      <c r="K2338">
        <v>100</v>
      </c>
      <c r="L2338" s="39">
        <f t="shared" si="149"/>
        <v>1.1111111111111112</v>
      </c>
      <c r="M2338" s="39">
        <f t="shared" si="150"/>
        <v>1.1111111111111112</v>
      </c>
      <c r="N2338" t="s">
        <v>25</v>
      </c>
      <c r="O2338" t="s">
        <v>25</v>
      </c>
      <c r="P2338">
        <v>0</v>
      </c>
      <c r="Q2338">
        <v>0</v>
      </c>
      <c r="R2338" t="s">
        <v>3074</v>
      </c>
    </row>
    <row r="2339" spans="1:18" hidden="1" x14ac:dyDescent="0.3">
      <c r="A2339">
        <v>455</v>
      </c>
      <c r="B2339" t="s">
        <v>1291</v>
      </c>
      <c r="C2339" t="s">
        <v>1089</v>
      </c>
      <c r="D2339" t="s">
        <v>21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90</v>
      </c>
      <c r="K2339">
        <v>100</v>
      </c>
      <c r="L2339" s="39">
        <f t="shared" si="149"/>
        <v>1.1111111111111112</v>
      </c>
      <c r="M2339" s="39">
        <f t="shared" si="150"/>
        <v>1.1111111111111112</v>
      </c>
      <c r="N2339" t="s">
        <v>25</v>
      </c>
      <c r="O2339" t="s">
        <v>25</v>
      </c>
      <c r="P2339">
        <v>0</v>
      </c>
      <c r="Q2339">
        <v>0</v>
      </c>
      <c r="R2339" t="s">
        <v>1292</v>
      </c>
    </row>
    <row r="2340" spans="1:18" hidden="1" x14ac:dyDescent="0.3">
      <c r="A2340">
        <v>455</v>
      </c>
      <c r="B2340" t="s">
        <v>1291</v>
      </c>
      <c r="C2340" t="s">
        <v>1089</v>
      </c>
      <c r="D2340" t="s">
        <v>27</v>
      </c>
      <c r="E2340" t="s">
        <v>22</v>
      </c>
      <c r="F2340" s="79">
        <v>45747</v>
      </c>
      <c r="G2340">
        <v>2025</v>
      </c>
      <c r="H2340" t="s">
        <v>1516</v>
      </c>
      <c r="I2340" t="s">
        <v>700</v>
      </c>
      <c r="J2340">
        <v>100</v>
      </c>
      <c r="K2340">
        <v>100</v>
      </c>
      <c r="L2340" s="39">
        <f t="shared" si="149"/>
        <v>1</v>
      </c>
      <c r="M2340" s="39">
        <f t="shared" si="150"/>
        <v>1</v>
      </c>
      <c r="N2340" t="s">
        <v>25</v>
      </c>
      <c r="O2340" t="s">
        <v>25</v>
      </c>
      <c r="P2340">
        <v>0</v>
      </c>
      <c r="Q2340">
        <v>0</v>
      </c>
      <c r="R2340" t="s">
        <v>3075</v>
      </c>
    </row>
    <row r="2341" spans="1:18" hidden="1" x14ac:dyDescent="0.3">
      <c r="A2341">
        <v>455</v>
      </c>
      <c r="B2341" t="s">
        <v>1291</v>
      </c>
      <c r="C2341" t="s">
        <v>1089</v>
      </c>
      <c r="D2341" t="s">
        <v>21</v>
      </c>
      <c r="E2341" t="s">
        <v>22</v>
      </c>
      <c r="F2341" s="79">
        <v>45838</v>
      </c>
      <c r="G2341">
        <v>2025</v>
      </c>
      <c r="H2341" t="s">
        <v>699</v>
      </c>
      <c r="I2341" t="s">
        <v>700</v>
      </c>
      <c r="J2341">
        <v>100</v>
      </c>
      <c r="K2341">
        <v>100</v>
      </c>
      <c r="L2341" s="39">
        <f t="shared" si="149"/>
        <v>1</v>
      </c>
      <c r="M2341" s="39">
        <f t="shared" si="150"/>
        <v>1</v>
      </c>
      <c r="N2341" t="s">
        <v>25</v>
      </c>
      <c r="O2341" t="s">
        <v>25</v>
      </c>
      <c r="P2341">
        <v>0</v>
      </c>
      <c r="Q2341">
        <v>0</v>
      </c>
      <c r="R2341" t="s">
        <v>3076</v>
      </c>
    </row>
    <row r="2342" spans="1:18" hidden="1" x14ac:dyDescent="0.3">
      <c r="A2342">
        <v>455</v>
      </c>
      <c r="B2342" t="s">
        <v>1291</v>
      </c>
      <c r="C2342" t="s">
        <v>1089</v>
      </c>
      <c r="D2342" t="s">
        <v>27</v>
      </c>
      <c r="E2342" t="s">
        <v>22</v>
      </c>
      <c r="F2342" s="79">
        <v>45930</v>
      </c>
      <c r="G2342">
        <v>2025</v>
      </c>
      <c r="H2342" t="s">
        <v>162</v>
      </c>
      <c r="I2342" t="s">
        <v>32</v>
      </c>
      <c r="J2342">
        <v>100</v>
      </c>
      <c r="K2342">
        <v>100</v>
      </c>
      <c r="L2342" s="39">
        <f t="shared" si="149"/>
        <v>1</v>
      </c>
      <c r="M2342" s="39">
        <f t="shared" si="150"/>
        <v>1</v>
      </c>
      <c r="N2342" t="s">
        <v>25</v>
      </c>
      <c r="O2342" t="s">
        <v>25</v>
      </c>
      <c r="P2342">
        <v>0</v>
      </c>
      <c r="Q2342">
        <v>0</v>
      </c>
      <c r="R2342" t="s">
        <v>3077</v>
      </c>
    </row>
    <row r="2343" spans="1:18" hidden="1" x14ac:dyDescent="0.3">
      <c r="A2343">
        <v>455</v>
      </c>
      <c r="B2343" t="s">
        <v>1291</v>
      </c>
      <c r="C2343" t="s">
        <v>1089</v>
      </c>
      <c r="D2343" t="s">
        <v>27</v>
      </c>
      <c r="E2343" t="s">
        <v>22</v>
      </c>
      <c r="F2343" s="79">
        <v>46022</v>
      </c>
      <c r="G2343">
        <v>2025</v>
      </c>
      <c r="H2343" t="s">
        <v>23</v>
      </c>
      <c r="I2343" t="s">
        <v>32</v>
      </c>
      <c r="J2343">
        <v>100</v>
      </c>
      <c r="K2343">
        <v>100</v>
      </c>
      <c r="L2343" s="39">
        <f t="shared" si="149"/>
        <v>1</v>
      </c>
      <c r="M2343" s="39">
        <f t="shared" si="150"/>
        <v>1</v>
      </c>
      <c r="N2343" t="s">
        <v>25</v>
      </c>
      <c r="O2343" t="s">
        <v>25</v>
      </c>
      <c r="P2343">
        <v>0</v>
      </c>
      <c r="Q2343">
        <v>0</v>
      </c>
      <c r="R2343" t="s">
        <v>1293</v>
      </c>
    </row>
    <row r="2344" spans="1:18" hidden="1" x14ac:dyDescent="0.3">
      <c r="A2344">
        <v>456</v>
      </c>
      <c r="B2344" t="s">
        <v>1294</v>
      </c>
      <c r="C2344" t="s">
        <v>149</v>
      </c>
      <c r="D2344" t="s">
        <v>27</v>
      </c>
      <c r="E2344" t="s">
        <v>22</v>
      </c>
      <c r="F2344" s="79">
        <v>45473</v>
      </c>
      <c r="G2344">
        <v>2024</v>
      </c>
      <c r="H2344" t="s">
        <v>699</v>
      </c>
      <c r="I2344" t="s">
        <v>729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3078</v>
      </c>
    </row>
    <row r="2345" spans="1:18" hidden="1" x14ac:dyDescent="0.3">
      <c r="A2345">
        <v>456</v>
      </c>
      <c r="B2345" t="s">
        <v>1294</v>
      </c>
      <c r="C2345" t="s">
        <v>149</v>
      </c>
      <c r="D2345" t="s">
        <v>27</v>
      </c>
      <c r="E2345" t="s">
        <v>22</v>
      </c>
      <c r="F2345" s="79">
        <v>45657</v>
      </c>
      <c r="G2345">
        <v>2024</v>
      </c>
      <c r="H2345" t="s">
        <v>23</v>
      </c>
      <c r="I2345" t="s">
        <v>30</v>
      </c>
      <c r="J2345">
        <v>100</v>
      </c>
      <c r="K2345">
        <v>94.69</v>
      </c>
      <c r="L2345" s="39">
        <f t="shared" si="149"/>
        <v>0.94689999999999996</v>
      </c>
      <c r="M2345" s="39">
        <f t="shared" si="150"/>
        <v>0.94689999999999996</v>
      </c>
      <c r="N2345" t="s">
        <v>25</v>
      </c>
      <c r="O2345" t="s">
        <v>25</v>
      </c>
      <c r="P2345">
        <v>0</v>
      </c>
      <c r="Q2345">
        <v>0</v>
      </c>
      <c r="R2345" t="s">
        <v>1295</v>
      </c>
    </row>
    <row r="2346" spans="1:18" hidden="1" x14ac:dyDescent="0.3">
      <c r="A2346">
        <v>456</v>
      </c>
      <c r="B2346" t="s">
        <v>1294</v>
      </c>
      <c r="C2346" t="s">
        <v>149</v>
      </c>
      <c r="D2346" t="s">
        <v>27</v>
      </c>
      <c r="E2346" t="s">
        <v>22</v>
      </c>
      <c r="F2346" s="79">
        <v>45747</v>
      </c>
      <c r="G2346">
        <v>2025</v>
      </c>
      <c r="H2346" t="s">
        <v>1516</v>
      </c>
      <c r="I2346" t="s">
        <v>700</v>
      </c>
      <c r="J2346">
        <v>100</v>
      </c>
      <c r="K2346">
        <v>106.25</v>
      </c>
      <c r="L2346" s="39">
        <f t="shared" si="149"/>
        <v>1.0625</v>
      </c>
      <c r="M2346" s="39">
        <f t="shared" si="150"/>
        <v>1.0625</v>
      </c>
      <c r="N2346" t="s">
        <v>25</v>
      </c>
      <c r="O2346" t="s">
        <v>25</v>
      </c>
      <c r="P2346">
        <v>0</v>
      </c>
      <c r="Q2346">
        <v>0</v>
      </c>
      <c r="R2346" t="s">
        <v>3079</v>
      </c>
    </row>
    <row r="2347" spans="1:18" hidden="1" x14ac:dyDescent="0.3">
      <c r="A2347">
        <v>456</v>
      </c>
      <c r="B2347" t="s">
        <v>1294</v>
      </c>
      <c r="C2347" t="s">
        <v>149</v>
      </c>
      <c r="D2347" t="s">
        <v>27</v>
      </c>
      <c r="E2347" t="s">
        <v>22</v>
      </c>
      <c r="F2347" s="79">
        <v>45838</v>
      </c>
      <c r="G2347">
        <v>2025</v>
      </c>
      <c r="H2347" t="s">
        <v>699</v>
      </c>
      <c r="I2347" t="s">
        <v>700</v>
      </c>
      <c r="J2347">
        <v>100</v>
      </c>
      <c r="K2347">
        <v>104.12</v>
      </c>
      <c r="L2347" s="39">
        <f t="shared" si="149"/>
        <v>1.0412000000000001</v>
      </c>
      <c r="M2347" s="39">
        <f t="shared" si="150"/>
        <v>1.0412000000000001</v>
      </c>
      <c r="N2347" t="s">
        <v>25</v>
      </c>
      <c r="O2347" t="s">
        <v>25</v>
      </c>
      <c r="P2347">
        <v>0</v>
      </c>
      <c r="Q2347">
        <v>0</v>
      </c>
      <c r="R2347" t="s">
        <v>3080</v>
      </c>
    </row>
    <row r="2348" spans="1:18" hidden="1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45930</v>
      </c>
      <c r="G2348">
        <v>2025</v>
      </c>
      <c r="H2348" t="s">
        <v>162</v>
      </c>
      <c r="I2348" t="s">
        <v>32</v>
      </c>
      <c r="J2348">
        <v>100</v>
      </c>
      <c r="K2348">
        <v>121.57</v>
      </c>
      <c r="L2348" s="39">
        <f t="shared" si="149"/>
        <v>1.2157</v>
      </c>
      <c r="M2348" s="39">
        <f t="shared" si="150"/>
        <v>1.2157</v>
      </c>
      <c r="N2348" t="s">
        <v>25</v>
      </c>
      <c r="O2348" t="s">
        <v>25</v>
      </c>
      <c r="P2348">
        <v>0</v>
      </c>
      <c r="Q2348">
        <v>0</v>
      </c>
      <c r="R2348" t="s">
        <v>3081</v>
      </c>
    </row>
    <row r="2349" spans="1:18" hidden="1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46022</v>
      </c>
      <c r="G2349">
        <v>2025</v>
      </c>
      <c r="H2349" t="s">
        <v>23</v>
      </c>
      <c r="I2349" t="s">
        <v>32</v>
      </c>
      <c r="J2349">
        <v>100</v>
      </c>
      <c r="K2349">
        <v>114.43</v>
      </c>
      <c r="L2349" s="39">
        <f t="shared" si="149"/>
        <v>1.1443000000000001</v>
      </c>
      <c r="M2349" s="39">
        <f t="shared" si="150"/>
        <v>1.1443000000000001</v>
      </c>
      <c r="N2349" t="s">
        <v>25</v>
      </c>
      <c r="O2349" t="s">
        <v>25</v>
      </c>
      <c r="P2349">
        <v>0</v>
      </c>
      <c r="Q2349">
        <v>0</v>
      </c>
      <c r="R2349" t="s">
        <v>1296</v>
      </c>
    </row>
    <row r="2350" spans="1:18" hidden="1" x14ac:dyDescent="0.3">
      <c r="A2350">
        <v>457</v>
      </c>
      <c r="B2350" t="s">
        <v>1297</v>
      </c>
      <c r="C2350" t="s">
        <v>149</v>
      </c>
      <c r="D2350" t="s">
        <v>27</v>
      </c>
      <c r="E2350" t="s">
        <v>22</v>
      </c>
      <c r="F2350" s="79">
        <v>45473</v>
      </c>
      <c r="G2350">
        <v>2024</v>
      </c>
      <c r="H2350" t="s">
        <v>699</v>
      </c>
      <c r="I2350" t="s">
        <v>729</v>
      </c>
      <c r="J2350">
        <v>100</v>
      </c>
      <c r="K2350">
        <v>90</v>
      </c>
      <c r="L2350" s="39">
        <f t="shared" si="149"/>
        <v>0.9</v>
      </c>
      <c r="M2350" s="39">
        <f t="shared" si="150"/>
        <v>0.9</v>
      </c>
      <c r="N2350" t="s">
        <v>25</v>
      </c>
      <c r="O2350" t="s">
        <v>25</v>
      </c>
      <c r="P2350">
        <v>0</v>
      </c>
      <c r="Q2350">
        <v>0</v>
      </c>
      <c r="R2350" t="s">
        <v>3082</v>
      </c>
    </row>
    <row r="2351" spans="1:18" hidden="1" x14ac:dyDescent="0.3">
      <c r="A2351">
        <v>457</v>
      </c>
      <c r="B2351" t="s">
        <v>1297</v>
      </c>
      <c r="C2351" t="s">
        <v>149</v>
      </c>
      <c r="D2351" t="s">
        <v>27</v>
      </c>
      <c r="E2351" t="s">
        <v>22</v>
      </c>
      <c r="F2351" s="79">
        <v>45657</v>
      </c>
      <c r="G2351">
        <v>2024</v>
      </c>
      <c r="H2351" t="s">
        <v>23</v>
      </c>
      <c r="I2351" t="s">
        <v>30</v>
      </c>
      <c r="J2351">
        <v>100</v>
      </c>
      <c r="K2351">
        <v>70</v>
      </c>
      <c r="L2351" s="39">
        <f t="shared" si="149"/>
        <v>0.7</v>
      </c>
      <c r="M2351" s="39">
        <f t="shared" si="150"/>
        <v>0.7</v>
      </c>
      <c r="N2351" t="s">
        <v>25</v>
      </c>
      <c r="O2351" t="s">
        <v>25</v>
      </c>
      <c r="P2351">
        <v>0</v>
      </c>
      <c r="Q2351">
        <v>0</v>
      </c>
      <c r="R2351" t="s">
        <v>1298</v>
      </c>
    </row>
    <row r="2352" spans="1:18" hidden="1" x14ac:dyDescent="0.3">
      <c r="A2352">
        <v>457</v>
      </c>
      <c r="B2352" t="s">
        <v>1297</v>
      </c>
      <c r="C2352" t="s">
        <v>149</v>
      </c>
      <c r="D2352" t="s">
        <v>27</v>
      </c>
      <c r="E2352" t="s">
        <v>22</v>
      </c>
      <c r="F2352" s="79">
        <v>45747</v>
      </c>
      <c r="G2352">
        <v>2025</v>
      </c>
      <c r="H2352" t="s">
        <v>1516</v>
      </c>
      <c r="I2352" t="s">
        <v>700</v>
      </c>
      <c r="J2352">
        <v>100</v>
      </c>
      <c r="K2352">
        <v>200</v>
      </c>
      <c r="L2352" s="39">
        <f t="shared" si="149"/>
        <v>1.3</v>
      </c>
      <c r="M2352" s="39">
        <f t="shared" si="150"/>
        <v>2</v>
      </c>
      <c r="N2352" t="s">
        <v>25</v>
      </c>
      <c r="O2352" t="s">
        <v>25</v>
      </c>
      <c r="P2352">
        <v>0</v>
      </c>
      <c r="Q2352">
        <v>0</v>
      </c>
      <c r="R2352" t="s">
        <v>3083</v>
      </c>
    </row>
    <row r="2353" spans="1:19" hidden="1" x14ac:dyDescent="0.3">
      <c r="A2353">
        <v>457</v>
      </c>
      <c r="B2353" t="s">
        <v>1297</v>
      </c>
      <c r="C2353" t="s">
        <v>149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100</v>
      </c>
      <c r="K2353">
        <v>83.33</v>
      </c>
      <c r="L2353" s="39">
        <f t="shared" si="149"/>
        <v>0.83329999999999993</v>
      </c>
      <c r="M2353" s="39">
        <f t="shared" si="150"/>
        <v>0.83329999999999993</v>
      </c>
      <c r="N2353" t="s">
        <v>25</v>
      </c>
      <c r="O2353" t="s">
        <v>25</v>
      </c>
      <c r="P2353">
        <v>0</v>
      </c>
      <c r="Q2353">
        <v>0</v>
      </c>
      <c r="R2353" t="s">
        <v>3084</v>
      </c>
    </row>
    <row r="2354" spans="1:19" hidden="1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45930</v>
      </c>
      <c r="G2354">
        <v>2025</v>
      </c>
      <c r="H2354" t="s">
        <v>162</v>
      </c>
      <c r="I2354" t="s">
        <v>32</v>
      </c>
      <c r="J2354">
        <v>100</v>
      </c>
      <c r="K2354">
        <v>85.71</v>
      </c>
      <c r="L2354" s="39">
        <f t="shared" si="149"/>
        <v>0.85709999999999997</v>
      </c>
      <c r="M2354" s="39">
        <f t="shared" si="150"/>
        <v>0.85709999999999997</v>
      </c>
      <c r="N2354" t="s">
        <v>25</v>
      </c>
      <c r="O2354" t="s">
        <v>25</v>
      </c>
      <c r="P2354">
        <v>0</v>
      </c>
      <c r="Q2354">
        <v>0</v>
      </c>
      <c r="R2354" t="s">
        <v>3085</v>
      </c>
    </row>
    <row r="2355" spans="1:19" hidden="1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46022</v>
      </c>
      <c r="G2355">
        <v>2025</v>
      </c>
      <c r="H2355" t="s">
        <v>23</v>
      </c>
      <c r="I2355" t="s">
        <v>32</v>
      </c>
      <c r="J2355">
        <v>100</v>
      </c>
      <c r="K2355">
        <v>83.33</v>
      </c>
      <c r="L2355" s="39">
        <f t="shared" si="149"/>
        <v>0.83329999999999993</v>
      </c>
      <c r="M2355" s="39">
        <f t="shared" si="150"/>
        <v>0.83329999999999993</v>
      </c>
      <c r="N2355" t="s">
        <v>25</v>
      </c>
      <c r="O2355" t="s">
        <v>25</v>
      </c>
      <c r="P2355">
        <v>0</v>
      </c>
      <c r="Q2355">
        <v>0</v>
      </c>
      <c r="R2355" t="s">
        <v>1299</v>
      </c>
    </row>
    <row r="2356" spans="1:19" hidden="1" x14ac:dyDescent="0.3">
      <c r="A2356">
        <v>459</v>
      </c>
      <c r="B2356" t="s">
        <v>1300</v>
      </c>
      <c r="C2356" t="s">
        <v>1078</v>
      </c>
      <c r="D2356" t="s">
        <v>21</v>
      </c>
      <c r="E2356" t="s">
        <v>22</v>
      </c>
      <c r="F2356" s="79">
        <v>45473</v>
      </c>
      <c r="G2356">
        <v>2024</v>
      </c>
      <c r="H2356" t="s">
        <v>699</v>
      </c>
      <c r="I2356" t="s">
        <v>729</v>
      </c>
      <c r="J2356">
        <v>100</v>
      </c>
      <c r="K2356">
        <v>130.43</v>
      </c>
      <c r="L2356" s="39">
        <f t="shared" si="149"/>
        <v>1.3</v>
      </c>
      <c r="M2356" s="39">
        <f t="shared" si="150"/>
        <v>1.3043</v>
      </c>
      <c r="P2356">
        <v>0</v>
      </c>
      <c r="Q2356">
        <v>0</v>
      </c>
      <c r="R2356" t="s">
        <v>3086</v>
      </c>
    </row>
    <row r="2357" spans="1:19" hidden="1" x14ac:dyDescent="0.3">
      <c r="A2357">
        <v>459</v>
      </c>
      <c r="B2357" t="s">
        <v>1300</v>
      </c>
      <c r="C2357" t="s">
        <v>1078</v>
      </c>
      <c r="D2357" t="s">
        <v>21</v>
      </c>
      <c r="E2357" t="s">
        <v>22</v>
      </c>
      <c r="F2357" s="79">
        <v>45565</v>
      </c>
      <c r="G2357">
        <v>2024</v>
      </c>
      <c r="H2357" t="s">
        <v>162</v>
      </c>
      <c r="I2357" t="s">
        <v>30</v>
      </c>
      <c r="J2357">
        <v>100</v>
      </c>
      <c r="K2357">
        <v>147.83000000000001</v>
      </c>
      <c r="L2357" s="39">
        <f t="shared" si="149"/>
        <v>1.3</v>
      </c>
      <c r="M2357" s="39">
        <f t="shared" si="150"/>
        <v>1.4783000000000002</v>
      </c>
      <c r="P2357">
        <v>0</v>
      </c>
      <c r="Q2357">
        <v>0</v>
      </c>
      <c r="R2357" t="s">
        <v>3087</v>
      </c>
    </row>
    <row r="2358" spans="1:19" hidden="1" x14ac:dyDescent="0.3">
      <c r="A2358">
        <v>460</v>
      </c>
      <c r="B2358" t="s">
        <v>1302</v>
      </c>
      <c r="C2358" t="s">
        <v>40</v>
      </c>
      <c r="D2358" t="s">
        <v>71</v>
      </c>
      <c r="E2358" t="s">
        <v>22</v>
      </c>
      <c r="F2358" s="79">
        <v>45657</v>
      </c>
      <c r="G2358">
        <v>2024</v>
      </c>
      <c r="H2358" t="s">
        <v>23</v>
      </c>
      <c r="I2358" t="s">
        <v>30</v>
      </c>
      <c r="J2358">
        <v>80</v>
      </c>
      <c r="K2358">
        <v>91.439688715953324</v>
      </c>
      <c r="L2358" s="39">
        <f t="shared" si="149"/>
        <v>1.1429961089494165</v>
      </c>
      <c r="M2358" s="39">
        <f t="shared" si="150"/>
        <v>1.1429961089494165</v>
      </c>
      <c r="P2358">
        <v>0</v>
      </c>
      <c r="Q2358">
        <v>0</v>
      </c>
      <c r="R2358" t="s">
        <v>1303</v>
      </c>
    </row>
    <row r="2359" spans="1:19" hidden="1" x14ac:dyDescent="0.3">
      <c r="A2359">
        <v>460</v>
      </c>
      <c r="B2359" t="s">
        <v>1302</v>
      </c>
      <c r="C2359" t="s">
        <v>40</v>
      </c>
      <c r="D2359" t="s">
        <v>71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80</v>
      </c>
      <c r="K2359">
        <v>84.18</v>
      </c>
      <c r="L2359" s="39">
        <f t="shared" si="149"/>
        <v>1.0522500000000001</v>
      </c>
      <c r="M2359" s="39">
        <f t="shared" si="150"/>
        <v>1.0522500000000001</v>
      </c>
      <c r="N2359" t="s">
        <v>25</v>
      </c>
      <c r="O2359" t="s">
        <v>25</v>
      </c>
      <c r="P2359">
        <v>0</v>
      </c>
      <c r="Q2359">
        <v>1</v>
      </c>
      <c r="R2359" t="s">
        <v>1305</v>
      </c>
    </row>
    <row r="2360" spans="1:19" hidden="1" x14ac:dyDescent="0.3">
      <c r="A2360">
        <v>462</v>
      </c>
      <c r="B2360" t="s">
        <v>1306</v>
      </c>
      <c r="C2360" t="s">
        <v>308</v>
      </c>
      <c r="D2360" t="s">
        <v>27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85</v>
      </c>
      <c r="K2360">
        <v>100</v>
      </c>
      <c r="L2360" s="39">
        <f t="shared" si="149"/>
        <v>1.1764705882352942</v>
      </c>
      <c r="M2360" s="39">
        <f t="shared" si="150"/>
        <v>1.1764705882352942</v>
      </c>
      <c r="P2360">
        <v>0</v>
      </c>
      <c r="Q2360">
        <v>0</v>
      </c>
      <c r="R2360" t="s">
        <v>3088</v>
      </c>
    </row>
    <row r="2361" spans="1:19" hidden="1" x14ac:dyDescent="0.3">
      <c r="A2361">
        <v>462</v>
      </c>
      <c r="B2361" t="s">
        <v>1306</v>
      </c>
      <c r="C2361" t="s">
        <v>308</v>
      </c>
      <c r="D2361" t="s">
        <v>27</v>
      </c>
      <c r="E2361" t="s">
        <v>22</v>
      </c>
      <c r="F2361" s="79">
        <v>45657</v>
      </c>
      <c r="G2361">
        <v>2024</v>
      </c>
      <c r="H2361" t="s">
        <v>23</v>
      </c>
      <c r="I2361" t="s">
        <v>30</v>
      </c>
      <c r="J2361">
        <v>85</v>
      </c>
      <c r="K2361">
        <v>100</v>
      </c>
      <c r="L2361" s="39">
        <f t="shared" si="149"/>
        <v>1.1764705882352942</v>
      </c>
      <c r="M2361" s="39">
        <f t="shared" si="150"/>
        <v>1.1764705882352942</v>
      </c>
      <c r="P2361">
        <v>0</v>
      </c>
      <c r="Q2361">
        <v>0</v>
      </c>
      <c r="R2361" t="s">
        <v>1307</v>
      </c>
    </row>
    <row r="2362" spans="1:19" hidden="1" x14ac:dyDescent="0.3">
      <c r="A2362">
        <v>463</v>
      </c>
      <c r="B2362" t="s">
        <v>1308</v>
      </c>
      <c r="C2362" t="s">
        <v>40</v>
      </c>
      <c r="D2362" t="s">
        <v>27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95</v>
      </c>
      <c r="L2362" s="39">
        <f t="shared" si="149"/>
        <v>0.95</v>
      </c>
      <c r="M2362" s="39">
        <f t="shared" si="150"/>
        <v>0.95</v>
      </c>
      <c r="N2362" t="s">
        <v>25</v>
      </c>
      <c r="O2362" t="s">
        <v>25</v>
      </c>
      <c r="P2362">
        <v>0</v>
      </c>
      <c r="Q2362">
        <v>0</v>
      </c>
      <c r="R2362" t="s">
        <v>3089</v>
      </c>
    </row>
    <row r="2363" spans="1:19" hidden="1" x14ac:dyDescent="0.3">
      <c r="A2363">
        <v>463</v>
      </c>
      <c r="B2363" t="s">
        <v>1308</v>
      </c>
      <c r="C2363" t="s">
        <v>40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100</v>
      </c>
      <c r="L2363" s="39">
        <f t="shared" si="149"/>
        <v>1</v>
      </c>
      <c r="M2363" s="39">
        <f t="shared" si="150"/>
        <v>1</v>
      </c>
      <c r="N2363" t="s">
        <v>25</v>
      </c>
      <c r="O2363" t="s">
        <v>25</v>
      </c>
      <c r="P2363">
        <v>0</v>
      </c>
      <c r="Q2363">
        <v>0</v>
      </c>
      <c r="R2363" t="s">
        <v>1309</v>
      </c>
    </row>
    <row r="2364" spans="1:19" hidden="1" x14ac:dyDescent="0.3">
      <c r="A2364">
        <v>465</v>
      </c>
      <c r="B2364" t="s">
        <v>1310</v>
      </c>
      <c r="C2364" t="s">
        <v>922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75</v>
      </c>
      <c r="K2364">
        <v>57.86</v>
      </c>
      <c r="L2364" s="39">
        <f t="shared" si="149"/>
        <v>0.77146666666666663</v>
      </c>
      <c r="M2364" s="39">
        <f t="shared" si="150"/>
        <v>0.77146666666666663</v>
      </c>
      <c r="N2364" t="s">
        <v>25</v>
      </c>
      <c r="O2364" t="s">
        <v>25</v>
      </c>
      <c r="P2364">
        <v>0</v>
      </c>
      <c r="Q2364">
        <v>0</v>
      </c>
      <c r="R2364" t="s">
        <v>3090</v>
      </c>
    </row>
    <row r="2365" spans="1:19" hidden="1" x14ac:dyDescent="0.3">
      <c r="A2365">
        <v>465</v>
      </c>
      <c r="B2365" t="s">
        <v>1310</v>
      </c>
      <c r="C2365" t="s">
        <v>922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100</v>
      </c>
      <c r="K2365">
        <v>56.83</v>
      </c>
      <c r="L2365" s="39">
        <f t="shared" si="149"/>
        <v>0.56830000000000003</v>
      </c>
      <c r="M2365" s="39">
        <f t="shared" si="150"/>
        <v>0.56830000000000003</v>
      </c>
      <c r="P2365">
        <v>0</v>
      </c>
      <c r="Q2365">
        <v>0</v>
      </c>
      <c r="R2365" t="s">
        <v>1311</v>
      </c>
    </row>
    <row r="2366" spans="1:19" hidden="1" x14ac:dyDescent="0.3">
      <c r="A2366">
        <v>466</v>
      </c>
      <c r="B2366" t="s">
        <v>1312</v>
      </c>
      <c r="C2366" t="s">
        <v>653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50</v>
      </c>
      <c r="K2366">
        <v>59</v>
      </c>
      <c r="L2366" s="39">
        <f t="shared" si="149"/>
        <v>1.18</v>
      </c>
      <c r="M2366" s="39">
        <f t="shared" si="150"/>
        <v>1.18</v>
      </c>
      <c r="N2366" t="s">
        <v>128</v>
      </c>
      <c r="O2366" t="s">
        <v>128</v>
      </c>
      <c r="P2366">
        <v>0</v>
      </c>
      <c r="Q2366">
        <v>1</v>
      </c>
      <c r="R2366" t="s">
        <v>3091</v>
      </c>
    </row>
    <row r="2367" spans="1:19" hidden="1" x14ac:dyDescent="0.3">
      <c r="A2367">
        <v>466</v>
      </c>
      <c r="B2367" t="s">
        <v>1312</v>
      </c>
      <c r="C2367" t="s">
        <v>653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50</v>
      </c>
      <c r="K2367">
        <v>53.8</v>
      </c>
      <c r="L2367" s="39">
        <f t="shared" ref="L2367:L2377" si="151">IFERROR(IF(OR(J2367=0,K2367=""),"",IF(E2367="Positivo",MIN(MAX(K2367/J2367,0),1.3),MIN(MAX(J2367/K2367,0),1.3))),"")</f>
        <v>1.0759999999999998</v>
      </c>
      <c r="M2367" s="39">
        <f t="shared" ref="M2367:M2398" si="152">IFERROR(IF(OR(J2367=0,K2367=""),"",IF(E2367="Positivo",MAX(K2367/J2367,0),MAX(J2367/K2367,0))),"")</f>
        <v>1.0759999999999998</v>
      </c>
      <c r="N2367" t="s">
        <v>128</v>
      </c>
      <c r="O2367" t="s">
        <v>136</v>
      </c>
      <c r="P2367">
        <v>0</v>
      </c>
      <c r="Q2367">
        <v>1</v>
      </c>
      <c r="R2367" t="s">
        <v>1313</v>
      </c>
    </row>
    <row r="2368" spans="1:19" hidden="1" x14ac:dyDescent="0.3">
      <c r="A2368">
        <v>466</v>
      </c>
      <c r="B2368" t="s">
        <v>1312</v>
      </c>
      <c r="C2368" t="s">
        <v>653</v>
      </c>
      <c r="D2368" t="s">
        <v>27</v>
      </c>
      <c r="E2368" t="s">
        <v>22</v>
      </c>
      <c r="F2368" s="79">
        <v>45838</v>
      </c>
      <c r="G2368">
        <v>2025</v>
      </c>
      <c r="H2368" t="s">
        <v>699</v>
      </c>
      <c r="I2368" t="s">
        <v>700</v>
      </c>
      <c r="L2368" s="39" t="str">
        <f t="shared" si="151"/>
        <v/>
      </c>
      <c r="M2368" s="39" t="str">
        <f t="shared" si="152"/>
        <v/>
      </c>
      <c r="N2368" t="s">
        <v>128</v>
      </c>
      <c r="O2368" t="s">
        <v>128</v>
      </c>
      <c r="P2368">
        <v>0</v>
      </c>
      <c r="Q2368">
        <v>0</v>
      </c>
      <c r="R2368" t="s">
        <v>3092</v>
      </c>
      <c r="S2368" t="s">
        <v>302</v>
      </c>
    </row>
    <row r="2369" spans="1:18" hidden="1" x14ac:dyDescent="0.3">
      <c r="A2369">
        <v>466</v>
      </c>
      <c r="B2369" t="s">
        <v>1312</v>
      </c>
      <c r="C2369" t="s">
        <v>653</v>
      </c>
      <c r="D2369" t="s">
        <v>21</v>
      </c>
      <c r="E2369" t="s">
        <v>22</v>
      </c>
      <c r="F2369" s="79">
        <v>46022</v>
      </c>
      <c r="G2369">
        <v>2025</v>
      </c>
      <c r="H2369" t="s">
        <v>23</v>
      </c>
      <c r="I2369" t="s">
        <v>32</v>
      </c>
      <c r="J2369">
        <v>55</v>
      </c>
      <c r="K2369">
        <v>58.6</v>
      </c>
      <c r="L2369" s="39">
        <f t="shared" si="151"/>
        <v>1.0654545454545454</v>
      </c>
      <c r="M2369" s="39">
        <f t="shared" si="152"/>
        <v>1.0654545454545454</v>
      </c>
      <c r="N2369" t="s">
        <v>128</v>
      </c>
      <c r="O2369" t="s">
        <v>136</v>
      </c>
      <c r="P2369">
        <v>1</v>
      </c>
      <c r="Q2369">
        <v>1</v>
      </c>
      <c r="R2369" t="s">
        <v>1314</v>
      </c>
    </row>
    <row r="2370" spans="1:18" hidden="1" x14ac:dyDescent="0.3">
      <c r="A2370">
        <v>467</v>
      </c>
      <c r="B2370" t="s">
        <v>1315</v>
      </c>
      <c r="C2370" t="s">
        <v>653</v>
      </c>
      <c r="D2370" t="s">
        <v>27</v>
      </c>
      <c r="E2370" t="s">
        <v>22</v>
      </c>
      <c r="F2370" s="79">
        <v>45473</v>
      </c>
      <c r="G2370">
        <v>2024</v>
      </c>
      <c r="H2370" t="s">
        <v>699</v>
      </c>
      <c r="I2370" t="s">
        <v>729</v>
      </c>
      <c r="J2370">
        <v>100</v>
      </c>
      <c r="K2370">
        <v>121.25</v>
      </c>
      <c r="L2370" s="39">
        <f t="shared" si="151"/>
        <v>1.2124999999999999</v>
      </c>
      <c r="M2370" s="39">
        <f t="shared" si="152"/>
        <v>1.2124999999999999</v>
      </c>
      <c r="N2370" t="s">
        <v>128</v>
      </c>
      <c r="O2370" t="s">
        <v>136</v>
      </c>
      <c r="P2370">
        <v>0</v>
      </c>
      <c r="Q2370">
        <v>1</v>
      </c>
      <c r="R2370" t="s">
        <v>3093</v>
      </c>
    </row>
    <row r="2371" spans="1:18" hidden="1" x14ac:dyDescent="0.3">
      <c r="A2371">
        <v>467</v>
      </c>
      <c r="B2371" t="s">
        <v>1315</v>
      </c>
      <c r="C2371" t="s">
        <v>653</v>
      </c>
      <c r="D2371" t="s">
        <v>27</v>
      </c>
      <c r="E2371" t="s">
        <v>22</v>
      </c>
      <c r="F2371" s="79">
        <v>45657</v>
      </c>
      <c r="G2371">
        <v>2024</v>
      </c>
      <c r="H2371" t="s">
        <v>23</v>
      </c>
      <c r="I2371" t="s">
        <v>30</v>
      </c>
      <c r="J2371">
        <v>100</v>
      </c>
      <c r="K2371">
        <v>121.83</v>
      </c>
      <c r="L2371" s="39">
        <f t="shared" si="151"/>
        <v>1.2182999999999999</v>
      </c>
      <c r="M2371" s="39">
        <f t="shared" si="152"/>
        <v>1.2182999999999999</v>
      </c>
      <c r="N2371" t="s">
        <v>128</v>
      </c>
      <c r="O2371" t="s">
        <v>136</v>
      </c>
      <c r="P2371">
        <v>0</v>
      </c>
      <c r="Q2371">
        <v>1</v>
      </c>
      <c r="R2371" t="s">
        <v>1316</v>
      </c>
    </row>
    <row r="2372" spans="1:18" hidden="1" x14ac:dyDescent="0.3">
      <c r="A2372">
        <v>467</v>
      </c>
      <c r="B2372" t="s">
        <v>1315</v>
      </c>
      <c r="C2372" t="s">
        <v>653</v>
      </c>
      <c r="D2372" t="s">
        <v>27</v>
      </c>
      <c r="E2372" t="s">
        <v>22</v>
      </c>
      <c r="F2372" s="79">
        <v>45838</v>
      </c>
      <c r="G2372">
        <v>2025</v>
      </c>
      <c r="H2372" t="s">
        <v>699</v>
      </c>
      <c r="I2372" t="s">
        <v>700</v>
      </c>
      <c r="J2372">
        <v>100</v>
      </c>
      <c r="K2372">
        <v>118</v>
      </c>
      <c r="L2372" s="39">
        <f t="shared" si="151"/>
        <v>1.18</v>
      </c>
      <c r="M2372" s="39">
        <f t="shared" si="152"/>
        <v>1.18</v>
      </c>
      <c r="N2372" t="s">
        <v>128</v>
      </c>
      <c r="O2372" t="s">
        <v>136</v>
      </c>
      <c r="P2372">
        <v>0</v>
      </c>
      <c r="Q2372">
        <v>1</v>
      </c>
      <c r="R2372" t="s">
        <v>3094</v>
      </c>
    </row>
    <row r="2373" spans="1:18" hidden="1" x14ac:dyDescent="0.3">
      <c r="A2373">
        <v>467</v>
      </c>
      <c r="B2373" t="s">
        <v>1315</v>
      </c>
      <c r="C2373" t="s">
        <v>653</v>
      </c>
      <c r="D2373" t="s">
        <v>21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99.5</v>
      </c>
      <c r="L2373" s="39">
        <f t="shared" si="151"/>
        <v>0.995</v>
      </c>
      <c r="M2373" s="39">
        <f t="shared" si="152"/>
        <v>0.995</v>
      </c>
      <c r="N2373" t="s">
        <v>128</v>
      </c>
      <c r="O2373" t="s">
        <v>136</v>
      </c>
      <c r="P2373">
        <v>0</v>
      </c>
      <c r="Q2373">
        <v>1</v>
      </c>
      <c r="R2373" t="s">
        <v>1317</v>
      </c>
    </row>
    <row r="2374" spans="1:18" hidden="1" x14ac:dyDescent="0.3">
      <c r="A2374">
        <v>468</v>
      </c>
      <c r="B2374" t="s">
        <v>1318</v>
      </c>
      <c r="C2374" t="s">
        <v>653</v>
      </c>
      <c r="D2374" t="s">
        <v>27</v>
      </c>
      <c r="E2374" t="s">
        <v>41</v>
      </c>
      <c r="F2374" s="79">
        <v>45473</v>
      </c>
      <c r="G2374">
        <v>2024</v>
      </c>
      <c r="H2374" t="s">
        <v>699</v>
      </c>
      <c r="I2374" t="s">
        <v>729</v>
      </c>
      <c r="J2374">
        <v>3</v>
      </c>
      <c r="K2374">
        <v>2.85</v>
      </c>
      <c r="L2374" s="39">
        <f t="shared" si="151"/>
        <v>1.0526315789473684</v>
      </c>
      <c r="M2374" s="39">
        <f t="shared" si="152"/>
        <v>1.0526315789473684</v>
      </c>
      <c r="N2374" t="s">
        <v>128</v>
      </c>
      <c r="O2374" t="s">
        <v>136</v>
      </c>
      <c r="P2374">
        <v>0</v>
      </c>
      <c r="Q2374">
        <v>1</v>
      </c>
      <c r="R2374" t="s">
        <v>3095</v>
      </c>
    </row>
    <row r="2375" spans="1:18" hidden="1" x14ac:dyDescent="0.3">
      <c r="A2375">
        <v>468</v>
      </c>
      <c r="B2375" t="s">
        <v>1318</v>
      </c>
      <c r="C2375" t="s">
        <v>653</v>
      </c>
      <c r="D2375" t="s">
        <v>27</v>
      </c>
      <c r="E2375" t="s">
        <v>41</v>
      </c>
      <c r="F2375" s="79">
        <v>45657</v>
      </c>
      <c r="G2375">
        <v>2024</v>
      </c>
      <c r="H2375" t="s">
        <v>23</v>
      </c>
      <c r="I2375" t="s">
        <v>30</v>
      </c>
      <c r="J2375">
        <v>3</v>
      </c>
      <c r="K2375">
        <v>2.6</v>
      </c>
      <c r="L2375" s="39">
        <f t="shared" si="151"/>
        <v>1.1538461538461537</v>
      </c>
      <c r="M2375" s="39">
        <f t="shared" si="152"/>
        <v>1.1538461538461537</v>
      </c>
      <c r="N2375" t="s">
        <v>128</v>
      </c>
      <c r="O2375" t="s">
        <v>136</v>
      </c>
      <c r="P2375">
        <v>0</v>
      </c>
      <c r="Q2375">
        <v>1</v>
      </c>
      <c r="R2375" t="s">
        <v>1319</v>
      </c>
    </row>
    <row r="2376" spans="1:18" hidden="1" x14ac:dyDescent="0.3">
      <c r="A2376">
        <v>468</v>
      </c>
      <c r="B2376" t="s">
        <v>1318</v>
      </c>
      <c r="C2376" t="s">
        <v>653</v>
      </c>
      <c r="D2376" t="s">
        <v>27</v>
      </c>
      <c r="E2376" t="s">
        <v>41</v>
      </c>
      <c r="F2376" s="79">
        <v>45838</v>
      </c>
      <c r="G2376">
        <v>2025</v>
      </c>
      <c r="H2376" t="s">
        <v>699</v>
      </c>
      <c r="I2376" t="s">
        <v>700</v>
      </c>
      <c r="J2376">
        <v>2.5</v>
      </c>
      <c r="K2376">
        <v>2.4</v>
      </c>
      <c r="L2376" s="39">
        <f t="shared" si="151"/>
        <v>1.0416666666666667</v>
      </c>
      <c r="M2376" s="39">
        <f t="shared" si="152"/>
        <v>1.0416666666666667</v>
      </c>
      <c r="N2376" t="s">
        <v>136</v>
      </c>
      <c r="O2376" t="s">
        <v>136</v>
      </c>
      <c r="P2376">
        <v>1</v>
      </c>
      <c r="Q2376">
        <v>1</v>
      </c>
      <c r="R2376" t="s">
        <v>3096</v>
      </c>
    </row>
    <row r="2377" spans="1:18" hidden="1" x14ac:dyDescent="0.3">
      <c r="A2377">
        <v>468</v>
      </c>
      <c r="B2377" t="s">
        <v>1318</v>
      </c>
      <c r="C2377" t="s">
        <v>653</v>
      </c>
      <c r="D2377" t="s">
        <v>21</v>
      </c>
      <c r="E2377" t="s">
        <v>41</v>
      </c>
      <c r="F2377" s="79">
        <v>46022</v>
      </c>
      <c r="G2377">
        <v>2025</v>
      </c>
      <c r="H2377" t="s">
        <v>23</v>
      </c>
      <c r="I2377" t="s">
        <v>32</v>
      </c>
      <c r="J2377">
        <v>2.5</v>
      </c>
      <c r="K2377">
        <v>2.1</v>
      </c>
      <c r="L2377" s="39">
        <f t="shared" si="151"/>
        <v>1.1904761904761905</v>
      </c>
      <c r="M2377" s="39">
        <f t="shared" si="152"/>
        <v>1.1904761904761905</v>
      </c>
      <c r="N2377" t="s">
        <v>136</v>
      </c>
      <c r="O2377" t="s">
        <v>136</v>
      </c>
      <c r="P2377">
        <v>1</v>
      </c>
      <c r="Q2377">
        <v>1</v>
      </c>
      <c r="R2377" t="s">
        <v>1320</v>
      </c>
    </row>
    <row r="2378" spans="1:18" hidden="1" x14ac:dyDescent="0.3">
      <c r="A2378">
        <v>469</v>
      </c>
      <c r="B2378" t="s">
        <v>1176</v>
      </c>
      <c r="C2378" t="s">
        <v>567</v>
      </c>
      <c r="D2378" t="s">
        <v>21</v>
      </c>
      <c r="E2378" t="s">
        <v>22</v>
      </c>
      <c r="F2378" s="79">
        <v>45382</v>
      </c>
      <c r="G2378">
        <v>2024</v>
      </c>
      <c r="H2378" t="s">
        <v>1516</v>
      </c>
      <c r="I2378" t="s">
        <v>729</v>
      </c>
      <c r="J2378">
        <v>100</v>
      </c>
      <c r="K2378">
        <v>195.07</v>
      </c>
      <c r="L2378" s="39">
        <f t="shared" ref="L2378:L2401" si="153">IFERROR(IF(OR(J2378=0,K2378=""),"",IF(E2378="Positivo",MIN(MAX(K2378/J2378,0),1),MIN(MAX(J2378/K2378,0),1))),"")</f>
        <v>1</v>
      </c>
      <c r="M2378" s="39">
        <f t="shared" si="152"/>
        <v>1.9506999999999999</v>
      </c>
      <c r="N2378" t="s">
        <v>25</v>
      </c>
      <c r="O2378" t="s">
        <v>25</v>
      </c>
      <c r="P2378">
        <v>1</v>
      </c>
      <c r="Q2378">
        <v>1</v>
      </c>
      <c r="R2378" t="s">
        <v>3097</v>
      </c>
    </row>
    <row r="2379" spans="1:18" hidden="1" x14ac:dyDescent="0.3">
      <c r="A2379">
        <v>469</v>
      </c>
      <c r="B2379" t="s">
        <v>1176</v>
      </c>
      <c r="C2379" t="s">
        <v>3098</v>
      </c>
      <c r="D2379" t="s">
        <v>21</v>
      </c>
      <c r="E2379" t="s">
        <v>22</v>
      </c>
      <c r="F2379" s="79">
        <v>45473</v>
      </c>
      <c r="G2379">
        <v>2024</v>
      </c>
      <c r="H2379" t="s">
        <v>699</v>
      </c>
      <c r="I2379" t="s">
        <v>729</v>
      </c>
      <c r="J2379">
        <v>100</v>
      </c>
      <c r="K2379">
        <v>114.33</v>
      </c>
      <c r="L2379" s="39">
        <f t="shared" si="153"/>
        <v>1</v>
      </c>
      <c r="M2379" s="39">
        <f t="shared" si="152"/>
        <v>1.1433</v>
      </c>
      <c r="N2379" t="s">
        <v>25</v>
      </c>
      <c r="O2379" t="s">
        <v>25</v>
      </c>
      <c r="P2379">
        <v>0</v>
      </c>
      <c r="Q2379">
        <v>0</v>
      </c>
      <c r="R2379" t="s">
        <v>3099</v>
      </c>
    </row>
    <row r="2380" spans="1:18" hidden="1" x14ac:dyDescent="0.3">
      <c r="A2380">
        <v>469</v>
      </c>
      <c r="B2380" t="s">
        <v>1176</v>
      </c>
      <c r="C2380" t="s">
        <v>567</v>
      </c>
      <c r="D2380" t="s">
        <v>21</v>
      </c>
      <c r="E2380" t="s">
        <v>22</v>
      </c>
      <c r="F2380" s="79">
        <v>45565</v>
      </c>
      <c r="G2380">
        <v>2024</v>
      </c>
      <c r="H2380" t="s">
        <v>162</v>
      </c>
      <c r="I2380" t="s">
        <v>30</v>
      </c>
      <c r="J2380">
        <v>100</v>
      </c>
      <c r="K2380">
        <v>94.86</v>
      </c>
      <c r="L2380" s="39">
        <f t="shared" si="153"/>
        <v>0.9486</v>
      </c>
      <c r="M2380" s="39">
        <f t="shared" si="152"/>
        <v>0.9486</v>
      </c>
      <c r="N2380" t="s">
        <v>25</v>
      </c>
      <c r="O2380" t="s">
        <v>25</v>
      </c>
      <c r="P2380">
        <v>0</v>
      </c>
      <c r="Q2380">
        <v>0</v>
      </c>
      <c r="R2380" t="s">
        <v>3100</v>
      </c>
    </row>
    <row r="2381" spans="1:18" hidden="1" x14ac:dyDescent="0.3">
      <c r="A2381">
        <v>469</v>
      </c>
      <c r="B2381" t="s">
        <v>1176</v>
      </c>
      <c r="C2381" t="s">
        <v>567</v>
      </c>
      <c r="D2381" t="s">
        <v>21</v>
      </c>
      <c r="E2381" t="s">
        <v>22</v>
      </c>
      <c r="F2381" s="79">
        <v>45657</v>
      </c>
      <c r="G2381">
        <v>2024</v>
      </c>
      <c r="H2381" t="s">
        <v>23</v>
      </c>
      <c r="I2381" t="s">
        <v>30</v>
      </c>
      <c r="J2381">
        <v>100</v>
      </c>
      <c r="K2381">
        <v>99.7</v>
      </c>
      <c r="L2381" s="39">
        <f t="shared" si="153"/>
        <v>0.997</v>
      </c>
      <c r="M2381" s="39">
        <f t="shared" si="152"/>
        <v>0.997</v>
      </c>
      <c r="N2381" t="s">
        <v>25</v>
      </c>
      <c r="O2381" t="s">
        <v>25</v>
      </c>
      <c r="P2381">
        <v>0</v>
      </c>
      <c r="Q2381">
        <v>0</v>
      </c>
      <c r="R2381" t="s">
        <v>1321</v>
      </c>
    </row>
    <row r="2382" spans="1:18" hidden="1" x14ac:dyDescent="0.3">
      <c r="A2382">
        <v>469</v>
      </c>
      <c r="B2382" t="s">
        <v>1176</v>
      </c>
      <c r="C2382" t="s">
        <v>567</v>
      </c>
      <c r="D2382" t="s">
        <v>27</v>
      </c>
      <c r="E2382" t="s">
        <v>22</v>
      </c>
      <c r="F2382" s="79">
        <v>45747</v>
      </c>
      <c r="G2382">
        <v>2025</v>
      </c>
      <c r="H2382" t="s">
        <v>1516</v>
      </c>
      <c r="I2382" t="s">
        <v>700</v>
      </c>
      <c r="J2382">
        <v>100</v>
      </c>
      <c r="K2382">
        <v>118.03</v>
      </c>
      <c r="L2382" s="39">
        <f t="shared" si="153"/>
        <v>1</v>
      </c>
      <c r="M2382" s="39">
        <f t="shared" si="152"/>
        <v>1.1802999999999999</v>
      </c>
      <c r="N2382" t="s">
        <v>25</v>
      </c>
      <c r="O2382" t="s">
        <v>25</v>
      </c>
      <c r="P2382">
        <v>0</v>
      </c>
      <c r="Q2382">
        <v>0</v>
      </c>
      <c r="R2382" t="s">
        <v>3101</v>
      </c>
    </row>
    <row r="2383" spans="1:18" hidden="1" x14ac:dyDescent="0.3">
      <c r="A2383">
        <v>469</v>
      </c>
      <c r="B2383" t="s">
        <v>1176</v>
      </c>
      <c r="C2383" t="s">
        <v>567</v>
      </c>
      <c r="D2383" t="s">
        <v>27</v>
      </c>
      <c r="E2383" t="s">
        <v>22</v>
      </c>
      <c r="F2383" s="79">
        <v>45838</v>
      </c>
      <c r="G2383">
        <v>2025</v>
      </c>
      <c r="H2383" t="s">
        <v>699</v>
      </c>
      <c r="I2383" t="s">
        <v>700</v>
      </c>
      <c r="J2383">
        <v>100</v>
      </c>
      <c r="K2383">
        <v>103.52</v>
      </c>
      <c r="L2383" s="39">
        <f t="shared" si="153"/>
        <v>1</v>
      </c>
      <c r="M2383" s="39">
        <f t="shared" si="152"/>
        <v>1.0351999999999999</v>
      </c>
      <c r="N2383" t="s">
        <v>25</v>
      </c>
      <c r="O2383" t="s">
        <v>25</v>
      </c>
      <c r="P2383">
        <v>0</v>
      </c>
      <c r="Q2383">
        <v>0</v>
      </c>
      <c r="R2383" t="s">
        <v>3102</v>
      </c>
    </row>
    <row r="2384" spans="1:18" hidden="1" x14ac:dyDescent="0.3">
      <c r="A2384">
        <v>469</v>
      </c>
      <c r="B2384" t="s">
        <v>1176</v>
      </c>
      <c r="C2384" t="s">
        <v>567</v>
      </c>
      <c r="D2384" t="s">
        <v>27</v>
      </c>
      <c r="E2384" t="s">
        <v>22</v>
      </c>
      <c r="F2384" s="79">
        <v>45930</v>
      </c>
      <c r="G2384">
        <v>2025</v>
      </c>
      <c r="H2384" t="s">
        <v>162</v>
      </c>
      <c r="I2384" t="s">
        <v>32</v>
      </c>
      <c r="J2384">
        <v>100</v>
      </c>
      <c r="K2384">
        <v>92.65</v>
      </c>
      <c r="L2384" s="39">
        <f t="shared" si="153"/>
        <v>0.9265000000000001</v>
      </c>
      <c r="M2384" s="39">
        <f t="shared" si="152"/>
        <v>0.9265000000000001</v>
      </c>
      <c r="N2384" t="s">
        <v>25</v>
      </c>
      <c r="O2384" t="s">
        <v>25</v>
      </c>
      <c r="P2384">
        <v>0</v>
      </c>
      <c r="Q2384">
        <v>0</v>
      </c>
      <c r="R2384" t="s">
        <v>3103</v>
      </c>
    </row>
    <row r="2385" spans="1:18" hidden="1" x14ac:dyDescent="0.3">
      <c r="A2385">
        <v>469</v>
      </c>
      <c r="B2385" t="s">
        <v>1176</v>
      </c>
      <c r="C2385" t="s">
        <v>567</v>
      </c>
      <c r="D2385" t="s">
        <v>27</v>
      </c>
      <c r="E2385" t="s">
        <v>22</v>
      </c>
      <c r="F2385" s="79">
        <v>46022</v>
      </c>
      <c r="G2385">
        <v>2025</v>
      </c>
      <c r="H2385" t="s">
        <v>23</v>
      </c>
      <c r="I2385" t="s">
        <v>32</v>
      </c>
      <c r="J2385">
        <v>100</v>
      </c>
      <c r="K2385">
        <v>99.13</v>
      </c>
      <c r="L2385" s="39">
        <f t="shared" si="153"/>
        <v>0.99129999999999996</v>
      </c>
      <c r="M2385" s="39">
        <f t="shared" si="152"/>
        <v>0.99129999999999996</v>
      </c>
      <c r="N2385" t="s">
        <v>25</v>
      </c>
      <c r="O2385" t="s">
        <v>25</v>
      </c>
      <c r="P2385">
        <v>0</v>
      </c>
      <c r="Q2385">
        <v>0</v>
      </c>
      <c r="R2385" t="s">
        <v>1322</v>
      </c>
    </row>
    <row r="2386" spans="1:18" hidden="1" x14ac:dyDescent="0.3">
      <c r="A2386">
        <v>470</v>
      </c>
      <c r="B2386" t="s">
        <v>1323</v>
      </c>
      <c r="C2386" t="s">
        <v>567</v>
      </c>
      <c r="D2386" t="s">
        <v>21</v>
      </c>
      <c r="E2386" t="s">
        <v>22</v>
      </c>
      <c r="F2386" s="79">
        <v>45382</v>
      </c>
      <c r="G2386">
        <v>2024</v>
      </c>
      <c r="H2386" t="s">
        <v>1516</v>
      </c>
      <c r="I2386" t="s">
        <v>729</v>
      </c>
      <c r="J2386">
        <v>100</v>
      </c>
      <c r="K2386">
        <v>79.599999999999994</v>
      </c>
      <c r="L2386" s="39">
        <f t="shared" si="153"/>
        <v>0.79599999999999993</v>
      </c>
      <c r="M2386" s="39">
        <f t="shared" si="152"/>
        <v>0.79599999999999993</v>
      </c>
      <c r="N2386" t="s">
        <v>25</v>
      </c>
      <c r="O2386" t="s">
        <v>25</v>
      </c>
      <c r="P2386">
        <v>0</v>
      </c>
      <c r="Q2386">
        <v>0</v>
      </c>
      <c r="R2386" t="s">
        <v>3104</v>
      </c>
    </row>
    <row r="2387" spans="1:18" hidden="1" x14ac:dyDescent="0.3">
      <c r="A2387">
        <v>470</v>
      </c>
      <c r="B2387" t="s">
        <v>1323</v>
      </c>
      <c r="C2387" t="s">
        <v>567</v>
      </c>
      <c r="D2387" t="s">
        <v>21</v>
      </c>
      <c r="E2387" t="s">
        <v>22</v>
      </c>
      <c r="F2387" s="79">
        <v>45473</v>
      </c>
      <c r="G2387">
        <v>2024</v>
      </c>
      <c r="H2387" t="s">
        <v>699</v>
      </c>
      <c r="I2387" t="s">
        <v>729</v>
      </c>
      <c r="J2387">
        <v>100</v>
      </c>
      <c r="K2387">
        <v>118.1</v>
      </c>
      <c r="L2387" s="39">
        <f t="shared" si="153"/>
        <v>1</v>
      </c>
      <c r="M2387" s="39">
        <f t="shared" si="152"/>
        <v>1.181</v>
      </c>
      <c r="N2387" t="s">
        <v>25</v>
      </c>
      <c r="O2387" t="s">
        <v>25</v>
      </c>
      <c r="P2387">
        <v>0</v>
      </c>
      <c r="Q2387">
        <v>0</v>
      </c>
      <c r="R2387" t="s">
        <v>3105</v>
      </c>
    </row>
    <row r="2388" spans="1:18" hidden="1" x14ac:dyDescent="0.3">
      <c r="A2388">
        <v>470</v>
      </c>
      <c r="B2388" t="s">
        <v>1323</v>
      </c>
      <c r="C2388" t="s">
        <v>567</v>
      </c>
      <c r="D2388" t="s">
        <v>21</v>
      </c>
      <c r="E2388" t="s">
        <v>22</v>
      </c>
      <c r="F2388" s="79">
        <v>45565</v>
      </c>
      <c r="G2388">
        <v>2024</v>
      </c>
      <c r="H2388" t="s">
        <v>162</v>
      </c>
      <c r="I2388" t="s">
        <v>30</v>
      </c>
      <c r="J2388">
        <v>100</v>
      </c>
      <c r="K2388">
        <v>104.86</v>
      </c>
      <c r="L2388" s="39">
        <f t="shared" si="153"/>
        <v>1</v>
      </c>
      <c r="M2388" s="39">
        <f t="shared" si="152"/>
        <v>1.0486</v>
      </c>
      <c r="N2388" t="s">
        <v>25</v>
      </c>
      <c r="O2388" t="s">
        <v>25</v>
      </c>
      <c r="P2388">
        <v>0</v>
      </c>
      <c r="Q2388">
        <v>0</v>
      </c>
      <c r="R2388" t="s">
        <v>3106</v>
      </c>
    </row>
    <row r="2389" spans="1:18" hidden="1" x14ac:dyDescent="0.3">
      <c r="A2389">
        <v>470</v>
      </c>
      <c r="B2389" t="s">
        <v>1323</v>
      </c>
      <c r="C2389" t="s">
        <v>567</v>
      </c>
      <c r="D2389" t="s">
        <v>21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100</v>
      </c>
      <c r="L2389" s="39">
        <f t="shared" si="153"/>
        <v>1</v>
      </c>
      <c r="M2389" s="39">
        <f t="shared" si="152"/>
        <v>1</v>
      </c>
      <c r="N2389" t="s">
        <v>25</v>
      </c>
      <c r="O2389" t="s">
        <v>25</v>
      </c>
      <c r="P2389">
        <v>0</v>
      </c>
      <c r="Q2389">
        <v>0</v>
      </c>
      <c r="R2389" t="s">
        <v>1324</v>
      </c>
    </row>
    <row r="2390" spans="1:18" hidden="1" x14ac:dyDescent="0.3">
      <c r="A2390">
        <v>470</v>
      </c>
      <c r="B2390" t="s">
        <v>1323</v>
      </c>
      <c r="C2390" t="s">
        <v>567</v>
      </c>
      <c r="D2390" t="s">
        <v>27</v>
      </c>
      <c r="E2390" t="s">
        <v>22</v>
      </c>
      <c r="F2390" s="79">
        <v>45747</v>
      </c>
      <c r="G2390">
        <v>2025</v>
      </c>
      <c r="H2390" t="s">
        <v>1516</v>
      </c>
      <c r="I2390" t="s">
        <v>700</v>
      </c>
      <c r="J2390">
        <v>100</v>
      </c>
      <c r="K2390">
        <v>352.81</v>
      </c>
      <c r="L2390" s="39">
        <f t="shared" si="153"/>
        <v>1</v>
      </c>
      <c r="M2390" s="39">
        <f t="shared" si="152"/>
        <v>3.5281000000000002</v>
      </c>
      <c r="N2390" t="s">
        <v>25</v>
      </c>
      <c r="O2390" t="s">
        <v>25</v>
      </c>
      <c r="P2390">
        <v>0</v>
      </c>
      <c r="Q2390">
        <v>0</v>
      </c>
      <c r="R2390" t="s">
        <v>3107</v>
      </c>
    </row>
    <row r="2391" spans="1:18" hidden="1" x14ac:dyDescent="0.3">
      <c r="A2391">
        <v>470</v>
      </c>
      <c r="B2391" t="s">
        <v>1323</v>
      </c>
      <c r="C2391" t="s">
        <v>567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148.38</v>
      </c>
      <c r="L2391" s="39">
        <f t="shared" si="153"/>
        <v>1</v>
      </c>
      <c r="M2391" s="39">
        <f t="shared" si="152"/>
        <v>1.4838</v>
      </c>
      <c r="N2391" t="s">
        <v>25</v>
      </c>
      <c r="O2391" t="s">
        <v>25</v>
      </c>
      <c r="P2391">
        <v>0</v>
      </c>
      <c r="Q2391">
        <v>0</v>
      </c>
      <c r="R2391" t="s">
        <v>3108</v>
      </c>
    </row>
    <row r="2392" spans="1:18" hidden="1" x14ac:dyDescent="0.3">
      <c r="A2392">
        <v>470</v>
      </c>
      <c r="B2392" t="s">
        <v>1323</v>
      </c>
      <c r="C2392" t="s">
        <v>567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105.6</v>
      </c>
      <c r="L2392" s="39">
        <f t="shared" si="153"/>
        <v>1</v>
      </c>
      <c r="M2392" s="39">
        <f t="shared" si="152"/>
        <v>1.056</v>
      </c>
      <c r="N2392" t="s">
        <v>25</v>
      </c>
      <c r="O2392" t="s">
        <v>25</v>
      </c>
      <c r="P2392">
        <v>0</v>
      </c>
      <c r="Q2392">
        <v>0</v>
      </c>
      <c r="R2392" t="s">
        <v>3109</v>
      </c>
    </row>
    <row r="2393" spans="1:18" hidden="1" x14ac:dyDescent="0.3">
      <c r="A2393">
        <v>470</v>
      </c>
      <c r="B2393" t="s">
        <v>1323</v>
      </c>
      <c r="C2393" t="s">
        <v>567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100</v>
      </c>
      <c r="L2393" s="39">
        <f t="shared" si="153"/>
        <v>1</v>
      </c>
      <c r="M2393" s="39">
        <f t="shared" si="152"/>
        <v>1</v>
      </c>
      <c r="N2393" t="s">
        <v>25</v>
      </c>
      <c r="O2393" t="s">
        <v>25</v>
      </c>
      <c r="P2393">
        <v>0</v>
      </c>
      <c r="Q2393">
        <v>0</v>
      </c>
      <c r="R2393" t="s">
        <v>1325</v>
      </c>
    </row>
    <row r="2394" spans="1:18" hidden="1" x14ac:dyDescent="0.3">
      <c r="A2394">
        <v>471</v>
      </c>
      <c r="B2394" t="s">
        <v>1326</v>
      </c>
      <c r="C2394" t="s">
        <v>567</v>
      </c>
      <c r="D2394" t="s">
        <v>21</v>
      </c>
      <c r="E2394" t="s">
        <v>22</v>
      </c>
      <c r="F2394" s="79">
        <v>45382</v>
      </c>
      <c r="G2394">
        <v>2024</v>
      </c>
      <c r="H2394" t="s">
        <v>1516</v>
      </c>
      <c r="I2394" t="s">
        <v>729</v>
      </c>
      <c r="J2394">
        <v>100</v>
      </c>
      <c r="K2394">
        <v>108.48</v>
      </c>
      <c r="L2394" s="39">
        <f t="shared" si="153"/>
        <v>1</v>
      </c>
      <c r="M2394" s="39">
        <f t="shared" si="152"/>
        <v>1.0848</v>
      </c>
      <c r="N2394" t="s">
        <v>25</v>
      </c>
      <c r="O2394" t="s">
        <v>25</v>
      </c>
      <c r="P2394">
        <v>0</v>
      </c>
      <c r="Q2394">
        <v>0</v>
      </c>
      <c r="R2394" t="s">
        <v>3110</v>
      </c>
    </row>
    <row r="2395" spans="1:18" hidden="1" x14ac:dyDescent="0.3">
      <c r="A2395">
        <v>471</v>
      </c>
      <c r="B2395" t="s">
        <v>1326</v>
      </c>
      <c r="C2395" t="s">
        <v>40</v>
      </c>
      <c r="D2395" t="s">
        <v>21</v>
      </c>
      <c r="E2395" t="s">
        <v>22</v>
      </c>
      <c r="F2395" s="79">
        <v>45473</v>
      </c>
      <c r="G2395">
        <v>2024</v>
      </c>
      <c r="H2395" t="s">
        <v>699</v>
      </c>
      <c r="I2395" t="s">
        <v>729</v>
      </c>
      <c r="J2395">
        <v>100</v>
      </c>
      <c r="K2395">
        <v>105.56</v>
      </c>
      <c r="L2395" s="39">
        <f t="shared" si="153"/>
        <v>1</v>
      </c>
      <c r="M2395" s="39">
        <f t="shared" si="152"/>
        <v>1.0556000000000001</v>
      </c>
      <c r="N2395" t="s">
        <v>25</v>
      </c>
      <c r="O2395" t="s">
        <v>25</v>
      </c>
      <c r="P2395">
        <v>0</v>
      </c>
      <c r="Q2395">
        <v>0</v>
      </c>
      <c r="R2395" t="s">
        <v>3111</v>
      </c>
    </row>
    <row r="2396" spans="1:18" hidden="1" x14ac:dyDescent="0.3">
      <c r="A2396">
        <v>471</v>
      </c>
      <c r="B2396" t="s">
        <v>1326</v>
      </c>
      <c r="C2396" t="s">
        <v>567</v>
      </c>
      <c r="D2396" t="s">
        <v>21</v>
      </c>
      <c r="E2396" t="s">
        <v>22</v>
      </c>
      <c r="F2396" s="79">
        <v>45565</v>
      </c>
      <c r="G2396">
        <v>2024</v>
      </c>
      <c r="H2396" t="s">
        <v>162</v>
      </c>
      <c r="I2396" t="s">
        <v>30</v>
      </c>
      <c r="J2396">
        <v>100</v>
      </c>
      <c r="K2396">
        <v>91.07</v>
      </c>
      <c r="L2396" s="39">
        <f t="shared" si="153"/>
        <v>0.91069999999999995</v>
      </c>
      <c r="M2396" s="39">
        <f t="shared" si="152"/>
        <v>0.91069999999999995</v>
      </c>
      <c r="N2396" t="s">
        <v>25</v>
      </c>
      <c r="O2396" t="s">
        <v>25</v>
      </c>
      <c r="P2396">
        <v>0</v>
      </c>
      <c r="Q2396">
        <v>0</v>
      </c>
      <c r="R2396" t="s">
        <v>3112</v>
      </c>
    </row>
    <row r="2397" spans="1:18" hidden="1" x14ac:dyDescent="0.3">
      <c r="A2397">
        <v>471</v>
      </c>
      <c r="B2397" t="s">
        <v>1326</v>
      </c>
      <c r="C2397" t="s">
        <v>567</v>
      </c>
      <c r="D2397" t="s">
        <v>21</v>
      </c>
      <c r="E2397" t="s">
        <v>22</v>
      </c>
      <c r="F2397" s="79">
        <v>45657</v>
      </c>
      <c r="G2397">
        <v>2024</v>
      </c>
      <c r="H2397" t="s">
        <v>23</v>
      </c>
      <c r="I2397" t="s">
        <v>30</v>
      </c>
      <c r="J2397">
        <v>100</v>
      </c>
      <c r="K2397">
        <v>99</v>
      </c>
      <c r="L2397" s="39">
        <f t="shared" si="153"/>
        <v>0.99</v>
      </c>
      <c r="M2397" s="39">
        <f t="shared" si="152"/>
        <v>0.99</v>
      </c>
      <c r="N2397" t="s">
        <v>25</v>
      </c>
      <c r="O2397" t="s">
        <v>25</v>
      </c>
      <c r="P2397">
        <v>0</v>
      </c>
      <c r="Q2397">
        <v>0</v>
      </c>
      <c r="R2397" t="s">
        <v>1327</v>
      </c>
    </row>
    <row r="2398" spans="1:18" hidden="1" x14ac:dyDescent="0.3">
      <c r="A2398">
        <v>471</v>
      </c>
      <c r="B2398" t="s">
        <v>1326</v>
      </c>
      <c r="C2398" t="s">
        <v>567</v>
      </c>
      <c r="D2398" t="s">
        <v>27</v>
      </c>
      <c r="E2398" t="s">
        <v>22</v>
      </c>
      <c r="F2398" s="79">
        <v>45747</v>
      </c>
      <c r="G2398">
        <v>2025</v>
      </c>
      <c r="H2398" t="s">
        <v>1516</v>
      </c>
      <c r="I2398" t="s">
        <v>700</v>
      </c>
      <c r="J2398">
        <v>100</v>
      </c>
      <c r="K2398">
        <v>103.51</v>
      </c>
      <c r="L2398" s="39">
        <f t="shared" si="153"/>
        <v>1</v>
      </c>
      <c r="M2398" s="39">
        <f t="shared" si="152"/>
        <v>1.0351000000000001</v>
      </c>
      <c r="N2398" t="s">
        <v>25</v>
      </c>
      <c r="O2398" t="s">
        <v>25</v>
      </c>
      <c r="P2398">
        <v>0</v>
      </c>
      <c r="Q2398">
        <v>0</v>
      </c>
      <c r="R2398" t="s">
        <v>3113</v>
      </c>
    </row>
    <row r="2399" spans="1:18" hidden="1" x14ac:dyDescent="0.3">
      <c r="A2399">
        <v>471</v>
      </c>
      <c r="B2399" t="s">
        <v>1326</v>
      </c>
      <c r="C2399" t="s">
        <v>567</v>
      </c>
      <c r="D2399" t="s">
        <v>27</v>
      </c>
      <c r="E2399" t="s">
        <v>22</v>
      </c>
      <c r="F2399" s="79">
        <v>45838</v>
      </c>
      <c r="G2399">
        <v>2025</v>
      </c>
      <c r="H2399" t="s">
        <v>699</v>
      </c>
      <c r="I2399" t="s">
        <v>700</v>
      </c>
      <c r="J2399">
        <v>100</v>
      </c>
      <c r="K2399">
        <v>94.02</v>
      </c>
      <c r="L2399" s="39">
        <f t="shared" si="153"/>
        <v>0.94019999999999992</v>
      </c>
      <c r="M2399" s="39">
        <f t="shared" ref="M2399:M2408" si="154">IFERROR(IF(OR(J2399=0,K2399=""),"",IF(E2399="Positivo",MAX(K2399/J2399,0),MAX(J2399/K2399,0))),"")</f>
        <v>0.94019999999999992</v>
      </c>
      <c r="N2399" t="s">
        <v>25</v>
      </c>
      <c r="O2399" t="s">
        <v>25</v>
      </c>
      <c r="P2399">
        <v>0</v>
      </c>
      <c r="Q2399">
        <v>0</v>
      </c>
      <c r="R2399" t="s">
        <v>3114</v>
      </c>
    </row>
    <row r="2400" spans="1:18" hidden="1" x14ac:dyDescent="0.3">
      <c r="A2400">
        <v>471</v>
      </c>
      <c r="B2400" t="s">
        <v>1326</v>
      </c>
      <c r="C2400" t="s">
        <v>567</v>
      </c>
      <c r="D2400" t="s">
        <v>27</v>
      </c>
      <c r="E2400" t="s">
        <v>22</v>
      </c>
      <c r="F2400" s="79">
        <v>45930</v>
      </c>
      <c r="G2400">
        <v>2025</v>
      </c>
      <c r="H2400" t="s">
        <v>162</v>
      </c>
      <c r="I2400" t="s">
        <v>32</v>
      </c>
      <c r="J2400">
        <v>100</v>
      </c>
      <c r="K2400">
        <v>98.93</v>
      </c>
      <c r="L2400" s="39">
        <f t="shared" si="153"/>
        <v>0.98930000000000007</v>
      </c>
      <c r="M2400" s="39">
        <f t="shared" si="154"/>
        <v>0.98930000000000007</v>
      </c>
      <c r="N2400" t="s">
        <v>25</v>
      </c>
      <c r="O2400" t="s">
        <v>25</v>
      </c>
      <c r="P2400">
        <v>0</v>
      </c>
      <c r="Q2400">
        <v>0</v>
      </c>
      <c r="R2400" t="s">
        <v>3115</v>
      </c>
    </row>
    <row r="2401" spans="1:19" hidden="1" x14ac:dyDescent="0.3">
      <c r="A2401">
        <v>471</v>
      </c>
      <c r="B2401" t="s">
        <v>1326</v>
      </c>
      <c r="C2401" t="s">
        <v>567</v>
      </c>
      <c r="D2401" t="s">
        <v>27</v>
      </c>
      <c r="E2401" t="s">
        <v>22</v>
      </c>
      <c r="F2401" s="79">
        <v>46022</v>
      </c>
      <c r="G2401">
        <v>2025</v>
      </c>
      <c r="H2401" t="s">
        <v>23</v>
      </c>
      <c r="I2401" t="s">
        <v>32</v>
      </c>
      <c r="J2401">
        <v>100</v>
      </c>
      <c r="K2401">
        <v>99.86</v>
      </c>
      <c r="L2401" s="39">
        <f t="shared" si="153"/>
        <v>0.99860000000000004</v>
      </c>
      <c r="M2401" s="39">
        <f t="shared" si="154"/>
        <v>0.99860000000000004</v>
      </c>
      <c r="N2401" t="s">
        <v>25</v>
      </c>
      <c r="O2401" t="s">
        <v>25</v>
      </c>
      <c r="P2401">
        <v>0</v>
      </c>
      <c r="Q2401">
        <v>0</v>
      </c>
      <c r="R2401" t="s">
        <v>1328</v>
      </c>
    </row>
    <row r="2402" spans="1:19" hidden="1" x14ac:dyDescent="0.3">
      <c r="A2402">
        <v>472</v>
      </c>
      <c r="B2402" t="s">
        <v>1329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100</v>
      </c>
      <c r="K2402">
        <v>82.1</v>
      </c>
      <c r="L2402" s="39">
        <f t="shared" ref="L2402:L2408" si="155">IFERROR(IF(OR(J2402=0,K2402=""),"",IF(E2402="Positivo",MIN(MAX(K2402/J2402,0),1.3),MIN(MAX(J2402/K2402,0),1.3))),"")</f>
        <v>0.82099999999999995</v>
      </c>
      <c r="M2402" s="39">
        <f t="shared" si="154"/>
        <v>0.82099999999999995</v>
      </c>
      <c r="N2402" t="s">
        <v>25</v>
      </c>
      <c r="O2402" t="s">
        <v>25</v>
      </c>
      <c r="P2402">
        <v>0</v>
      </c>
      <c r="Q2402">
        <v>0</v>
      </c>
      <c r="R2402" t="s">
        <v>3116</v>
      </c>
    </row>
    <row r="2403" spans="1:19" hidden="1" x14ac:dyDescent="0.3">
      <c r="A2403">
        <v>472</v>
      </c>
      <c r="B2403" t="s">
        <v>1329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100</v>
      </c>
      <c r="L2403" s="39">
        <f t="shared" si="155"/>
        <v>1</v>
      </c>
      <c r="M2403" s="39">
        <f t="shared" si="154"/>
        <v>1</v>
      </c>
      <c r="N2403" t="s">
        <v>25</v>
      </c>
      <c r="O2403" t="s">
        <v>25</v>
      </c>
      <c r="P2403">
        <v>0</v>
      </c>
      <c r="Q2403">
        <v>0</v>
      </c>
      <c r="R2403" t="s">
        <v>1330</v>
      </c>
    </row>
    <row r="2404" spans="1:19" hidden="1" x14ac:dyDescent="0.3">
      <c r="A2404">
        <v>473</v>
      </c>
      <c r="B2404" t="s">
        <v>3117</v>
      </c>
      <c r="C2404" t="s">
        <v>549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100</v>
      </c>
      <c r="L2404" s="39">
        <f t="shared" si="155"/>
        <v>1</v>
      </c>
      <c r="M2404" s="39">
        <f t="shared" si="154"/>
        <v>1</v>
      </c>
      <c r="N2404" t="s">
        <v>128</v>
      </c>
      <c r="O2404" t="s">
        <v>128</v>
      </c>
      <c r="P2404">
        <v>0</v>
      </c>
      <c r="Q2404">
        <v>0</v>
      </c>
      <c r="R2404" t="s">
        <v>3118</v>
      </c>
    </row>
    <row r="2405" spans="1:19" hidden="1" x14ac:dyDescent="0.3">
      <c r="A2405">
        <v>473</v>
      </c>
      <c r="B2405" t="s">
        <v>1331</v>
      </c>
      <c r="C2405" t="s">
        <v>549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5"/>
        <v>1</v>
      </c>
      <c r="M2405" s="39">
        <f t="shared" si="154"/>
        <v>1</v>
      </c>
      <c r="N2405" t="s">
        <v>128</v>
      </c>
      <c r="O2405" t="s">
        <v>128</v>
      </c>
      <c r="P2405">
        <v>0</v>
      </c>
      <c r="Q2405">
        <v>0</v>
      </c>
      <c r="R2405" t="s">
        <v>1332</v>
      </c>
    </row>
    <row r="2406" spans="1:19" hidden="1" x14ac:dyDescent="0.3">
      <c r="A2406">
        <v>473</v>
      </c>
      <c r="B2406" t="s">
        <v>1331</v>
      </c>
      <c r="C2406" t="s">
        <v>549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K2406">
        <v>100</v>
      </c>
      <c r="L2406" s="39">
        <f t="shared" si="155"/>
        <v>1</v>
      </c>
      <c r="M2406" s="39">
        <f t="shared" si="154"/>
        <v>1</v>
      </c>
      <c r="N2406" t="s">
        <v>128</v>
      </c>
      <c r="O2406" t="s">
        <v>128</v>
      </c>
      <c r="P2406">
        <v>0</v>
      </c>
      <c r="Q2406">
        <v>0</v>
      </c>
      <c r="R2406" t="s">
        <v>1333</v>
      </c>
    </row>
    <row r="2407" spans="1:19" hidden="1" x14ac:dyDescent="0.3">
      <c r="A2407">
        <v>474</v>
      </c>
      <c r="B2407" t="s">
        <v>3119</v>
      </c>
      <c r="C2407" t="s">
        <v>1059</v>
      </c>
      <c r="D2407" t="s">
        <v>27</v>
      </c>
      <c r="E2407" t="s">
        <v>22</v>
      </c>
      <c r="F2407" s="79">
        <v>45473</v>
      </c>
      <c r="G2407">
        <v>2024</v>
      </c>
      <c r="H2407" t="s">
        <v>699</v>
      </c>
      <c r="I2407" t="s">
        <v>729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128</v>
      </c>
      <c r="O2407" t="s">
        <v>128</v>
      </c>
      <c r="P2407">
        <v>0</v>
      </c>
      <c r="Q2407">
        <v>0</v>
      </c>
      <c r="R2407" t="s">
        <v>3120</v>
      </c>
    </row>
    <row r="2408" spans="1:19" hidden="1" x14ac:dyDescent="0.3">
      <c r="A2408">
        <v>474</v>
      </c>
      <c r="B2408" t="s">
        <v>1334</v>
      </c>
      <c r="C2408" t="s">
        <v>1059</v>
      </c>
      <c r="D2408" t="s">
        <v>27</v>
      </c>
      <c r="E2408" t="s">
        <v>22</v>
      </c>
      <c r="F2408" s="79">
        <v>45657</v>
      </c>
      <c r="G2408">
        <v>2024</v>
      </c>
      <c r="H2408" t="s">
        <v>23</v>
      </c>
      <c r="I2408" t="s">
        <v>30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1335</v>
      </c>
    </row>
    <row r="2409" spans="1:19" hidden="1" x14ac:dyDescent="0.3">
      <c r="A2409">
        <v>474</v>
      </c>
      <c r="B2409" t="s">
        <v>1334</v>
      </c>
      <c r="C2409" t="s">
        <v>1059</v>
      </c>
      <c r="D2409" t="s">
        <v>21</v>
      </c>
      <c r="E2409" t="s">
        <v>22</v>
      </c>
      <c r="F2409" s="79">
        <v>45838</v>
      </c>
      <c r="G2409">
        <v>2025</v>
      </c>
      <c r="H2409" t="s">
        <v>699</v>
      </c>
      <c r="I2409" t="s">
        <v>700</v>
      </c>
      <c r="K2409">
        <v>0</v>
      </c>
      <c r="L2409" s="39"/>
      <c r="M2409" s="39"/>
      <c r="N2409" t="s">
        <v>128</v>
      </c>
      <c r="O2409" t="s">
        <v>128</v>
      </c>
      <c r="P2409">
        <v>0</v>
      </c>
      <c r="Q2409">
        <v>0</v>
      </c>
      <c r="R2409" t="s">
        <v>3121</v>
      </c>
    </row>
    <row r="2410" spans="1:19" hidden="1" x14ac:dyDescent="0.3">
      <c r="A2410">
        <v>474</v>
      </c>
      <c r="B2410" t="s">
        <v>1334</v>
      </c>
      <c r="C2410" t="s">
        <v>1059</v>
      </c>
      <c r="D2410" t="s">
        <v>21</v>
      </c>
      <c r="E2410" t="s">
        <v>22</v>
      </c>
      <c r="F2410" s="79">
        <v>46022</v>
      </c>
      <c r="G2410">
        <v>2025</v>
      </c>
      <c r="H2410" t="s">
        <v>23</v>
      </c>
      <c r="I2410" t="s">
        <v>32</v>
      </c>
      <c r="L2410" s="39"/>
      <c r="M2410" s="39"/>
      <c r="N2410" t="s">
        <v>128</v>
      </c>
      <c r="O2410" t="s">
        <v>302</v>
      </c>
      <c r="P2410">
        <v>0</v>
      </c>
      <c r="Q2410">
        <v>0</v>
      </c>
      <c r="R2410" t="s">
        <v>1336</v>
      </c>
      <c r="S2410" t="s">
        <v>302</v>
      </c>
    </row>
    <row r="2411" spans="1:19" hidden="1" x14ac:dyDescent="0.3">
      <c r="A2411">
        <v>475</v>
      </c>
      <c r="B2411" t="s">
        <v>1337</v>
      </c>
      <c r="C2411" t="s">
        <v>819</v>
      </c>
      <c r="D2411" t="s">
        <v>21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L2411" s="39" t="str">
        <f t="shared" ref="L2411:L2420" si="156">IFERROR(IF(OR(J2411=0,K2411=""),"",IF(E2411="Positivo",MIN(MAX(K2411/J2411,0),1.3),MIN(MAX(J2411/K2411,0),1.3))),"")</f>
        <v/>
      </c>
      <c r="M2411" s="39" t="str">
        <f t="shared" ref="M2411:M2420" si="157">IFERROR(IF(OR(J2411=0,K2411=""),"",IF(E2411="Positivo",MAX(K2411/J2411,0),MAX(J2411/K2411,0))),"")</f>
        <v/>
      </c>
      <c r="N2411" t="s">
        <v>128</v>
      </c>
      <c r="O2411" t="s">
        <v>128</v>
      </c>
      <c r="P2411">
        <v>0</v>
      </c>
      <c r="Q2411">
        <v>0</v>
      </c>
      <c r="R2411" t="s">
        <v>3122</v>
      </c>
    </row>
    <row r="2412" spans="1:19" hidden="1" x14ac:dyDescent="0.3">
      <c r="A2412">
        <v>475</v>
      </c>
      <c r="B2412" t="s">
        <v>1337</v>
      </c>
      <c r="C2412" t="s">
        <v>819</v>
      </c>
      <c r="D2412" t="s">
        <v>27</v>
      </c>
      <c r="E2412" t="s">
        <v>22</v>
      </c>
      <c r="F2412" s="79">
        <v>45657</v>
      </c>
      <c r="G2412">
        <v>2024</v>
      </c>
      <c r="H2412" t="s">
        <v>23</v>
      </c>
      <c r="I2412" t="s">
        <v>30</v>
      </c>
      <c r="J2412">
        <v>10</v>
      </c>
      <c r="K2412">
        <v>14</v>
      </c>
      <c r="L2412" s="39">
        <f t="shared" si="156"/>
        <v>1.3</v>
      </c>
      <c r="M2412" s="39">
        <f t="shared" si="157"/>
        <v>1.4</v>
      </c>
      <c r="P2412">
        <v>0</v>
      </c>
      <c r="Q2412">
        <v>0</v>
      </c>
      <c r="R2412" t="s">
        <v>1338</v>
      </c>
    </row>
    <row r="2413" spans="1:19" hidden="1" x14ac:dyDescent="0.3">
      <c r="A2413">
        <v>475</v>
      </c>
      <c r="B2413" t="s">
        <v>1337</v>
      </c>
      <c r="C2413" t="s">
        <v>819</v>
      </c>
      <c r="D2413" t="s">
        <v>21</v>
      </c>
      <c r="E2413" t="s">
        <v>22</v>
      </c>
      <c r="F2413" s="79">
        <v>45838</v>
      </c>
      <c r="G2413">
        <v>2025</v>
      </c>
      <c r="H2413" t="s">
        <v>699</v>
      </c>
      <c r="I2413" t="s">
        <v>700</v>
      </c>
      <c r="L2413" s="39" t="str">
        <f t="shared" si="156"/>
        <v/>
      </c>
      <c r="M2413" s="39" t="str">
        <f t="shared" si="157"/>
        <v/>
      </c>
      <c r="N2413" t="s">
        <v>128</v>
      </c>
      <c r="O2413" t="s">
        <v>128</v>
      </c>
      <c r="P2413">
        <v>0</v>
      </c>
      <c r="Q2413">
        <v>0</v>
      </c>
      <c r="R2413" t="s">
        <v>3123</v>
      </c>
      <c r="S2413" t="s">
        <v>302</v>
      </c>
    </row>
    <row r="2414" spans="1:19" hidden="1" x14ac:dyDescent="0.3">
      <c r="A2414">
        <v>475</v>
      </c>
      <c r="B2414" t="s">
        <v>1337</v>
      </c>
      <c r="C2414" t="s">
        <v>819</v>
      </c>
      <c r="D2414" t="s">
        <v>21</v>
      </c>
      <c r="E2414" t="s">
        <v>22</v>
      </c>
      <c r="F2414" s="79">
        <v>46022</v>
      </c>
      <c r="G2414">
        <v>2025</v>
      </c>
      <c r="H2414" t="s">
        <v>23</v>
      </c>
      <c r="I2414" t="s">
        <v>32</v>
      </c>
      <c r="J2414">
        <v>5</v>
      </c>
      <c r="K2414">
        <v>5</v>
      </c>
      <c r="L2414" s="39">
        <f t="shared" si="156"/>
        <v>1</v>
      </c>
      <c r="M2414" s="39">
        <f t="shared" si="157"/>
        <v>1</v>
      </c>
      <c r="N2414" t="s">
        <v>128</v>
      </c>
      <c r="O2414" t="s">
        <v>128</v>
      </c>
      <c r="P2414">
        <v>0</v>
      </c>
      <c r="Q2414">
        <v>0</v>
      </c>
      <c r="R2414" t="s">
        <v>1339</v>
      </c>
    </row>
    <row r="2415" spans="1:19" hidden="1" x14ac:dyDescent="0.3">
      <c r="A2415">
        <v>476</v>
      </c>
      <c r="B2415" t="s">
        <v>1340</v>
      </c>
      <c r="C2415" t="s">
        <v>549</v>
      </c>
      <c r="D2415" t="s">
        <v>27</v>
      </c>
      <c r="E2415" t="s">
        <v>22</v>
      </c>
      <c r="F2415" s="79">
        <v>45473</v>
      </c>
      <c r="G2415">
        <v>2024</v>
      </c>
      <c r="H2415" t="s">
        <v>699</v>
      </c>
      <c r="I2415" t="s">
        <v>729</v>
      </c>
      <c r="J2415">
        <v>100</v>
      </c>
      <c r="K2415">
        <v>100</v>
      </c>
      <c r="L2415" s="39">
        <f t="shared" si="156"/>
        <v>1</v>
      </c>
      <c r="M2415" s="39">
        <f t="shared" si="157"/>
        <v>1</v>
      </c>
      <c r="P2415">
        <v>0</v>
      </c>
      <c r="Q2415">
        <v>0</v>
      </c>
      <c r="R2415" t="s">
        <v>3124</v>
      </c>
    </row>
    <row r="2416" spans="1:19" hidden="1" x14ac:dyDescent="0.3">
      <c r="A2416">
        <v>476</v>
      </c>
      <c r="B2416" t="s">
        <v>1340</v>
      </c>
      <c r="C2416" t="s">
        <v>549</v>
      </c>
      <c r="D2416" t="s">
        <v>27</v>
      </c>
      <c r="E2416" t="s">
        <v>22</v>
      </c>
      <c r="F2416" s="79">
        <v>45657</v>
      </c>
      <c r="G2416">
        <v>2024</v>
      </c>
      <c r="H2416" t="s">
        <v>23</v>
      </c>
      <c r="I2416" t="s">
        <v>30</v>
      </c>
      <c r="J2416">
        <v>100</v>
      </c>
      <c r="K2416">
        <v>100</v>
      </c>
      <c r="L2416" s="39">
        <f t="shared" si="156"/>
        <v>1</v>
      </c>
      <c r="M2416" s="39">
        <f t="shared" si="157"/>
        <v>1</v>
      </c>
      <c r="P2416">
        <v>0</v>
      </c>
      <c r="Q2416">
        <v>0</v>
      </c>
      <c r="R2416" t="s">
        <v>1341</v>
      </c>
    </row>
    <row r="2417" spans="1:19" hidden="1" x14ac:dyDescent="0.3">
      <c r="A2417">
        <v>476</v>
      </c>
      <c r="B2417" t="s">
        <v>1340</v>
      </c>
      <c r="C2417" t="s">
        <v>549</v>
      </c>
      <c r="D2417" t="s">
        <v>27</v>
      </c>
      <c r="E2417" t="s">
        <v>22</v>
      </c>
      <c r="F2417" s="79">
        <v>45838</v>
      </c>
      <c r="G2417">
        <v>2025</v>
      </c>
      <c r="H2417" t="s">
        <v>699</v>
      </c>
      <c r="I2417" t="s">
        <v>700</v>
      </c>
      <c r="J2417">
        <v>100</v>
      </c>
      <c r="K2417">
        <v>100</v>
      </c>
      <c r="L2417" s="39">
        <f t="shared" si="156"/>
        <v>1</v>
      </c>
      <c r="M2417" s="39">
        <f t="shared" si="157"/>
        <v>1</v>
      </c>
      <c r="N2417" t="s">
        <v>128</v>
      </c>
      <c r="O2417" t="s">
        <v>128</v>
      </c>
      <c r="P2417">
        <v>0</v>
      </c>
      <c r="Q2417">
        <v>0</v>
      </c>
      <c r="R2417" t="s">
        <v>3125</v>
      </c>
    </row>
    <row r="2418" spans="1:19" hidden="1" x14ac:dyDescent="0.3">
      <c r="A2418">
        <v>476</v>
      </c>
      <c r="B2418" t="s">
        <v>1340</v>
      </c>
      <c r="C2418" t="s">
        <v>549</v>
      </c>
      <c r="D2418" t="s">
        <v>21</v>
      </c>
      <c r="E2418" t="s">
        <v>22</v>
      </c>
      <c r="F2418" s="79">
        <v>46022</v>
      </c>
      <c r="G2418">
        <v>2025</v>
      </c>
      <c r="H2418" t="s">
        <v>23</v>
      </c>
      <c r="I2418" t="s">
        <v>32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N2418" t="s">
        <v>128</v>
      </c>
      <c r="O2418" t="s">
        <v>128</v>
      </c>
      <c r="P2418">
        <v>0</v>
      </c>
      <c r="Q2418">
        <v>0</v>
      </c>
      <c r="R2418" t="s">
        <v>1342</v>
      </c>
    </row>
    <row r="2419" spans="1:19" hidden="1" x14ac:dyDescent="0.3">
      <c r="A2419">
        <v>477</v>
      </c>
      <c r="B2419" t="s">
        <v>1343</v>
      </c>
      <c r="C2419" t="s">
        <v>1059</v>
      </c>
      <c r="D2419" t="s">
        <v>27</v>
      </c>
      <c r="E2419" t="s">
        <v>22</v>
      </c>
      <c r="F2419" s="79">
        <v>45473</v>
      </c>
      <c r="G2419">
        <v>2024</v>
      </c>
      <c r="H2419" t="s">
        <v>699</v>
      </c>
      <c r="I2419" t="s">
        <v>729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P2419">
        <v>0</v>
      </c>
      <c r="Q2419">
        <v>0</v>
      </c>
      <c r="R2419" t="s">
        <v>3126</v>
      </c>
    </row>
    <row r="2420" spans="1:19" hidden="1" x14ac:dyDescent="0.3">
      <c r="A2420">
        <v>477</v>
      </c>
      <c r="B2420" t="s">
        <v>1343</v>
      </c>
      <c r="C2420" t="s">
        <v>1059</v>
      </c>
      <c r="D2420" t="s">
        <v>27</v>
      </c>
      <c r="E2420" t="s">
        <v>22</v>
      </c>
      <c r="F2420" s="79">
        <v>45657</v>
      </c>
      <c r="G2420">
        <v>2024</v>
      </c>
      <c r="H2420" t="s">
        <v>23</v>
      </c>
      <c r="I2420" t="s">
        <v>30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P2420">
        <v>0</v>
      </c>
      <c r="Q2420">
        <v>0</v>
      </c>
      <c r="R2420" t="s">
        <v>1344</v>
      </c>
    </row>
    <row r="2421" spans="1:19" hidden="1" x14ac:dyDescent="0.3">
      <c r="A2421">
        <v>477</v>
      </c>
      <c r="B2421" t="s">
        <v>1343</v>
      </c>
      <c r="C2421" t="s">
        <v>1059</v>
      </c>
      <c r="D2421" t="s">
        <v>21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L2421" s="39"/>
      <c r="M2421" s="39"/>
      <c r="N2421" t="s">
        <v>128</v>
      </c>
      <c r="O2421" t="s">
        <v>302</v>
      </c>
      <c r="P2421">
        <v>0</v>
      </c>
      <c r="Q2421">
        <v>0</v>
      </c>
      <c r="R2421" t="s">
        <v>3127</v>
      </c>
      <c r="S2421" t="s">
        <v>302</v>
      </c>
    </row>
    <row r="2422" spans="1:19" hidden="1" x14ac:dyDescent="0.3">
      <c r="A2422">
        <v>478</v>
      </c>
      <c r="B2422" t="s">
        <v>1345</v>
      </c>
      <c r="C2422" t="s">
        <v>1059</v>
      </c>
      <c r="D2422" t="s">
        <v>21</v>
      </c>
      <c r="E2422" t="s">
        <v>22</v>
      </c>
      <c r="F2422" s="79">
        <v>45473</v>
      </c>
      <c r="G2422">
        <v>2024</v>
      </c>
      <c r="H2422" t="s">
        <v>699</v>
      </c>
      <c r="I2422" t="s">
        <v>729</v>
      </c>
      <c r="J2422">
        <v>100</v>
      </c>
      <c r="L2422" s="39"/>
      <c r="M2422" s="39"/>
      <c r="N2422" t="s">
        <v>128</v>
      </c>
      <c r="O2422" t="s">
        <v>302</v>
      </c>
      <c r="P2422">
        <v>0</v>
      </c>
      <c r="Q2422">
        <v>0</v>
      </c>
      <c r="R2422" t="s">
        <v>3128</v>
      </c>
      <c r="S2422" t="s">
        <v>302</v>
      </c>
    </row>
    <row r="2423" spans="1:19" hidden="1" x14ac:dyDescent="0.3">
      <c r="A2423">
        <v>478</v>
      </c>
      <c r="B2423" t="s">
        <v>1345</v>
      </c>
      <c r="C2423" t="s">
        <v>1059</v>
      </c>
      <c r="D2423" t="s">
        <v>27</v>
      </c>
      <c r="E2423" t="s">
        <v>22</v>
      </c>
      <c r="F2423" s="79">
        <v>45657</v>
      </c>
      <c r="G2423">
        <v>2024</v>
      </c>
      <c r="H2423" t="s">
        <v>23</v>
      </c>
      <c r="I2423" t="s">
        <v>30</v>
      </c>
      <c r="J2423">
        <v>100</v>
      </c>
      <c r="K2423">
        <v>100</v>
      </c>
      <c r="L2423" s="39">
        <f>IFERROR(IF(OR(J2423=0,K2423=""),"",IF(E2423="Positivo",MIN(MAX(K2423/J2423,0),1.3),MIN(MAX(J2423/K2423,0),1.3))),"")</f>
        <v>1</v>
      </c>
      <c r="M2423" s="39">
        <f>IFERROR(IF(OR(J2423=0,K2423=""),"",IF(E2423="Positivo",MAX(K2423/J2423,0),MAX(J2423/K2423,0))),"")</f>
        <v>1</v>
      </c>
      <c r="P2423">
        <v>0</v>
      </c>
      <c r="Q2423">
        <v>0</v>
      </c>
      <c r="R2423" t="s">
        <v>1346</v>
      </c>
    </row>
    <row r="2424" spans="1:19" hidden="1" x14ac:dyDescent="0.3">
      <c r="A2424">
        <v>478</v>
      </c>
      <c r="B2424" t="s">
        <v>1345</v>
      </c>
      <c r="C2424" t="s">
        <v>1059</v>
      </c>
      <c r="D2424" t="s">
        <v>21</v>
      </c>
      <c r="E2424" t="s">
        <v>22</v>
      </c>
      <c r="F2424" s="79">
        <v>45838</v>
      </c>
      <c r="G2424">
        <v>2025</v>
      </c>
      <c r="H2424" t="s">
        <v>699</v>
      </c>
      <c r="I2424" t="s">
        <v>700</v>
      </c>
      <c r="K2424">
        <v>0</v>
      </c>
      <c r="L2424" s="39"/>
      <c r="M2424" s="39"/>
      <c r="N2424" t="s">
        <v>128</v>
      </c>
      <c r="O2424" t="s">
        <v>128</v>
      </c>
      <c r="P2424">
        <v>0</v>
      </c>
      <c r="Q2424">
        <v>0</v>
      </c>
      <c r="R2424" t="s">
        <v>3129</v>
      </c>
    </row>
    <row r="2425" spans="1:19" hidden="1" x14ac:dyDescent="0.3">
      <c r="A2425">
        <v>478</v>
      </c>
      <c r="B2425" t="s">
        <v>1345</v>
      </c>
      <c r="C2425" t="s">
        <v>1059</v>
      </c>
      <c r="D2425" t="s">
        <v>21</v>
      </c>
      <c r="E2425" t="s">
        <v>22</v>
      </c>
      <c r="F2425" s="79">
        <v>46022</v>
      </c>
      <c r="G2425">
        <v>2025</v>
      </c>
      <c r="H2425" t="s">
        <v>23</v>
      </c>
      <c r="I2425" t="s">
        <v>32</v>
      </c>
      <c r="L2425" s="39"/>
      <c r="M2425" s="39"/>
      <c r="N2425" t="s">
        <v>128</v>
      </c>
      <c r="O2425" t="s">
        <v>302</v>
      </c>
      <c r="P2425">
        <v>0</v>
      </c>
      <c r="Q2425">
        <v>0</v>
      </c>
      <c r="R2425" t="s">
        <v>1347</v>
      </c>
      <c r="S2425" t="s">
        <v>302</v>
      </c>
    </row>
    <row r="2426" spans="1:19" hidden="1" x14ac:dyDescent="0.3">
      <c r="A2426">
        <v>479</v>
      </c>
      <c r="B2426" t="s">
        <v>1348</v>
      </c>
      <c r="C2426" t="s">
        <v>1059</v>
      </c>
      <c r="D2426" t="s">
        <v>27</v>
      </c>
      <c r="E2426" t="s">
        <v>22</v>
      </c>
      <c r="F2426" s="79">
        <v>45473</v>
      </c>
      <c r="G2426">
        <v>2024</v>
      </c>
      <c r="H2426" t="s">
        <v>699</v>
      </c>
      <c r="I2426" t="s">
        <v>729</v>
      </c>
      <c r="J2426">
        <v>100</v>
      </c>
      <c r="K2426">
        <v>100</v>
      </c>
      <c r="L2426" s="39">
        <f>IFERROR(IF(OR(J2426=0,K2426=""),"",IF(E2426="Positivo",MIN(MAX(K2426/J2426,0),1.3),MIN(MAX(J2426/K2426,0),1.3))),"")</f>
        <v>1</v>
      </c>
      <c r="M2426" s="39">
        <f>IFERROR(IF(OR(J2426=0,K2426=""),"",IF(E2426="Positivo",MAX(K2426/J2426,0),MAX(J2426/K2426,0))),"")</f>
        <v>1</v>
      </c>
      <c r="P2426">
        <v>0</v>
      </c>
      <c r="Q2426">
        <v>0</v>
      </c>
      <c r="R2426" t="s">
        <v>3130</v>
      </c>
    </row>
    <row r="2427" spans="1:19" hidden="1" x14ac:dyDescent="0.3">
      <c r="A2427">
        <v>479</v>
      </c>
      <c r="B2427" t="s">
        <v>1348</v>
      </c>
      <c r="C2427" t="s">
        <v>1059</v>
      </c>
      <c r="D2427" t="s">
        <v>27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>IFERROR(IF(OR(J2427=0,K2427=""),"",IF(E2427="Positivo",MIN(MAX(K2427/J2427,0),1.3),MIN(MAX(J2427/K2427,0),1.3))),"")</f>
        <v>1</v>
      </c>
      <c r="M2427" s="39">
        <f>IFERROR(IF(OR(J2427=0,K2427=""),"",IF(E2427="Positivo",MAX(K2427/J2427,0),MAX(J2427/K2427,0))),"")</f>
        <v>1</v>
      </c>
      <c r="P2427">
        <v>0</v>
      </c>
      <c r="Q2427">
        <v>0</v>
      </c>
      <c r="R2427" t="s">
        <v>1349</v>
      </c>
    </row>
    <row r="2428" spans="1:19" hidden="1" x14ac:dyDescent="0.3">
      <c r="A2428">
        <v>479</v>
      </c>
      <c r="B2428" t="s">
        <v>1348</v>
      </c>
      <c r="C2428" t="s">
        <v>1059</v>
      </c>
      <c r="D2428" t="s">
        <v>21</v>
      </c>
      <c r="E2428" t="s">
        <v>22</v>
      </c>
      <c r="F2428" s="79">
        <v>45838</v>
      </c>
      <c r="G2428">
        <v>2025</v>
      </c>
      <c r="H2428" t="s">
        <v>699</v>
      </c>
      <c r="I2428" t="s">
        <v>700</v>
      </c>
      <c r="J2428">
        <v>100</v>
      </c>
      <c r="L2428" s="39"/>
      <c r="M2428" s="39"/>
      <c r="N2428" t="s">
        <v>128</v>
      </c>
      <c r="O2428" t="s">
        <v>302</v>
      </c>
      <c r="P2428">
        <v>0</v>
      </c>
      <c r="Q2428">
        <v>0</v>
      </c>
      <c r="R2428" t="s">
        <v>3131</v>
      </c>
      <c r="S2428" t="s">
        <v>302</v>
      </c>
    </row>
    <row r="2429" spans="1:19" hidden="1" x14ac:dyDescent="0.3">
      <c r="A2429">
        <v>480</v>
      </c>
      <c r="B2429" t="s">
        <v>1350</v>
      </c>
      <c r="C2429" t="s">
        <v>1059</v>
      </c>
      <c r="D2429" t="s">
        <v>27</v>
      </c>
      <c r="E2429" t="s">
        <v>22</v>
      </c>
      <c r="F2429" s="79">
        <v>45473</v>
      </c>
      <c r="G2429">
        <v>2024</v>
      </c>
      <c r="H2429" t="s">
        <v>699</v>
      </c>
      <c r="I2429" t="s">
        <v>729</v>
      </c>
      <c r="J2429">
        <v>100</v>
      </c>
      <c r="K2429">
        <v>100</v>
      </c>
      <c r="L2429" s="39">
        <f>IFERROR(IF(OR(J2429=0,K2429=""),"",IF(E2429="Positivo",MIN(MAX(K2429/J2429,0),1.3),MIN(MAX(J2429/K2429,0),1.3))),"")</f>
        <v>1</v>
      </c>
      <c r="M2429" s="39">
        <f>IFERROR(IF(OR(J2429=0,K2429=""),"",IF(E2429="Positivo",MAX(K2429/J2429,0),MAX(J2429/K2429,0))),"")</f>
        <v>1</v>
      </c>
      <c r="P2429">
        <v>0</v>
      </c>
      <c r="Q2429">
        <v>0</v>
      </c>
      <c r="R2429" t="s">
        <v>3132</v>
      </c>
    </row>
    <row r="2430" spans="1:19" hidden="1" x14ac:dyDescent="0.3">
      <c r="A2430">
        <v>480</v>
      </c>
      <c r="B2430" t="s">
        <v>1350</v>
      </c>
      <c r="C2430" t="s">
        <v>1059</v>
      </c>
      <c r="D2430" t="s">
        <v>27</v>
      </c>
      <c r="E2430" t="s">
        <v>22</v>
      </c>
      <c r="F2430" s="79">
        <v>45657</v>
      </c>
      <c r="G2430">
        <v>2024</v>
      </c>
      <c r="H2430" t="s">
        <v>23</v>
      </c>
      <c r="I2430" t="s">
        <v>30</v>
      </c>
      <c r="J2430">
        <v>100</v>
      </c>
      <c r="K2430">
        <v>100</v>
      </c>
      <c r="L2430" s="39">
        <f>IFERROR(IF(OR(J2430=0,K2430=""),"",IF(E2430="Positivo",MIN(MAX(K2430/J2430,0),1.3),MIN(MAX(J2430/K2430,0),1.3))),"")</f>
        <v>1</v>
      </c>
      <c r="M2430" s="39">
        <f>IFERROR(IF(OR(J2430=0,K2430=""),"",IF(E2430="Positivo",MAX(K2430/J2430,0),MAX(J2430/K2430,0))),"")</f>
        <v>1</v>
      </c>
      <c r="P2430">
        <v>0</v>
      </c>
      <c r="Q2430">
        <v>0</v>
      </c>
      <c r="R2430" t="s">
        <v>1351</v>
      </c>
    </row>
    <row r="2431" spans="1:19" hidden="1" x14ac:dyDescent="0.3">
      <c r="A2431">
        <v>480</v>
      </c>
      <c r="B2431" t="s">
        <v>1350</v>
      </c>
      <c r="C2431" t="s">
        <v>1059</v>
      </c>
      <c r="D2431" t="s">
        <v>21</v>
      </c>
      <c r="E2431" t="s">
        <v>22</v>
      </c>
      <c r="F2431" s="79">
        <v>45838</v>
      </c>
      <c r="G2431">
        <v>2025</v>
      </c>
      <c r="H2431" t="s">
        <v>699</v>
      </c>
      <c r="I2431" t="s">
        <v>700</v>
      </c>
      <c r="J2431">
        <v>100</v>
      </c>
      <c r="L2431" s="39"/>
      <c r="M2431" s="39"/>
      <c r="N2431" t="s">
        <v>128</v>
      </c>
      <c r="O2431" t="s">
        <v>302</v>
      </c>
      <c r="P2431">
        <v>0</v>
      </c>
      <c r="Q2431">
        <v>0</v>
      </c>
      <c r="R2431" t="s">
        <v>3133</v>
      </c>
      <c r="S2431" t="s">
        <v>302</v>
      </c>
    </row>
    <row r="2432" spans="1:19" hidden="1" x14ac:dyDescent="0.3">
      <c r="A2432">
        <v>481</v>
      </c>
      <c r="B2432" t="s">
        <v>1352</v>
      </c>
      <c r="C2432" t="s">
        <v>549</v>
      </c>
      <c r="D2432" t="s">
        <v>27</v>
      </c>
      <c r="E2432" t="s">
        <v>22</v>
      </c>
      <c r="F2432" s="79">
        <v>45473</v>
      </c>
      <c r="G2432">
        <v>2024</v>
      </c>
      <c r="H2432" t="s">
        <v>699</v>
      </c>
      <c r="I2432" t="s">
        <v>729</v>
      </c>
      <c r="J2432">
        <v>100</v>
      </c>
      <c r="K2432">
        <v>100</v>
      </c>
      <c r="L2432" s="39">
        <f>IFERROR(IF(OR(J2432=0,K2432=""),"",IF(E2432="Positivo",MIN(MAX(K2432/J2432,0),1.3),MIN(MAX(J2432/K2432,0),1.3))),"")</f>
        <v>1</v>
      </c>
      <c r="M2432" s="39">
        <f>IFERROR(IF(OR(J2432=0,K2432=""),"",IF(E2432="Positivo",MAX(K2432/J2432,0),MAX(J2432/K2432,0))),"")</f>
        <v>1</v>
      </c>
      <c r="P2432">
        <v>0</v>
      </c>
      <c r="Q2432">
        <v>0</v>
      </c>
      <c r="R2432" t="s">
        <v>3134</v>
      </c>
    </row>
    <row r="2433" spans="1:19" hidden="1" x14ac:dyDescent="0.3">
      <c r="A2433">
        <v>481</v>
      </c>
      <c r="B2433" t="s">
        <v>1352</v>
      </c>
      <c r="C2433" t="s">
        <v>549</v>
      </c>
      <c r="D2433" t="s">
        <v>21</v>
      </c>
      <c r="E2433" t="s">
        <v>22</v>
      </c>
      <c r="F2433" s="79">
        <v>45657</v>
      </c>
      <c r="G2433">
        <v>2024</v>
      </c>
      <c r="H2433" t="s">
        <v>23</v>
      </c>
      <c r="I2433" t="s">
        <v>30</v>
      </c>
      <c r="J2433">
        <v>100</v>
      </c>
      <c r="L2433" s="39"/>
      <c r="M2433" s="39"/>
      <c r="N2433" t="s">
        <v>25</v>
      </c>
      <c r="O2433" t="s">
        <v>302</v>
      </c>
      <c r="P2433">
        <v>0</v>
      </c>
      <c r="Q2433">
        <v>0</v>
      </c>
      <c r="R2433" t="s">
        <v>1353</v>
      </c>
      <c r="S2433" t="s">
        <v>302</v>
      </c>
    </row>
    <row r="2434" spans="1:19" hidden="1" x14ac:dyDescent="0.3">
      <c r="A2434">
        <v>481</v>
      </c>
      <c r="B2434" t="s">
        <v>1352</v>
      </c>
      <c r="C2434" t="s">
        <v>549</v>
      </c>
      <c r="D2434" t="s">
        <v>21</v>
      </c>
      <c r="E2434" t="s">
        <v>22</v>
      </c>
      <c r="F2434" s="79">
        <v>45838</v>
      </c>
      <c r="G2434">
        <v>2025</v>
      </c>
      <c r="H2434" t="s">
        <v>699</v>
      </c>
      <c r="I2434" t="s">
        <v>700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N2434" t="s">
        <v>25</v>
      </c>
      <c r="O2434" t="s">
        <v>25</v>
      </c>
      <c r="P2434">
        <v>0</v>
      </c>
      <c r="Q2434">
        <v>0</v>
      </c>
      <c r="R2434" t="s">
        <v>3135</v>
      </c>
    </row>
    <row r="2435" spans="1:19" hidden="1" x14ac:dyDescent="0.3">
      <c r="A2435">
        <v>481</v>
      </c>
      <c r="B2435" t="s">
        <v>1352</v>
      </c>
      <c r="C2435" t="s">
        <v>549</v>
      </c>
      <c r="D2435" t="s">
        <v>21</v>
      </c>
      <c r="E2435" t="s">
        <v>22</v>
      </c>
      <c r="F2435" s="79">
        <v>46022</v>
      </c>
      <c r="G2435">
        <v>2025</v>
      </c>
      <c r="H2435" t="s">
        <v>23</v>
      </c>
      <c r="I2435" t="s">
        <v>32</v>
      </c>
      <c r="J2435">
        <v>100</v>
      </c>
      <c r="L2435" s="39"/>
      <c r="M2435" s="39"/>
      <c r="N2435" t="s">
        <v>25</v>
      </c>
      <c r="O2435" t="s">
        <v>302</v>
      </c>
      <c r="P2435">
        <v>0</v>
      </c>
      <c r="Q2435">
        <v>0</v>
      </c>
      <c r="R2435" t="s">
        <v>1354</v>
      </c>
      <c r="S2435" t="s">
        <v>302</v>
      </c>
    </row>
    <row r="2436" spans="1:19" hidden="1" x14ac:dyDescent="0.3">
      <c r="A2436">
        <v>483</v>
      </c>
      <c r="B2436" t="s">
        <v>1355</v>
      </c>
      <c r="C2436" t="s">
        <v>1066</v>
      </c>
      <c r="D2436" t="s">
        <v>71</v>
      </c>
      <c r="E2436" t="s">
        <v>22</v>
      </c>
      <c r="F2436" s="79">
        <v>45657</v>
      </c>
      <c r="G2436">
        <v>2024</v>
      </c>
      <c r="H2436" t="s">
        <v>23</v>
      </c>
      <c r="I2436" t="s">
        <v>30</v>
      </c>
      <c r="J2436">
        <v>10</v>
      </c>
      <c r="K2436">
        <v>91.65</v>
      </c>
      <c r="L2436" s="39">
        <f t="shared" ref="L2436:L2443" si="158">IFERROR(IF(OR(J2436=0,K2436=""),"",IF(E2436="Positivo",MIN(MAX(K2436/J2436,0),1.3),MIN(MAX(J2436/K2436,0),1.3))),"")</f>
        <v>1.3</v>
      </c>
      <c r="M2436" s="39">
        <f t="shared" ref="M2436:M2443" si="159">IFERROR(IF(OR(J2436=0,K2436=""),"",IF(E2436="Positivo",MAX(K2436/J2436,0),MAX(J2436/K2436,0))),"")</f>
        <v>9.1650000000000009</v>
      </c>
      <c r="P2436">
        <v>0</v>
      </c>
      <c r="Q2436">
        <v>0</v>
      </c>
      <c r="R2436" t="s">
        <v>1356</v>
      </c>
    </row>
    <row r="2437" spans="1:19" hidden="1" x14ac:dyDescent="0.3">
      <c r="A2437">
        <v>484</v>
      </c>
      <c r="B2437" t="s">
        <v>1357</v>
      </c>
      <c r="C2437" t="s">
        <v>70</v>
      </c>
      <c r="D2437" t="s">
        <v>21</v>
      </c>
      <c r="E2437" t="s">
        <v>22</v>
      </c>
      <c r="F2437" s="79">
        <v>45473</v>
      </c>
      <c r="G2437">
        <v>2024</v>
      </c>
      <c r="H2437" t="s">
        <v>699</v>
      </c>
      <c r="I2437" t="s">
        <v>729</v>
      </c>
      <c r="J2437">
        <v>90</v>
      </c>
      <c r="K2437">
        <v>100</v>
      </c>
      <c r="L2437" s="39">
        <f t="shared" si="158"/>
        <v>1.1111111111111112</v>
      </c>
      <c r="M2437" s="39">
        <f t="shared" si="159"/>
        <v>1.1111111111111112</v>
      </c>
      <c r="N2437" t="s">
        <v>25</v>
      </c>
      <c r="O2437" t="s">
        <v>25</v>
      </c>
      <c r="P2437">
        <v>0</v>
      </c>
      <c r="Q2437">
        <v>0</v>
      </c>
      <c r="R2437" t="s">
        <v>3136</v>
      </c>
    </row>
    <row r="2438" spans="1:19" hidden="1" x14ac:dyDescent="0.3">
      <c r="A2438">
        <v>484</v>
      </c>
      <c r="B2438" t="s">
        <v>1357</v>
      </c>
      <c r="C2438" t="s">
        <v>70</v>
      </c>
      <c r="D2438" t="s">
        <v>21</v>
      </c>
      <c r="E2438" t="s">
        <v>22</v>
      </c>
      <c r="F2438" s="79">
        <v>45565</v>
      </c>
      <c r="G2438">
        <v>2024</v>
      </c>
      <c r="H2438" t="s">
        <v>162</v>
      </c>
      <c r="I2438" t="s">
        <v>30</v>
      </c>
      <c r="J2438">
        <v>90</v>
      </c>
      <c r="K2438">
        <v>100</v>
      </c>
      <c r="L2438" s="39">
        <f t="shared" si="158"/>
        <v>1.1111111111111112</v>
      </c>
      <c r="M2438" s="39">
        <f t="shared" si="159"/>
        <v>1.1111111111111112</v>
      </c>
      <c r="N2438" t="s">
        <v>25</v>
      </c>
      <c r="O2438" t="s">
        <v>25</v>
      </c>
      <c r="P2438">
        <v>0</v>
      </c>
      <c r="Q2438">
        <v>0</v>
      </c>
      <c r="R2438" t="s">
        <v>3137</v>
      </c>
    </row>
    <row r="2439" spans="1:19" hidden="1" x14ac:dyDescent="0.3">
      <c r="A2439">
        <v>484</v>
      </c>
      <c r="B2439" t="s">
        <v>1357</v>
      </c>
      <c r="C2439" t="s">
        <v>70</v>
      </c>
      <c r="D2439" t="s">
        <v>21</v>
      </c>
      <c r="E2439" t="s">
        <v>22</v>
      </c>
      <c r="F2439" s="79">
        <v>45657</v>
      </c>
      <c r="G2439">
        <v>2024</v>
      </c>
      <c r="H2439" t="s">
        <v>23</v>
      </c>
      <c r="I2439" t="s">
        <v>30</v>
      </c>
      <c r="J2439">
        <v>90</v>
      </c>
      <c r="K2439">
        <v>100</v>
      </c>
      <c r="L2439" s="39">
        <f t="shared" si="158"/>
        <v>1.1111111111111112</v>
      </c>
      <c r="M2439" s="39">
        <f t="shared" si="159"/>
        <v>1.1111111111111112</v>
      </c>
      <c r="N2439" t="s">
        <v>25</v>
      </c>
      <c r="O2439" t="s">
        <v>25</v>
      </c>
      <c r="P2439">
        <v>0</v>
      </c>
      <c r="Q2439">
        <v>0</v>
      </c>
      <c r="R2439" t="s">
        <v>1358</v>
      </c>
    </row>
    <row r="2440" spans="1:19" hidden="1" x14ac:dyDescent="0.3">
      <c r="A2440">
        <v>484</v>
      </c>
      <c r="B2440" t="s">
        <v>1357</v>
      </c>
      <c r="C2440" t="s">
        <v>70</v>
      </c>
      <c r="D2440" t="s">
        <v>21</v>
      </c>
      <c r="E2440" t="s">
        <v>22</v>
      </c>
      <c r="F2440" s="79">
        <v>45747</v>
      </c>
      <c r="G2440">
        <v>2025</v>
      </c>
      <c r="H2440" t="s">
        <v>1516</v>
      </c>
      <c r="I2440" t="s">
        <v>700</v>
      </c>
      <c r="J2440">
        <v>90</v>
      </c>
      <c r="K2440">
        <v>100</v>
      </c>
      <c r="L2440" s="39">
        <f t="shared" si="158"/>
        <v>1.1111111111111112</v>
      </c>
      <c r="M2440" s="39">
        <f t="shared" si="159"/>
        <v>1.1111111111111112</v>
      </c>
      <c r="N2440" t="s">
        <v>25</v>
      </c>
      <c r="O2440" t="s">
        <v>25</v>
      </c>
      <c r="P2440">
        <v>0</v>
      </c>
      <c r="Q2440">
        <v>0</v>
      </c>
      <c r="R2440" t="s">
        <v>3138</v>
      </c>
    </row>
    <row r="2441" spans="1:19" hidden="1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45838</v>
      </c>
      <c r="G2441">
        <v>2025</v>
      </c>
      <c r="H2441" t="s">
        <v>699</v>
      </c>
      <c r="I2441" t="s">
        <v>700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3139</v>
      </c>
    </row>
    <row r="2442" spans="1:19" hidden="1" x14ac:dyDescent="0.3">
      <c r="A2442">
        <v>484</v>
      </c>
      <c r="B2442" t="s">
        <v>1357</v>
      </c>
      <c r="C2442" t="s">
        <v>70</v>
      </c>
      <c r="D2442" t="s">
        <v>27</v>
      </c>
      <c r="E2442" t="s">
        <v>22</v>
      </c>
      <c r="F2442" s="79">
        <v>45930</v>
      </c>
      <c r="G2442">
        <v>2025</v>
      </c>
      <c r="H2442" t="s">
        <v>162</v>
      </c>
      <c r="I2442" t="s">
        <v>32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3140</v>
      </c>
    </row>
    <row r="2443" spans="1:19" hidden="1" x14ac:dyDescent="0.3">
      <c r="A2443">
        <v>484</v>
      </c>
      <c r="B2443" t="s">
        <v>1357</v>
      </c>
      <c r="C2443" t="s">
        <v>70</v>
      </c>
      <c r="D2443" t="s">
        <v>27</v>
      </c>
      <c r="E2443" t="s">
        <v>22</v>
      </c>
      <c r="F2443" s="79">
        <v>46022</v>
      </c>
      <c r="G2443">
        <v>2025</v>
      </c>
      <c r="H2443" t="s">
        <v>23</v>
      </c>
      <c r="I2443" t="s">
        <v>32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1359</v>
      </c>
    </row>
    <row r="2444" spans="1:19" hidden="1" x14ac:dyDescent="0.3">
      <c r="A2444">
        <v>485</v>
      </c>
      <c r="B2444" t="s">
        <v>1360</v>
      </c>
      <c r="C2444" t="s">
        <v>198</v>
      </c>
      <c r="D2444" t="s">
        <v>54</v>
      </c>
      <c r="E2444" t="s">
        <v>22</v>
      </c>
      <c r="F2444" s="79">
        <v>45322</v>
      </c>
      <c r="G2444">
        <v>2024</v>
      </c>
      <c r="H2444" t="s">
        <v>59</v>
      </c>
      <c r="I2444" t="s">
        <v>729</v>
      </c>
      <c r="L2444" s="39"/>
      <c r="M2444" s="39"/>
      <c r="N2444" t="s">
        <v>25</v>
      </c>
      <c r="O2444" t="s">
        <v>302</v>
      </c>
      <c r="P2444">
        <v>0</v>
      </c>
      <c r="Q2444">
        <v>0</v>
      </c>
      <c r="R2444" t="s">
        <v>3141</v>
      </c>
      <c r="S2444" t="s">
        <v>302</v>
      </c>
    </row>
    <row r="2445" spans="1:19" hidden="1" x14ac:dyDescent="0.3">
      <c r="A2445">
        <v>485</v>
      </c>
      <c r="B2445" t="s">
        <v>1360</v>
      </c>
      <c r="C2445" t="s">
        <v>198</v>
      </c>
      <c r="D2445" t="s">
        <v>54</v>
      </c>
      <c r="E2445" t="s">
        <v>22</v>
      </c>
      <c r="F2445" s="79">
        <v>45351</v>
      </c>
      <c r="G2445">
        <v>2024</v>
      </c>
      <c r="H2445" t="s">
        <v>210</v>
      </c>
      <c r="I2445" t="s">
        <v>729</v>
      </c>
      <c r="L2445" s="39"/>
      <c r="M2445" s="39"/>
      <c r="N2445" t="s">
        <v>25</v>
      </c>
      <c r="O2445" t="s">
        <v>302</v>
      </c>
      <c r="P2445">
        <v>0</v>
      </c>
      <c r="Q2445">
        <v>0</v>
      </c>
      <c r="R2445" t="s">
        <v>3142</v>
      </c>
      <c r="S2445" t="s">
        <v>302</v>
      </c>
    </row>
    <row r="2446" spans="1:19" hidden="1" x14ac:dyDescent="0.3">
      <c r="A2446">
        <v>485</v>
      </c>
      <c r="B2446" t="s">
        <v>1360</v>
      </c>
      <c r="C2446" t="s">
        <v>198</v>
      </c>
      <c r="D2446" t="s">
        <v>54</v>
      </c>
      <c r="E2446" t="s">
        <v>22</v>
      </c>
      <c r="F2446" s="79">
        <v>45382</v>
      </c>
      <c r="G2446">
        <v>2024</v>
      </c>
      <c r="H2446" t="s">
        <v>1516</v>
      </c>
      <c r="I2446" t="s">
        <v>729</v>
      </c>
      <c r="L2446" s="39"/>
      <c r="M2446" s="39"/>
      <c r="N2446" t="s">
        <v>25</v>
      </c>
      <c r="O2446" t="s">
        <v>302</v>
      </c>
      <c r="P2446">
        <v>0</v>
      </c>
      <c r="Q2446">
        <v>0</v>
      </c>
      <c r="R2446" t="s">
        <v>3143</v>
      </c>
      <c r="S2446" t="s">
        <v>302</v>
      </c>
    </row>
    <row r="2447" spans="1:19" hidden="1" x14ac:dyDescent="0.3">
      <c r="A2447">
        <v>485</v>
      </c>
      <c r="B2447" t="s">
        <v>1360</v>
      </c>
      <c r="C2447" t="s">
        <v>198</v>
      </c>
      <c r="D2447" t="s">
        <v>54</v>
      </c>
      <c r="E2447" t="s">
        <v>22</v>
      </c>
      <c r="F2447" s="79">
        <v>45412</v>
      </c>
      <c r="G2447">
        <v>2024</v>
      </c>
      <c r="H2447" t="s">
        <v>1540</v>
      </c>
      <c r="I2447" t="s">
        <v>729</v>
      </c>
      <c r="L2447" s="39"/>
      <c r="M2447" s="39"/>
      <c r="N2447" t="s">
        <v>25</v>
      </c>
      <c r="O2447" t="s">
        <v>302</v>
      </c>
      <c r="P2447">
        <v>0</v>
      </c>
      <c r="Q2447">
        <v>0</v>
      </c>
      <c r="R2447" t="s">
        <v>3144</v>
      </c>
      <c r="S2447" t="s">
        <v>302</v>
      </c>
    </row>
    <row r="2448" spans="1:19" hidden="1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45443</v>
      </c>
      <c r="G2448">
        <v>2024</v>
      </c>
      <c r="H2448" t="s">
        <v>1542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3145</v>
      </c>
      <c r="S2448" t="s">
        <v>302</v>
      </c>
    </row>
    <row r="2449" spans="1:19" hidden="1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3146</v>
      </c>
      <c r="S2449" t="s">
        <v>302</v>
      </c>
    </row>
    <row r="2450" spans="1:19" hidden="1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45504</v>
      </c>
      <c r="G2450">
        <v>2024</v>
      </c>
      <c r="H2450" t="s">
        <v>260</v>
      </c>
      <c r="I2450" t="s">
        <v>30</v>
      </c>
      <c r="J2450">
        <v>80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3147</v>
      </c>
      <c r="S2450" t="s">
        <v>302</v>
      </c>
    </row>
    <row r="2451" spans="1:19" hidden="1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45565</v>
      </c>
      <c r="G2451">
        <v>2024</v>
      </c>
      <c r="H2451" t="s">
        <v>162</v>
      </c>
      <c r="I2451" t="s">
        <v>30</v>
      </c>
      <c r="J2451">
        <v>80</v>
      </c>
      <c r="K2451">
        <v>100</v>
      </c>
      <c r="L2451" s="39">
        <f t="shared" ref="L2451:L2465" si="160">IFERROR(IF(OR(J2451=0,K2451=""),"",IF(E2451="Positivo",MIN(MAX(K2451/J2451,0),1.3),MIN(MAX(J2451/K2451,0),1.3))),"")</f>
        <v>1.25</v>
      </c>
      <c r="M2451" s="39">
        <f t="shared" ref="M2451:M2465" si="161">IFERROR(IF(OR(J2451=0,K2451=""),"",IF(E2451="Positivo",MAX(K2451/J2451,0),MAX(J2451/K2451,0))),"")</f>
        <v>1.25</v>
      </c>
      <c r="P2451">
        <v>0</v>
      </c>
      <c r="Q2451">
        <v>0</v>
      </c>
      <c r="R2451" t="s">
        <v>3148</v>
      </c>
    </row>
    <row r="2452" spans="1:19" hidden="1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45596</v>
      </c>
      <c r="G2452">
        <v>2024</v>
      </c>
      <c r="H2452" t="s">
        <v>150</v>
      </c>
      <c r="I2452" t="s">
        <v>30</v>
      </c>
      <c r="J2452">
        <v>80</v>
      </c>
      <c r="K2452">
        <v>100</v>
      </c>
      <c r="L2452" s="39">
        <f t="shared" si="160"/>
        <v>1.25</v>
      </c>
      <c r="M2452" s="39">
        <f t="shared" si="161"/>
        <v>1.25</v>
      </c>
      <c r="P2452">
        <v>0</v>
      </c>
      <c r="Q2452">
        <v>0</v>
      </c>
      <c r="R2452" t="s">
        <v>3149</v>
      </c>
    </row>
    <row r="2453" spans="1:19" hidden="1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45626</v>
      </c>
      <c r="G2453">
        <v>2024</v>
      </c>
      <c r="H2453" t="s">
        <v>1550</v>
      </c>
      <c r="I2453" t="s">
        <v>30</v>
      </c>
      <c r="J2453">
        <v>80</v>
      </c>
      <c r="K2453">
        <v>100</v>
      </c>
      <c r="L2453" s="39">
        <f t="shared" si="160"/>
        <v>1.25</v>
      </c>
      <c r="M2453" s="39">
        <f t="shared" si="161"/>
        <v>1.25</v>
      </c>
      <c r="P2453">
        <v>0</v>
      </c>
      <c r="Q2453">
        <v>0</v>
      </c>
      <c r="R2453" t="s">
        <v>3150</v>
      </c>
    </row>
    <row r="2454" spans="1:19" hidden="1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80</v>
      </c>
      <c r="K2454">
        <v>66.666666666666657</v>
      </c>
      <c r="L2454" s="39">
        <f t="shared" si="160"/>
        <v>0.83333333333333326</v>
      </c>
      <c r="M2454" s="39">
        <f t="shared" si="161"/>
        <v>0.83333333333333326</v>
      </c>
      <c r="P2454">
        <v>0</v>
      </c>
      <c r="Q2454">
        <v>0</v>
      </c>
      <c r="R2454" t="s">
        <v>1361</v>
      </c>
    </row>
    <row r="2455" spans="1:19" hidden="1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45688</v>
      </c>
      <c r="G2455">
        <v>2025</v>
      </c>
      <c r="H2455" t="s">
        <v>59</v>
      </c>
      <c r="I2455" t="s">
        <v>700</v>
      </c>
      <c r="J2455">
        <v>80</v>
      </c>
      <c r="K2455">
        <v>100</v>
      </c>
      <c r="L2455" s="39">
        <f t="shared" si="160"/>
        <v>1.25</v>
      </c>
      <c r="M2455" s="39">
        <f t="shared" si="161"/>
        <v>1.25</v>
      </c>
      <c r="P2455">
        <v>0</v>
      </c>
      <c r="Q2455">
        <v>0</v>
      </c>
      <c r="R2455" t="s">
        <v>3151</v>
      </c>
    </row>
    <row r="2456" spans="1:19" hidden="1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45716</v>
      </c>
      <c r="G2456">
        <v>2025</v>
      </c>
      <c r="H2456" t="s">
        <v>210</v>
      </c>
      <c r="I2456" t="s">
        <v>700</v>
      </c>
      <c r="J2456">
        <v>80</v>
      </c>
      <c r="K2456">
        <v>50</v>
      </c>
      <c r="L2456" s="39">
        <f t="shared" si="160"/>
        <v>0.625</v>
      </c>
      <c r="M2456" s="39">
        <f t="shared" si="161"/>
        <v>0.625</v>
      </c>
      <c r="P2456">
        <v>0</v>
      </c>
      <c r="Q2456">
        <v>0</v>
      </c>
      <c r="R2456" t="s">
        <v>3152</v>
      </c>
    </row>
    <row r="2457" spans="1:19" hidden="1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45747</v>
      </c>
      <c r="G2457">
        <v>2025</v>
      </c>
      <c r="H2457" t="s">
        <v>1516</v>
      </c>
      <c r="I2457" t="s">
        <v>700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3153</v>
      </c>
    </row>
    <row r="2458" spans="1:19" hidden="1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45777</v>
      </c>
      <c r="G2458">
        <v>2025</v>
      </c>
      <c r="H2458" t="s">
        <v>1540</v>
      </c>
      <c r="I2458" t="s">
        <v>700</v>
      </c>
      <c r="J2458">
        <v>80</v>
      </c>
      <c r="K2458">
        <v>100</v>
      </c>
      <c r="L2458" s="39">
        <f t="shared" si="160"/>
        <v>1.25</v>
      </c>
      <c r="M2458" s="39">
        <f t="shared" si="161"/>
        <v>1.25</v>
      </c>
      <c r="P2458">
        <v>0</v>
      </c>
      <c r="Q2458">
        <v>0</v>
      </c>
      <c r="R2458" t="s">
        <v>3154</v>
      </c>
    </row>
    <row r="2459" spans="1:19" hidden="1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45808</v>
      </c>
      <c r="G2459">
        <v>2025</v>
      </c>
      <c r="H2459" t="s">
        <v>1542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3155</v>
      </c>
    </row>
    <row r="2460" spans="1:19" hidden="1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45838</v>
      </c>
      <c r="G2460">
        <v>2025</v>
      </c>
      <c r="H2460" t="s">
        <v>699</v>
      </c>
      <c r="I2460" t="s">
        <v>700</v>
      </c>
      <c r="J2460">
        <v>80</v>
      </c>
      <c r="K2460">
        <v>66.67</v>
      </c>
      <c r="L2460" s="39">
        <f t="shared" si="160"/>
        <v>0.83337499999999998</v>
      </c>
      <c r="M2460" s="39">
        <f t="shared" si="161"/>
        <v>0.83337499999999998</v>
      </c>
      <c r="P2460">
        <v>0</v>
      </c>
      <c r="Q2460">
        <v>0</v>
      </c>
      <c r="R2460" t="s">
        <v>3156</v>
      </c>
    </row>
    <row r="2461" spans="1:19" hidden="1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45869</v>
      </c>
      <c r="G2461">
        <v>2025</v>
      </c>
      <c r="H2461" t="s">
        <v>260</v>
      </c>
      <c r="I2461" t="s">
        <v>32</v>
      </c>
      <c r="J2461">
        <v>80</v>
      </c>
      <c r="K2461">
        <v>66.67</v>
      </c>
      <c r="L2461" s="39">
        <f t="shared" si="160"/>
        <v>0.83337499999999998</v>
      </c>
      <c r="M2461" s="39">
        <f t="shared" si="161"/>
        <v>0.83337499999999998</v>
      </c>
      <c r="P2461">
        <v>0</v>
      </c>
      <c r="Q2461">
        <v>0</v>
      </c>
      <c r="R2461" t="s">
        <v>3157</v>
      </c>
    </row>
    <row r="2462" spans="1:19" hidden="1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45900</v>
      </c>
      <c r="G2462">
        <v>2025</v>
      </c>
      <c r="H2462" t="s">
        <v>1546</v>
      </c>
      <c r="I2462" t="s">
        <v>32</v>
      </c>
      <c r="J2462">
        <v>80</v>
      </c>
      <c r="K2462">
        <v>50</v>
      </c>
      <c r="L2462" s="39">
        <f t="shared" si="160"/>
        <v>0.625</v>
      </c>
      <c r="M2462" s="39">
        <f t="shared" si="161"/>
        <v>0.625</v>
      </c>
      <c r="N2462" t="s">
        <v>25</v>
      </c>
      <c r="O2462" t="s">
        <v>25</v>
      </c>
      <c r="P2462">
        <v>0</v>
      </c>
      <c r="Q2462">
        <v>0</v>
      </c>
      <c r="R2462" t="s">
        <v>3158</v>
      </c>
    </row>
    <row r="2463" spans="1:19" hidden="1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45930</v>
      </c>
      <c r="G2463">
        <v>2025</v>
      </c>
      <c r="H2463" t="s">
        <v>162</v>
      </c>
      <c r="I2463" t="s">
        <v>32</v>
      </c>
      <c r="J2463">
        <v>80</v>
      </c>
      <c r="K2463">
        <v>62.5</v>
      </c>
      <c r="L2463" s="39">
        <f t="shared" si="160"/>
        <v>0.78125</v>
      </c>
      <c r="M2463" s="39">
        <f t="shared" si="161"/>
        <v>0.78125</v>
      </c>
      <c r="N2463" t="s">
        <v>25</v>
      </c>
      <c r="O2463" t="s">
        <v>25</v>
      </c>
      <c r="P2463">
        <v>0</v>
      </c>
      <c r="Q2463">
        <v>0</v>
      </c>
      <c r="R2463" t="s">
        <v>3159</v>
      </c>
    </row>
    <row r="2464" spans="1:19" hidden="1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45961</v>
      </c>
      <c r="G2464">
        <v>2025</v>
      </c>
      <c r="H2464" t="s">
        <v>150</v>
      </c>
      <c r="I2464" t="s">
        <v>32</v>
      </c>
      <c r="J2464">
        <v>80</v>
      </c>
      <c r="K2464">
        <v>100</v>
      </c>
      <c r="L2464" s="39">
        <f t="shared" si="160"/>
        <v>1.25</v>
      </c>
      <c r="M2464" s="39">
        <f t="shared" si="161"/>
        <v>1.25</v>
      </c>
      <c r="N2464" t="s">
        <v>25</v>
      </c>
      <c r="O2464" t="s">
        <v>25</v>
      </c>
      <c r="P2464">
        <v>0</v>
      </c>
      <c r="Q2464">
        <v>0</v>
      </c>
      <c r="R2464" t="s">
        <v>3160</v>
      </c>
    </row>
    <row r="2465" spans="1:19" hidden="1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45991</v>
      </c>
      <c r="G2465">
        <v>2025</v>
      </c>
      <c r="H2465" t="s">
        <v>1550</v>
      </c>
      <c r="I2465" t="s">
        <v>32</v>
      </c>
      <c r="J2465">
        <v>80</v>
      </c>
      <c r="K2465">
        <v>85.71</v>
      </c>
      <c r="L2465" s="39">
        <f t="shared" si="160"/>
        <v>1.071375</v>
      </c>
      <c r="M2465" s="39">
        <f t="shared" si="161"/>
        <v>1.071375</v>
      </c>
      <c r="N2465" t="s">
        <v>25</v>
      </c>
      <c r="O2465" t="s">
        <v>25</v>
      </c>
      <c r="P2465">
        <v>0</v>
      </c>
      <c r="Q2465">
        <v>0</v>
      </c>
      <c r="R2465" t="s">
        <v>3161</v>
      </c>
    </row>
    <row r="2466" spans="1:19" hidden="1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46022</v>
      </c>
      <c r="G2466">
        <v>2025</v>
      </c>
      <c r="H2466" t="s">
        <v>23</v>
      </c>
      <c r="I2466" t="s">
        <v>32</v>
      </c>
      <c r="J2466">
        <v>80</v>
      </c>
      <c r="L2466" s="39"/>
      <c r="M2466" s="39"/>
      <c r="N2466" t="s">
        <v>25</v>
      </c>
      <c r="O2466" t="s">
        <v>302</v>
      </c>
      <c r="P2466">
        <v>0</v>
      </c>
      <c r="Q2466">
        <v>0</v>
      </c>
      <c r="R2466" t="s">
        <v>1362</v>
      </c>
      <c r="S2466" t="s">
        <v>302</v>
      </c>
    </row>
    <row r="2467" spans="1:19" hidden="1" x14ac:dyDescent="0.3">
      <c r="A2467">
        <v>486</v>
      </c>
      <c r="B2467" t="s">
        <v>1363</v>
      </c>
      <c r="C2467" t="s">
        <v>149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K2467">
        <v>4900000</v>
      </c>
      <c r="L2467" s="39"/>
      <c r="M2467" s="39"/>
      <c r="N2467" t="s">
        <v>302</v>
      </c>
      <c r="O2467" t="s">
        <v>302</v>
      </c>
      <c r="P2467">
        <v>0</v>
      </c>
      <c r="Q2467">
        <v>0</v>
      </c>
      <c r="R2467" t="s">
        <v>3162</v>
      </c>
    </row>
    <row r="2468" spans="1:19" hidden="1" x14ac:dyDescent="0.3">
      <c r="A2468">
        <v>486</v>
      </c>
      <c r="B2468" t="s">
        <v>1363</v>
      </c>
      <c r="C2468" t="s">
        <v>149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K2468">
        <v>2700000</v>
      </c>
      <c r="L2468" s="39"/>
      <c r="M2468" s="39"/>
      <c r="N2468" t="s">
        <v>302</v>
      </c>
      <c r="O2468" t="s">
        <v>302</v>
      </c>
      <c r="P2468">
        <v>0</v>
      </c>
      <c r="Q2468">
        <v>0</v>
      </c>
      <c r="R2468" t="s">
        <v>1364</v>
      </c>
    </row>
    <row r="2469" spans="1:19" hidden="1" x14ac:dyDescent="0.3">
      <c r="A2469">
        <v>486</v>
      </c>
      <c r="B2469" t="s">
        <v>1363</v>
      </c>
      <c r="C2469" t="s">
        <v>149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K2469">
        <v>2890610</v>
      </c>
      <c r="L2469" s="39"/>
      <c r="M2469" s="39"/>
      <c r="N2469" t="s">
        <v>25</v>
      </c>
      <c r="O2469" t="s">
        <v>25</v>
      </c>
      <c r="P2469">
        <v>0</v>
      </c>
      <c r="Q2469">
        <v>0</v>
      </c>
      <c r="R2469" t="s">
        <v>3163</v>
      </c>
    </row>
    <row r="2470" spans="1:19" hidden="1" x14ac:dyDescent="0.3">
      <c r="A2470">
        <v>486</v>
      </c>
      <c r="B2470" t="s">
        <v>1363</v>
      </c>
      <c r="C2470" t="s">
        <v>149</v>
      </c>
      <c r="D2470" t="s">
        <v>21</v>
      </c>
      <c r="E2470" t="s">
        <v>22</v>
      </c>
      <c r="F2470" s="79">
        <v>46022</v>
      </c>
      <c r="G2470">
        <v>2025</v>
      </c>
      <c r="H2470" t="s">
        <v>23</v>
      </c>
      <c r="I2470" t="s">
        <v>32</v>
      </c>
      <c r="K2470">
        <v>2703941</v>
      </c>
      <c r="L2470" s="39"/>
      <c r="M2470" s="39"/>
      <c r="N2470" t="s">
        <v>25</v>
      </c>
      <c r="O2470" t="s">
        <v>25</v>
      </c>
      <c r="P2470">
        <v>0</v>
      </c>
      <c r="Q2470">
        <v>0</v>
      </c>
      <c r="R2470" t="s">
        <v>1365</v>
      </c>
    </row>
    <row r="2471" spans="1:19" hidden="1" x14ac:dyDescent="0.3">
      <c r="A2471">
        <v>487</v>
      </c>
      <c r="B2471" t="s">
        <v>1366</v>
      </c>
      <c r="C2471" t="s">
        <v>619</v>
      </c>
      <c r="D2471" t="s">
        <v>71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20</v>
      </c>
      <c r="K2471">
        <v>6.06</v>
      </c>
      <c r="L2471" s="39">
        <f>IFERROR(IF(OR(J2471=0,K2471=""),"",IF(E2471="Positivo",MIN(MAX(K2471/J2471,0),1.3),MIN(MAX(J2471/K2471,0),1.3))),"")</f>
        <v>0.30299999999999999</v>
      </c>
      <c r="M2471" s="39">
        <f>IFERROR(IF(OR(J2471=0,K2471=""),"",IF(E2471="Positivo",MAX(K2471/J2471,0),MAX(J2471/K2471,0))),"")</f>
        <v>0.30299999999999999</v>
      </c>
      <c r="P2471">
        <v>0</v>
      </c>
      <c r="Q2471">
        <v>0</v>
      </c>
      <c r="R2471" t="s">
        <v>1367</v>
      </c>
    </row>
    <row r="2472" spans="1:19" hidden="1" x14ac:dyDescent="0.3">
      <c r="A2472">
        <v>487</v>
      </c>
      <c r="B2472" t="s">
        <v>3164</v>
      </c>
      <c r="C2472" t="s">
        <v>619</v>
      </c>
      <c r="D2472" t="s">
        <v>71</v>
      </c>
      <c r="E2472" t="s">
        <v>22</v>
      </c>
      <c r="F2472" s="79">
        <v>46022</v>
      </c>
      <c r="G2472">
        <v>2025</v>
      </c>
      <c r="H2472" t="s">
        <v>23</v>
      </c>
      <c r="I2472" t="s">
        <v>32</v>
      </c>
      <c r="J2472">
        <v>20</v>
      </c>
      <c r="K2472">
        <v>58.86</v>
      </c>
      <c r="L2472" s="39">
        <f>IFERROR(IF(OR(J2472=0,K2472=""),"",IF(E2472="Positivo",MIN(MAX(K2472/J2472,0),1.3),MIN(MAX(J2472/K2472,0),1.3))),"")</f>
        <v>1.3</v>
      </c>
      <c r="M2472" s="39">
        <f>IFERROR(IF(OR(J2472=0,K2472=""),"",IF(E2472="Positivo",MAX(K2472/J2472,0),MAX(J2472/K2472,0))),"")</f>
        <v>2.9430000000000001</v>
      </c>
      <c r="N2472" t="s">
        <v>25</v>
      </c>
      <c r="O2472" t="s">
        <v>25</v>
      </c>
      <c r="P2472">
        <v>0</v>
      </c>
      <c r="Q2472">
        <v>0</v>
      </c>
      <c r="R2472" t="s">
        <v>1368</v>
      </c>
    </row>
    <row r="2473" spans="1:19" hidden="1" x14ac:dyDescent="0.3">
      <c r="A2473">
        <v>488</v>
      </c>
      <c r="B2473" t="s">
        <v>1369</v>
      </c>
      <c r="C2473" t="s">
        <v>198</v>
      </c>
      <c r="D2473" t="s">
        <v>54</v>
      </c>
      <c r="E2473" t="s">
        <v>22</v>
      </c>
      <c r="F2473" s="79">
        <v>45322</v>
      </c>
      <c r="G2473">
        <v>2024</v>
      </c>
      <c r="H2473" t="s">
        <v>59</v>
      </c>
      <c r="I2473" t="s">
        <v>729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3165</v>
      </c>
      <c r="S2473" t="s">
        <v>302</v>
      </c>
    </row>
    <row r="2474" spans="1:19" hidden="1" x14ac:dyDescent="0.3">
      <c r="A2474">
        <v>488</v>
      </c>
      <c r="B2474" t="s">
        <v>1369</v>
      </c>
      <c r="C2474" t="s">
        <v>198</v>
      </c>
      <c r="D2474" t="s">
        <v>54</v>
      </c>
      <c r="E2474" t="s">
        <v>22</v>
      </c>
      <c r="F2474" s="79">
        <v>45351</v>
      </c>
      <c r="G2474">
        <v>2024</v>
      </c>
      <c r="H2474" t="s">
        <v>210</v>
      </c>
      <c r="I2474" t="s">
        <v>729</v>
      </c>
      <c r="L2474" s="39"/>
      <c r="M2474" s="39"/>
      <c r="N2474" t="s">
        <v>25</v>
      </c>
      <c r="O2474" t="s">
        <v>302</v>
      </c>
      <c r="P2474">
        <v>0</v>
      </c>
      <c r="Q2474">
        <v>0</v>
      </c>
      <c r="R2474" t="s">
        <v>3166</v>
      </c>
      <c r="S2474" t="s">
        <v>302</v>
      </c>
    </row>
    <row r="2475" spans="1:19" hidden="1" x14ac:dyDescent="0.3">
      <c r="A2475">
        <v>488</v>
      </c>
      <c r="B2475" t="s">
        <v>1369</v>
      </c>
      <c r="C2475" t="s">
        <v>198</v>
      </c>
      <c r="D2475" t="s">
        <v>54</v>
      </c>
      <c r="E2475" t="s">
        <v>22</v>
      </c>
      <c r="F2475" s="79">
        <v>45382</v>
      </c>
      <c r="G2475">
        <v>2024</v>
      </c>
      <c r="H2475" t="s">
        <v>1516</v>
      </c>
      <c r="I2475" t="s">
        <v>729</v>
      </c>
      <c r="L2475" s="39"/>
      <c r="M2475" s="39"/>
      <c r="N2475" t="s">
        <v>25</v>
      </c>
      <c r="O2475" t="s">
        <v>302</v>
      </c>
      <c r="P2475">
        <v>0</v>
      </c>
      <c r="Q2475">
        <v>0</v>
      </c>
      <c r="R2475" t="s">
        <v>3167</v>
      </c>
      <c r="S2475" t="s">
        <v>302</v>
      </c>
    </row>
    <row r="2476" spans="1:19" hidden="1" x14ac:dyDescent="0.3">
      <c r="A2476">
        <v>488</v>
      </c>
      <c r="B2476" t="s">
        <v>1369</v>
      </c>
      <c r="C2476" t="s">
        <v>198</v>
      </c>
      <c r="D2476" t="s">
        <v>54</v>
      </c>
      <c r="E2476" t="s">
        <v>22</v>
      </c>
      <c r="F2476" s="79">
        <v>45412</v>
      </c>
      <c r="G2476">
        <v>2024</v>
      </c>
      <c r="H2476" t="s">
        <v>1540</v>
      </c>
      <c r="I2476" t="s">
        <v>729</v>
      </c>
      <c r="L2476" s="39"/>
      <c r="M2476" s="39"/>
      <c r="N2476" t="s">
        <v>25</v>
      </c>
      <c r="O2476" t="s">
        <v>302</v>
      </c>
      <c r="P2476">
        <v>0</v>
      </c>
      <c r="Q2476">
        <v>0</v>
      </c>
      <c r="R2476" t="s">
        <v>3168</v>
      </c>
      <c r="S2476" t="s">
        <v>302</v>
      </c>
    </row>
    <row r="2477" spans="1:19" hidden="1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45443</v>
      </c>
      <c r="G2477">
        <v>2024</v>
      </c>
      <c r="H2477" t="s">
        <v>1542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3169</v>
      </c>
      <c r="S2477" t="s">
        <v>302</v>
      </c>
    </row>
    <row r="2478" spans="1:19" hidden="1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45473</v>
      </c>
      <c r="G2478">
        <v>2024</v>
      </c>
      <c r="H2478" t="s">
        <v>699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3170</v>
      </c>
      <c r="S2478" t="s">
        <v>302</v>
      </c>
    </row>
    <row r="2479" spans="1:19" hidden="1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45504</v>
      </c>
      <c r="G2479">
        <v>2024</v>
      </c>
      <c r="H2479" t="s">
        <v>260</v>
      </c>
      <c r="I2479" t="s">
        <v>30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3171</v>
      </c>
      <c r="S2479" t="s">
        <v>302</v>
      </c>
    </row>
    <row r="2480" spans="1:19" hidden="1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45535</v>
      </c>
      <c r="G2480">
        <v>2024</v>
      </c>
      <c r="H2480" t="s">
        <v>1546</v>
      </c>
      <c r="I2480" t="s">
        <v>30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3172</v>
      </c>
      <c r="S2480" t="s">
        <v>302</v>
      </c>
    </row>
    <row r="2481" spans="1:19" hidden="1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45565</v>
      </c>
      <c r="G2481">
        <v>2024</v>
      </c>
      <c r="H2481" t="s">
        <v>162</v>
      </c>
      <c r="I2481" t="s">
        <v>30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3173</v>
      </c>
      <c r="S2481" t="s">
        <v>302</v>
      </c>
    </row>
    <row r="2482" spans="1:19" hidden="1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45596</v>
      </c>
      <c r="G2482">
        <v>2024</v>
      </c>
      <c r="H2482" t="s">
        <v>150</v>
      </c>
      <c r="I2482" t="s">
        <v>30</v>
      </c>
      <c r="J2482">
        <v>85</v>
      </c>
      <c r="K2482">
        <v>91.78082191780824</v>
      </c>
      <c r="L2482" s="39">
        <f>IFERROR(IF(OR(J2482=0,K2482=""),"",IF(E2482="Positivo",MIN(MAX(K2482/J2482,0),1.3),MIN(MAX(J2482/K2482,0),1.3))),"")</f>
        <v>1.0797743755036264</v>
      </c>
      <c r="M2482" s="39">
        <f>IFERROR(IF(OR(J2482=0,K2482=""),"",IF(E2482="Positivo",MAX(K2482/J2482,0),MAX(J2482/K2482,0))),"")</f>
        <v>1.0797743755036264</v>
      </c>
      <c r="N2482" t="s">
        <v>25</v>
      </c>
      <c r="O2482" t="s">
        <v>25</v>
      </c>
      <c r="P2482">
        <v>0</v>
      </c>
      <c r="Q2482">
        <v>0</v>
      </c>
      <c r="R2482" t="s">
        <v>3174</v>
      </c>
    </row>
    <row r="2483" spans="1:19" hidden="1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45626</v>
      </c>
      <c r="G2483">
        <v>2024</v>
      </c>
      <c r="H2483" t="s">
        <v>1550</v>
      </c>
      <c r="I2483" t="s">
        <v>30</v>
      </c>
      <c r="J2483">
        <v>85</v>
      </c>
      <c r="K2483">
        <v>95.786516853932582</v>
      </c>
      <c r="L2483" s="39">
        <f>IFERROR(IF(OR(J2483=0,K2483=""),"",IF(E2483="Positivo",MIN(MAX(K2483/J2483,0),1.3),MIN(MAX(J2483/K2483,0),1.3))),"")</f>
        <v>1.1269001982815599</v>
      </c>
      <c r="M2483" s="39">
        <f>IFERROR(IF(OR(J2483=0,K2483=""),"",IF(E2483="Positivo",MAX(K2483/J2483,0),MAX(J2483/K2483,0))),"")</f>
        <v>1.1269001982815599</v>
      </c>
      <c r="N2483" t="s">
        <v>25</v>
      </c>
      <c r="O2483" t="s">
        <v>25</v>
      </c>
      <c r="P2483">
        <v>0</v>
      </c>
      <c r="Q2483">
        <v>0</v>
      </c>
      <c r="R2483" t="s">
        <v>3175</v>
      </c>
    </row>
    <row r="2484" spans="1:19" hidden="1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45657</v>
      </c>
      <c r="G2484">
        <v>2024</v>
      </c>
      <c r="H2484" t="s">
        <v>23</v>
      </c>
      <c r="I2484" t="s">
        <v>30</v>
      </c>
      <c r="J2484">
        <v>85</v>
      </c>
      <c r="K2484">
        <v>91.31652661064426</v>
      </c>
      <c r="L2484" s="39">
        <f>IFERROR(IF(OR(J2484=0,K2484=""),"",IF(E2484="Positivo",MIN(MAX(K2484/J2484,0),1.3),MIN(MAX(J2484/K2484,0),1.3))),"")</f>
        <v>1.0743120777722854</v>
      </c>
      <c r="M2484" s="39">
        <f>IFERROR(IF(OR(J2484=0,K2484=""),"",IF(E2484="Positivo",MAX(K2484/J2484,0),MAX(J2484/K2484,0))),"")</f>
        <v>1.0743120777722854</v>
      </c>
      <c r="N2484" t="s">
        <v>25</v>
      </c>
      <c r="O2484" t="s">
        <v>25</v>
      </c>
      <c r="P2484">
        <v>0</v>
      </c>
      <c r="Q2484">
        <v>0</v>
      </c>
      <c r="R2484" t="s">
        <v>1370</v>
      </c>
    </row>
    <row r="2485" spans="1:19" hidden="1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45688</v>
      </c>
      <c r="G2485">
        <v>2025</v>
      </c>
      <c r="H2485" t="s">
        <v>59</v>
      </c>
      <c r="I2485" t="s">
        <v>700</v>
      </c>
      <c r="J2485">
        <v>85</v>
      </c>
      <c r="K2485">
        <v>78.048780487804876</v>
      </c>
      <c r="L2485" s="39">
        <f>IFERROR(IF(OR(J2485=0,K2485=""),"",IF(E2485="Positivo",MIN(MAX(K2485/J2485,0),1.3),MIN(MAX(J2485/K2485,0),1.3))),"")</f>
        <v>0.9182209469153515</v>
      </c>
      <c r="M2485" s="39">
        <f>IFERROR(IF(OR(J2485=0,K2485=""),"",IF(E2485="Positivo",MAX(K2485/J2485,0),MAX(J2485/K2485,0))),"")</f>
        <v>0.9182209469153515</v>
      </c>
      <c r="N2485" t="s">
        <v>25</v>
      </c>
      <c r="O2485" t="s">
        <v>25</v>
      </c>
      <c r="P2485">
        <v>0</v>
      </c>
      <c r="Q2485">
        <v>0</v>
      </c>
      <c r="R2485" t="s">
        <v>3176</v>
      </c>
    </row>
    <row r="2486" spans="1:19" hidden="1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45716</v>
      </c>
      <c r="G2486">
        <v>2025</v>
      </c>
      <c r="H2486" t="s">
        <v>210</v>
      </c>
      <c r="I2486" t="s">
        <v>700</v>
      </c>
      <c r="J2486">
        <v>85</v>
      </c>
      <c r="K2486">
        <v>77.205882352941174</v>
      </c>
      <c r="L2486" s="39">
        <f>IFERROR(IF(OR(J2486=0,K2486=""),"",IF(E2486="Positivo",MIN(MAX(K2486/J2486,0),1.3),MIN(MAX(J2486/K2486,0),1.3))),"")</f>
        <v>0.90830449826989612</v>
      </c>
      <c r="M2486" s="39">
        <f>IFERROR(IF(OR(J2486=0,K2486=""),"",IF(E2486="Positivo",MAX(K2486/J2486,0),MAX(J2486/K2486,0))),"")</f>
        <v>0.90830449826989612</v>
      </c>
      <c r="N2486" t="s">
        <v>25</v>
      </c>
      <c r="O2486" t="s">
        <v>25</v>
      </c>
      <c r="P2486">
        <v>0</v>
      </c>
      <c r="Q2486">
        <v>0</v>
      </c>
      <c r="R2486" t="s">
        <v>3177</v>
      </c>
    </row>
    <row r="2487" spans="1:19" hidden="1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45747</v>
      </c>
      <c r="G2487">
        <v>2025</v>
      </c>
      <c r="H2487" t="s">
        <v>1516</v>
      </c>
      <c r="I2487" t="s">
        <v>700</v>
      </c>
      <c r="J2487">
        <v>85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3178</v>
      </c>
      <c r="S2487" t="s">
        <v>302</v>
      </c>
    </row>
    <row r="2488" spans="1:19" hidden="1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45777</v>
      </c>
      <c r="G2488">
        <v>2025</v>
      </c>
      <c r="H2488" t="s">
        <v>1540</v>
      </c>
      <c r="I2488" t="s">
        <v>700</v>
      </c>
      <c r="J2488">
        <v>85</v>
      </c>
      <c r="K2488">
        <v>64.91</v>
      </c>
      <c r="L2488" s="39">
        <f t="shared" ref="L2488:L2519" si="162">IFERROR(IF(OR(J2488=0,K2488=""),"",IF(E2488="Positivo",MIN(MAX(K2488/J2488,0),1.3),MIN(MAX(J2488/K2488,0),1.3))),"")</f>
        <v>0.76364705882352935</v>
      </c>
      <c r="M2488" s="39">
        <f t="shared" ref="M2488:M2519" si="163">IFERROR(IF(OR(J2488=0,K2488=""),"",IF(E2488="Positivo",MAX(K2488/J2488,0),MAX(J2488/K2488,0))),"")</f>
        <v>0.76364705882352935</v>
      </c>
      <c r="N2488" t="s">
        <v>25</v>
      </c>
      <c r="O2488" t="s">
        <v>25</v>
      </c>
      <c r="P2488">
        <v>0</v>
      </c>
      <c r="Q2488">
        <v>0</v>
      </c>
      <c r="R2488" t="s">
        <v>3179</v>
      </c>
    </row>
    <row r="2489" spans="1:19" hidden="1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45808</v>
      </c>
      <c r="G2489">
        <v>2025</v>
      </c>
      <c r="H2489" t="s">
        <v>1542</v>
      </c>
      <c r="I2489" t="s">
        <v>700</v>
      </c>
      <c r="J2489">
        <v>85</v>
      </c>
      <c r="K2489">
        <v>67.86</v>
      </c>
      <c r="L2489" s="39">
        <f t="shared" si="162"/>
        <v>0.7983529411764706</v>
      </c>
      <c r="M2489" s="39">
        <f t="shared" si="163"/>
        <v>0.7983529411764706</v>
      </c>
      <c r="N2489" t="s">
        <v>25</v>
      </c>
      <c r="O2489" t="s">
        <v>25</v>
      </c>
      <c r="P2489">
        <v>0</v>
      </c>
      <c r="Q2489">
        <v>0</v>
      </c>
      <c r="R2489" t="s">
        <v>3180</v>
      </c>
    </row>
    <row r="2490" spans="1:19" hidden="1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45838</v>
      </c>
      <c r="G2490">
        <v>2025</v>
      </c>
      <c r="H2490" t="s">
        <v>699</v>
      </c>
      <c r="I2490" t="s">
        <v>700</v>
      </c>
      <c r="J2490">
        <v>85</v>
      </c>
      <c r="K2490">
        <v>72.41</v>
      </c>
      <c r="L2490" s="39">
        <f t="shared" si="162"/>
        <v>0.85188235294117642</v>
      </c>
      <c r="M2490" s="39">
        <f t="shared" si="163"/>
        <v>0.85188235294117642</v>
      </c>
      <c r="N2490" t="s">
        <v>25</v>
      </c>
      <c r="O2490" t="s">
        <v>25</v>
      </c>
      <c r="P2490">
        <v>0</v>
      </c>
      <c r="Q2490">
        <v>0</v>
      </c>
      <c r="R2490" t="s">
        <v>3181</v>
      </c>
    </row>
    <row r="2491" spans="1:19" hidden="1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45869</v>
      </c>
      <c r="G2491">
        <v>2025</v>
      </c>
      <c r="H2491" t="s">
        <v>260</v>
      </c>
      <c r="I2491" t="s">
        <v>32</v>
      </c>
      <c r="J2491">
        <v>85</v>
      </c>
      <c r="K2491">
        <v>83.54</v>
      </c>
      <c r="L2491" s="39">
        <f t="shared" si="162"/>
        <v>0.98282352941176476</v>
      </c>
      <c r="M2491" s="39">
        <f t="shared" si="163"/>
        <v>0.98282352941176476</v>
      </c>
      <c r="N2491" t="s">
        <v>25</v>
      </c>
      <c r="O2491" t="s">
        <v>25</v>
      </c>
      <c r="P2491">
        <v>0</v>
      </c>
      <c r="Q2491">
        <v>0</v>
      </c>
      <c r="R2491" t="s">
        <v>3182</v>
      </c>
    </row>
    <row r="2492" spans="1:19" hidden="1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45900</v>
      </c>
      <c r="G2492">
        <v>2025</v>
      </c>
      <c r="H2492" t="s">
        <v>1546</v>
      </c>
      <c r="I2492" t="s">
        <v>32</v>
      </c>
      <c r="J2492">
        <v>85</v>
      </c>
      <c r="K2492">
        <v>81.010000000000005</v>
      </c>
      <c r="L2492" s="39">
        <f t="shared" si="162"/>
        <v>0.95305882352941185</v>
      </c>
      <c r="M2492" s="39">
        <f t="shared" si="163"/>
        <v>0.95305882352941185</v>
      </c>
      <c r="N2492" t="s">
        <v>25</v>
      </c>
      <c r="O2492" t="s">
        <v>25</v>
      </c>
      <c r="P2492">
        <v>0</v>
      </c>
      <c r="Q2492">
        <v>0</v>
      </c>
      <c r="R2492" t="s">
        <v>3183</v>
      </c>
    </row>
    <row r="2493" spans="1:19" hidden="1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45930</v>
      </c>
      <c r="G2493">
        <v>2025</v>
      </c>
      <c r="H2493" t="s">
        <v>162</v>
      </c>
      <c r="I2493" t="s">
        <v>32</v>
      </c>
      <c r="J2493">
        <v>85</v>
      </c>
      <c r="K2493">
        <v>86.89</v>
      </c>
      <c r="L2493" s="39">
        <f t="shared" si="162"/>
        <v>1.0222352941176471</v>
      </c>
      <c r="M2493" s="39">
        <f t="shared" si="163"/>
        <v>1.0222352941176471</v>
      </c>
      <c r="N2493" t="s">
        <v>25</v>
      </c>
      <c r="O2493" t="s">
        <v>25</v>
      </c>
      <c r="P2493">
        <v>0</v>
      </c>
      <c r="Q2493">
        <v>0</v>
      </c>
      <c r="R2493" t="s">
        <v>3184</v>
      </c>
    </row>
    <row r="2494" spans="1:19" hidden="1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45961</v>
      </c>
      <c r="G2494">
        <v>2025</v>
      </c>
      <c r="H2494" t="s">
        <v>150</v>
      </c>
      <c r="I2494" t="s">
        <v>32</v>
      </c>
      <c r="J2494">
        <v>85</v>
      </c>
      <c r="K2494">
        <v>85.59</v>
      </c>
      <c r="L2494" s="39">
        <f t="shared" si="162"/>
        <v>1.0069411764705882</v>
      </c>
      <c r="M2494" s="39">
        <f t="shared" si="163"/>
        <v>1.0069411764705882</v>
      </c>
      <c r="N2494" t="s">
        <v>25</v>
      </c>
      <c r="O2494" t="s">
        <v>25</v>
      </c>
      <c r="P2494">
        <v>0</v>
      </c>
      <c r="Q2494">
        <v>0</v>
      </c>
      <c r="R2494" t="s">
        <v>3185</v>
      </c>
    </row>
    <row r="2495" spans="1:19" hidden="1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45991</v>
      </c>
      <c r="G2495">
        <v>2025</v>
      </c>
      <c r="H2495" t="s">
        <v>1550</v>
      </c>
      <c r="I2495" t="s">
        <v>32</v>
      </c>
      <c r="J2495">
        <v>85</v>
      </c>
      <c r="K2495">
        <v>75</v>
      </c>
      <c r="L2495" s="39">
        <f t="shared" si="162"/>
        <v>0.88235294117647056</v>
      </c>
      <c r="M2495" s="39">
        <f t="shared" si="163"/>
        <v>0.88235294117647056</v>
      </c>
      <c r="N2495" t="s">
        <v>25</v>
      </c>
      <c r="O2495" t="s">
        <v>25</v>
      </c>
      <c r="P2495">
        <v>0</v>
      </c>
      <c r="Q2495">
        <v>0</v>
      </c>
      <c r="R2495" t="s">
        <v>3186</v>
      </c>
    </row>
    <row r="2496" spans="1:19" hidden="1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46022</v>
      </c>
      <c r="G2496">
        <v>2025</v>
      </c>
      <c r="H2496" t="s">
        <v>23</v>
      </c>
      <c r="I2496" t="s">
        <v>32</v>
      </c>
      <c r="J2496">
        <v>85</v>
      </c>
      <c r="K2496">
        <v>76.739999999999995</v>
      </c>
      <c r="L2496" s="39">
        <f t="shared" si="162"/>
        <v>0.90282352941176469</v>
      </c>
      <c r="M2496" s="39">
        <f t="shared" si="163"/>
        <v>0.90282352941176469</v>
      </c>
      <c r="N2496" t="s">
        <v>25</v>
      </c>
      <c r="O2496" t="s">
        <v>25</v>
      </c>
      <c r="P2496">
        <v>0</v>
      </c>
      <c r="Q2496">
        <v>0</v>
      </c>
      <c r="R2496" t="s">
        <v>1371</v>
      </c>
    </row>
    <row r="2497" spans="1:18" hidden="1" x14ac:dyDescent="0.3">
      <c r="A2497">
        <v>489</v>
      </c>
      <c r="B2497" t="s">
        <v>1373</v>
      </c>
      <c r="C2497" t="s">
        <v>198</v>
      </c>
      <c r="D2497" t="s">
        <v>54</v>
      </c>
      <c r="E2497" t="s">
        <v>22</v>
      </c>
      <c r="F2497" s="79">
        <v>45596</v>
      </c>
      <c r="G2497">
        <v>2024</v>
      </c>
      <c r="H2497" t="s">
        <v>150</v>
      </c>
      <c r="I2497" t="s">
        <v>30</v>
      </c>
      <c r="J2497">
        <v>80</v>
      </c>
      <c r="K2497">
        <v>80</v>
      </c>
      <c r="L2497" s="39">
        <f t="shared" si="162"/>
        <v>1</v>
      </c>
      <c r="M2497" s="39">
        <f t="shared" si="163"/>
        <v>1</v>
      </c>
      <c r="N2497" t="s">
        <v>25</v>
      </c>
      <c r="O2497" t="s">
        <v>25</v>
      </c>
      <c r="P2497">
        <v>0</v>
      </c>
      <c r="Q2497">
        <v>0</v>
      </c>
      <c r="R2497" t="s">
        <v>3187</v>
      </c>
    </row>
    <row r="2498" spans="1:18" hidden="1" x14ac:dyDescent="0.3">
      <c r="A2498">
        <v>489</v>
      </c>
      <c r="B2498" t="s">
        <v>1373</v>
      </c>
      <c r="C2498" t="s">
        <v>198</v>
      </c>
      <c r="D2498" t="s">
        <v>54</v>
      </c>
      <c r="E2498" t="s">
        <v>22</v>
      </c>
      <c r="F2498" s="79">
        <v>45626</v>
      </c>
      <c r="G2498">
        <v>2024</v>
      </c>
      <c r="H2498" t="s">
        <v>1550</v>
      </c>
      <c r="I2498" t="s">
        <v>30</v>
      </c>
      <c r="J2498">
        <v>80</v>
      </c>
      <c r="K2498">
        <v>100</v>
      </c>
      <c r="L2498" s="39">
        <f t="shared" si="162"/>
        <v>1.25</v>
      </c>
      <c r="M2498" s="39">
        <f t="shared" si="163"/>
        <v>1.25</v>
      </c>
      <c r="N2498" t="s">
        <v>25</v>
      </c>
      <c r="O2498" t="s">
        <v>25</v>
      </c>
      <c r="P2498">
        <v>0</v>
      </c>
      <c r="Q2498">
        <v>0</v>
      </c>
      <c r="R2498" t="s">
        <v>3188</v>
      </c>
    </row>
    <row r="2499" spans="1:18" hidden="1" x14ac:dyDescent="0.3">
      <c r="A2499">
        <v>489</v>
      </c>
      <c r="B2499" t="s">
        <v>1373</v>
      </c>
      <c r="C2499" t="s">
        <v>198</v>
      </c>
      <c r="D2499" t="s">
        <v>54</v>
      </c>
      <c r="E2499" t="s">
        <v>22</v>
      </c>
      <c r="F2499" s="79">
        <v>45657</v>
      </c>
      <c r="G2499">
        <v>2024</v>
      </c>
      <c r="H2499" t="s">
        <v>23</v>
      </c>
      <c r="I2499" t="s">
        <v>30</v>
      </c>
      <c r="J2499">
        <v>80</v>
      </c>
      <c r="K2499">
        <v>100</v>
      </c>
      <c r="L2499" s="39">
        <f t="shared" si="162"/>
        <v>1.25</v>
      </c>
      <c r="M2499" s="39">
        <f t="shared" si="163"/>
        <v>1.25</v>
      </c>
      <c r="N2499" t="s">
        <v>25</v>
      </c>
      <c r="O2499" t="s">
        <v>25</v>
      </c>
      <c r="P2499">
        <v>0</v>
      </c>
      <c r="Q2499">
        <v>0</v>
      </c>
      <c r="R2499" t="s">
        <v>1374</v>
      </c>
    </row>
    <row r="2500" spans="1:18" hidden="1" x14ac:dyDescent="0.3">
      <c r="A2500">
        <v>490</v>
      </c>
      <c r="B2500" t="s">
        <v>1375</v>
      </c>
      <c r="C2500" t="s">
        <v>567</v>
      </c>
      <c r="D2500" t="s">
        <v>71</v>
      </c>
      <c r="E2500" t="s">
        <v>22</v>
      </c>
      <c r="F2500" s="79">
        <v>45657</v>
      </c>
      <c r="G2500">
        <v>2024</v>
      </c>
      <c r="H2500" t="s">
        <v>23</v>
      </c>
      <c r="I2500" t="s">
        <v>30</v>
      </c>
      <c r="J2500">
        <v>80</v>
      </c>
      <c r="K2500">
        <v>88</v>
      </c>
      <c r="L2500" s="39">
        <f t="shared" si="162"/>
        <v>1.1000000000000001</v>
      </c>
      <c r="M2500" s="39">
        <f t="shared" si="163"/>
        <v>1.1000000000000001</v>
      </c>
      <c r="N2500" t="s">
        <v>25</v>
      </c>
      <c r="O2500" t="s">
        <v>25</v>
      </c>
      <c r="P2500">
        <v>0</v>
      </c>
      <c r="Q2500">
        <v>0</v>
      </c>
      <c r="R2500" t="s">
        <v>1376</v>
      </c>
    </row>
    <row r="2501" spans="1:18" hidden="1" x14ac:dyDescent="0.3">
      <c r="A2501">
        <v>490</v>
      </c>
      <c r="B2501" t="s">
        <v>1375</v>
      </c>
      <c r="C2501" t="s">
        <v>567</v>
      </c>
      <c r="D2501" t="s">
        <v>71</v>
      </c>
      <c r="E2501" t="s">
        <v>22</v>
      </c>
      <c r="F2501" s="79">
        <v>46022</v>
      </c>
      <c r="G2501">
        <v>2025</v>
      </c>
      <c r="H2501" t="s">
        <v>23</v>
      </c>
      <c r="I2501" t="s">
        <v>32</v>
      </c>
      <c r="J2501">
        <v>80</v>
      </c>
      <c r="K2501">
        <v>100</v>
      </c>
      <c r="L2501" s="39">
        <f t="shared" si="162"/>
        <v>1.25</v>
      </c>
      <c r="M2501" s="39">
        <f t="shared" si="163"/>
        <v>1.25</v>
      </c>
      <c r="N2501" t="s">
        <v>25</v>
      </c>
      <c r="O2501" t="s">
        <v>25</v>
      </c>
      <c r="P2501">
        <v>0</v>
      </c>
      <c r="Q2501">
        <v>0</v>
      </c>
      <c r="R2501" t="s">
        <v>1377</v>
      </c>
    </row>
    <row r="2502" spans="1:18" hidden="1" x14ac:dyDescent="0.3">
      <c r="A2502">
        <v>491</v>
      </c>
      <c r="B2502" t="s">
        <v>1378</v>
      </c>
      <c r="C2502" t="s">
        <v>511</v>
      </c>
      <c r="D2502" t="s">
        <v>71</v>
      </c>
      <c r="E2502" t="s">
        <v>22</v>
      </c>
      <c r="F2502" s="79">
        <v>45657</v>
      </c>
      <c r="G2502">
        <v>2024</v>
      </c>
      <c r="H2502" t="s">
        <v>23</v>
      </c>
      <c r="I2502" t="s">
        <v>30</v>
      </c>
      <c r="J2502">
        <v>80</v>
      </c>
      <c r="K2502">
        <v>88</v>
      </c>
      <c r="L2502" s="39">
        <f t="shared" si="162"/>
        <v>1.1000000000000001</v>
      </c>
      <c r="M2502" s="39">
        <f t="shared" si="163"/>
        <v>1.1000000000000001</v>
      </c>
      <c r="N2502" t="s">
        <v>25</v>
      </c>
      <c r="O2502" t="s">
        <v>25</v>
      </c>
      <c r="P2502">
        <v>0</v>
      </c>
      <c r="Q2502">
        <v>0</v>
      </c>
      <c r="R2502" t="s">
        <v>1379</v>
      </c>
    </row>
    <row r="2503" spans="1:18" hidden="1" x14ac:dyDescent="0.3">
      <c r="A2503">
        <v>491</v>
      </c>
      <c r="B2503" t="s">
        <v>1378</v>
      </c>
      <c r="C2503" t="s">
        <v>511</v>
      </c>
      <c r="D2503" t="s">
        <v>71</v>
      </c>
      <c r="E2503" t="s">
        <v>22</v>
      </c>
      <c r="F2503" s="79">
        <v>46022</v>
      </c>
      <c r="G2503">
        <v>2025</v>
      </c>
      <c r="H2503" t="s">
        <v>23</v>
      </c>
      <c r="I2503" t="s">
        <v>32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1380</v>
      </c>
    </row>
    <row r="2504" spans="1:18" hidden="1" x14ac:dyDescent="0.3">
      <c r="A2504">
        <v>492</v>
      </c>
      <c r="B2504" t="s">
        <v>1381</v>
      </c>
      <c r="C2504" t="s">
        <v>554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83</v>
      </c>
      <c r="L2504" s="39">
        <f t="shared" si="162"/>
        <v>1.0375000000000001</v>
      </c>
      <c r="M2504" s="39">
        <f t="shared" si="163"/>
        <v>1.0375000000000001</v>
      </c>
      <c r="N2504" t="s">
        <v>25</v>
      </c>
      <c r="O2504" t="s">
        <v>25</v>
      </c>
      <c r="P2504">
        <v>0</v>
      </c>
      <c r="Q2504">
        <v>0</v>
      </c>
      <c r="R2504" t="s">
        <v>1382</v>
      </c>
    </row>
    <row r="2505" spans="1:18" hidden="1" x14ac:dyDescent="0.3">
      <c r="A2505">
        <v>492</v>
      </c>
      <c r="B2505" t="s">
        <v>1381</v>
      </c>
      <c r="C2505" t="s">
        <v>554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95</v>
      </c>
      <c r="L2505" s="39">
        <f t="shared" si="162"/>
        <v>1.1875</v>
      </c>
      <c r="M2505" s="39">
        <f t="shared" si="163"/>
        <v>1.1875</v>
      </c>
      <c r="N2505" t="s">
        <v>25</v>
      </c>
      <c r="O2505" t="s">
        <v>25</v>
      </c>
      <c r="P2505">
        <v>0</v>
      </c>
      <c r="Q2505">
        <v>0</v>
      </c>
      <c r="R2505" t="s">
        <v>1383</v>
      </c>
    </row>
    <row r="2506" spans="1:18" hidden="1" x14ac:dyDescent="0.3">
      <c r="A2506">
        <v>493</v>
      </c>
      <c r="B2506" t="s">
        <v>1384</v>
      </c>
      <c r="C2506" t="s">
        <v>595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81</v>
      </c>
      <c r="L2506" s="39">
        <f t="shared" si="162"/>
        <v>1.0125</v>
      </c>
      <c r="M2506" s="39">
        <f t="shared" si="163"/>
        <v>1.0125</v>
      </c>
      <c r="N2506" t="s">
        <v>25</v>
      </c>
      <c r="O2506" t="s">
        <v>25</v>
      </c>
      <c r="P2506">
        <v>0</v>
      </c>
      <c r="Q2506">
        <v>0</v>
      </c>
      <c r="R2506" t="s">
        <v>1385</v>
      </c>
    </row>
    <row r="2507" spans="1:18" hidden="1" x14ac:dyDescent="0.3">
      <c r="A2507">
        <v>493</v>
      </c>
      <c r="B2507" t="s">
        <v>1384</v>
      </c>
      <c r="C2507" t="s">
        <v>595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77</v>
      </c>
      <c r="L2507" s="39">
        <f t="shared" si="162"/>
        <v>0.96250000000000002</v>
      </c>
      <c r="M2507" s="39">
        <f t="shared" si="163"/>
        <v>0.96250000000000002</v>
      </c>
      <c r="N2507" t="s">
        <v>25</v>
      </c>
      <c r="O2507" t="s">
        <v>25</v>
      </c>
      <c r="P2507">
        <v>0</v>
      </c>
      <c r="Q2507">
        <v>0</v>
      </c>
      <c r="R2507" t="s">
        <v>1386</v>
      </c>
    </row>
    <row r="2508" spans="1:18" hidden="1" x14ac:dyDescent="0.3">
      <c r="A2508">
        <v>494</v>
      </c>
      <c r="B2508" t="s">
        <v>1387</v>
      </c>
      <c r="C2508" t="s">
        <v>739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89</v>
      </c>
      <c r="L2508" s="39">
        <f t="shared" si="162"/>
        <v>1.1125</v>
      </c>
      <c r="M2508" s="39">
        <f t="shared" si="163"/>
        <v>1.1125</v>
      </c>
      <c r="N2508" t="s">
        <v>25</v>
      </c>
      <c r="O2508" t="s">
        <v>25</v>
      </c>
      <c r="P2508">
        <v>0</v>
      </c>
      <c r="Q2508">
        <v>0</v>
      </c>
      <c r="R2508" t="s">
        <v>1388</v>
      </c>
    </row>
    <row r="2509" spans="1:18" hidden="1" x14ac:dyDescent="0.3">
      <c r="A2509">
        <v>494</v>
      </c>
      <c r="B2509" t="s">
        <v>1387</v>
      </c>
      <c r="C2509" t="s">
        <v>739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93</v>
      </c>
      <c r="L2509" s="39">
        <f t="shared" si="162"/>
        <v>1.1625000000000001</v>
      </c>
      <c r="M2509" s="39">
        <f t="shared" si="163"/>
        <v>1.1625000000000001</v>
      </c>
      <c r="N2509" t="s">
        <v>25</v>
      </c>
      <c r="O2509" t="s">
        <v>25</v>
      </c>
      <c r="P2509">
        <v>0</v>
      </c>
      <c r="Q2509">
        <v>0</v>
      </c>
      <c r="R2509" t="s">
        <v>1389</v>
      </c>
    </row>
    <row r="2510" spans="1:18" hidden="1" x14ac:dyDescent="0.3">
      <c r="A2510">
        <v>495</v>
      </c>
      <c r="B2510" t="s">
        <v>1390</v>
      </c>
      <c r="C2510" t="s">
        <v>901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92</v>
      </c>
      <c r="L2510" s="39">
        <f t="shared" si="162"/>
        <v>1.1499999999999999</v>
      </c>
      <c r="M2510" s="39">
        <f t="shared" si="163"/>
        <v>1.1499999999999999</v>
      </c>
      <c r="N2510" t="s">
        <v>25</v>
      </c>
      <c r="O2510" t="s">
        <v>25</v>
      </c>
      <c r="P2510">
        <v>0</v>
      </c>
      <c r="Q2510">
        <v>0</v>
      </c>
      <c r="R2510" t="s">
        <v>1391</v>
      </c>
    </row>
    <row r="2511" spans="1:18" hidden="1" x14ac:dyDescent="0.3">
      <c r="A2511">
        <v>495</v>
      </c>
      <c r="B2511" t="s">
        <v>1390</v>
      </c>
      <c r="C2511" t="s">
        <v>901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63</v>
      </c>
      <c r="L2511" s="39">
        <f t="shared" si="162"/>
        <v>0.78749999999999998</v>
      </c>
      <c r="M2511" s="39">
        <f t="shared" si="163"/>
        <v>0.78749999999999998</v>
      </c>
      <c r="N2511" t="s">
        <v>25</v>
      </c>
      <c r="O2511" t="s">
        <v>25</v>
      </c>
      <c r="P2511">
        <v>0</v>
      </c>
      <c r="Q2511">
        <v>0</v>
      </c>
      <c r="R2511" t="s">
        <v>1392</v>
      </c>
    </row>
    <row r="2512" spans="1:18" hidden="1" x14ac:dyDescent="0.3">
      <c r="A2512">
        <v>496</v>
      </c>
      <c r="B2512" t="s">
        <v>1393</v>
      </c>
      <c r="C2512" t="s">
        <v>159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88</v>
      </c>
      <c r="L2512" s="39">
        <f t="shared" si="162"/>
        <v>1.1000000000000001</v>
      </c>
      <c r="M2512" s="39">
        <f t="shared" si="163"/>
        <v>1.1000000000000001</v>
      </c>
      <c r="N2512" t="s">
        <v>25</v>
      </c>
      <c r="O2512" t="s">
        <v>25</v>
      </c>
      <c r="P2512">
        <v>0</v>
      </c>
      <c r="Q2512">
        <v>0</v>
      </c>
      <c r="R2512" t="s">
        <v>1394</v>
      </c>
    </row>
    <row r="2513" spans="1:19" hidden="1" x14ac:dyDescent="0.3">
      <c r="A2513">
        <v>496</v>
      </c>
      <c r="B2513" t="s">
        <v>1393</v>
      </c>
      <c r="C2513" t="s">
        <v>159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100</v>
      </c>
      <c r="L2513" s="39">
        <f t="shared" si="162"/>
        <v>1.25</v>
      </c>
      <c r="M2513" s="39">
        <f t="shared" si="163"/>
        <v>1.25</v>
      </c>
      <c r="N2513" t="s">
        <v>25</v>
      </c>
      <c r="O2513" t="s">
        <v>25</v>
      </c>
      <c r="P2513">
        <v>0</v>
      </c>
      <c r="Q2513">
        <v>0</v>
      </c>
      <c r="R2513" t="s">
        <v>1395</v>
      </c>
    </row>
    <row r="2514" spans="1:19" hidden="1" x14ac:dyDescent="0.3">
      <c r="A2514">
        <v>497</v>
      </c>
      <c r="B2514" t="s">
        <v>1396</v>
      </c>
      <c r="C2514" t="s">
        <v>927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83</v>
      </c>
      <c r="L2514" s="39">
        <f t="shared" si="162"/>
        <v>1.0375000000000001</v>
      </c>
      <c r="M2514" s="39">
        <f t="shared" si="163"/>
        <v>1.0375000000000001</v>
      </c>
      <c r="N2514" t="s">
        <v>25</v>
      </c>
      <c r="O2514" t="s">
        <v>25</v>
      </c>
      <c r="P2514">
        <v>0</v>
      </c>
      <c r="Q2514">
        <v>0</v>
      </c>
      <c r="R2514" t="s">
        <v>1397</v>
      </c>
    </row>
    <row r="2515" spans="1:19" hidden="1" x14ac:dyDescent="0.3">
      <c r="A2515">
        <v>498</v>
      </c>
      <c r="B2515" t="s">
        <v>1398</v>
      </c>
      <c r="C2515" t="s">
        <v>619</v>
      </c>
      <c r="D2515" t="s">
        <v>71</v>
      </c>
      <c r="E2515" t="s">
        <v>22</v>
      </c>
      <c r="F2515" s="79">
        <v>45657</v>
      </c>
      <c r="G2515">
        <v>2024</v>
      </c>
      <c r="H2515" t="s">
        <v>23</v>
      </c>
      <c r="I2515" t="s">
        <v>30</v>
      </c>
      <c r="J2515">
        <v>80</v>
      </c>
      <c r="K2515">
        <v>92</v>
      </c>
      <c r="L2515" s="39">
        <f t="shared" si="162"/>
        <v>1.1499999999999999</v>
      </c>
      <c r="M2515" s="39">
        <f t="shared" si="163"/>
        <v>1.1499999999999999</v>
      </c>
      <c r="N2515" t="s">
        <v>25</v>
      </c>
      <c r="O2515" t="s">
        <v>25</v>
      </c>
      <c r="P2515">
        <v>0</v>
      </c>
      <c r="Q2515">
        <v>0</v>
      </c>
      <c r="R2515" t="s">
        <v>1399</v>
      </c>
    </row>
    <row r="2516" spans="1:19" hidden="1" x14ac:dyDescent="0.3">
      <c r="A2516">
        <v>498</v>
      </c>
      <c r="B2516" t="s">
        <v>1398</v>
      </c>
      <c r="C2516" t="s">
        <v>619</v>
      </c>
      <c r="D2516" t="s">
        <v>71</v>
      </c>
      <c r="E2516" t="s">
        <v>22</v>
      </c>
      <c r="F2516" s="79">
        <v>46022</v>
      </c>
      <c r="G2516">
        <v>2025</v>
      </c>
      <c r="H2516" t="s">
        <v>23</v>
      </c>
      <c r="I2516" t="s">
        <v>32</v>
      </c>
      <c r="J2516">
        <v>80</v>
      </c>
      <c r="K2516">
        <v>95</v>
      </c>
      <c r="L2516" s="39">
        <f t="shared" si="162"/>
        <v>1.1875</v>
      </c>
      <c r="M2516" s="39">
        <f t="shared" si="163"/>
        <v>1.1875</v>
      </c>
      <c r="N2516" t="s">
        <v>25</v>
      </c>
      <c r="O2516" t="s">
        <v>25</v>
      </c>
      <c r="P2516">
        <v>0</v>
      </c>
      <c r="Q2516">
        <v>0</v>
      </c>
      <c r="R2516" t="s">
        <v>1400</v>
      </c>
    </row>
    <row r="2517" spans="1:19" hidden="1" x14ac:dyDescent="0.3">
      <c r="A2517">
        <v>499</v>
      </c>
      <c r="B2517" t="s">
        <v>1401</v>
      </c>
      <c r="C2517" t="s">
        <v>922</v>
      </c>
      <c r="D2517" t="s">
        <v>71</v>
      </c>
      <c r="E2517" t="s">
        <v>22</v>
      </c>
      <c r="F2517" s="79">
        <v>45657</v>
      </c>
      <c r="G2517">
        <v>2024</v>
      </c>
      <c r="H2517" t="s">
        <v>23</v>
      </c>
      <c r="I2517" t="s">
        <v>30</v>
      </c>
      <c r="J2517">
        <v>80</v>
      </c>
      <c r="K2517">
        <v>87</v>
      </c>
      <c r="L2517" s="39">
        <f t="shared" si="162"/>
        <v>1.0874999999999999</v>
      </c>
      <c r="M2517" s="39">
        <f t="shared" si="163"/>
        <v>1.0874999999999999</v>
      </c>
      <c r="N2517" t="s">
        <v>25</v>
      </c>
      <c r="O2517" t="s">
        <v>25</v>
      </c>
      <c r="P2517">
        <v>0</v>
      </c>
      <c r="Q2517">
        <v>0</v>
      </c>
      <c r="R2517" t="s">
        <v>1402</v>
      </c>
    </row>
    <row r="2518" spans="1:19" hidden="1" x14ac:dyDescent="0.3">
      <c r="A2518">
        <v>499</v>
      </c>
      <c r="B2518" t="s">
        <v>1401</v>
      </c>
      <c r="C2518" t="s">
        <v>922</v>
      </c>
      <c r="D2518" t="s">
        <v>71</v>
      </c>
      <c r="E2518" t="s">
        <v>22</v>
      </c>
      <c r="F2518" s="79">
        <v>46022</v>
      </c>
      <c r="G2518">
        <v>2025</v>
      </c>
      <c r="H2518" t="s">
        <v>23</v>
      </c>
      <c r="I2518" t="s">
        <v>32</v>
      </c>
      <c r="L2518" s="39" t="str">
        <f t="shared" si="162"/>
        <v/>
      </c>
      <c r="M2518" s="39" t="str">
        <f t="shared" si="163"/>
        <v/>
      </c>
      <c r="N2518" t="s">
        <v>25</v>
      </c>
      <c r="O2518" t="s">
        <v>25</v>
      </c>
      <c r="P2518">
        <v>0</v>
      </c>
      <c r="Q2518">
        <v>0</v>
      </c>
      <c r="R2518" t="s">
        <v>1403</v>
      </c>
      <c r="S2518" t="s">
        <v>302</v>
      </c>
    </row>
    <row r="2519" spans="1:19" hidden="1" x14ac:dyDescent="0.3">
      <c r="A2519">
        <v>500</v>
      </c>
      <c r="B2519" t="s">
        <v>1404</v>
      </c>
      <c r="C2519" t="s">
        <v>753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89</v>
      </c>
      <c r="L2519" s="39">
        <f t="shared" si="162"/>
        <v>1.1125</v>
      </c>
      <c r="M2519" s="39">
        <f t="shared" si="163"/>
        <v>1.1125</v>
      </c>
      <c r="N2519" t="s">
        <v>25</v>
      </c>
      <c r="O2519" t="s">
        <v>25</v>
      </c>
      <c r="P2519">
        <v>0</v>
      </c>
      <c r="Q2519">
        <v>0</v>
      </c>
      <c r="R2519" t="s">
        <v>1405</v>
      </c>
    </row>
    <row r="2520" spans="1:19" hidden="1" x14ac:dyDescent="0.3">
      <c r="A2520">
        <v>500</v>
      </c>
      <c r="B2520" t="s">
        <v>1404</v>
      </c>
      <c r="C2520" t="s">
        <v>753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J2520">
        <v>80</v>
      </c>
      <c r="K2520">
        <v>100</v>
      </c>
      <c r="L2520" s="39">
        <f t="shared" ref="L2520:L2550" si="164">IFERROR(IF(OR(J2520=0,K2520=""),"",IF(E2520="Positivo",MIN(MAX(K2520/J2520,0),1.3),MIN(MAX(J2520/K2520,0),1.3))),"")</f>
        <v>1.25</v>
      </c>
      <c r="M2520" s="39">
        <f t="shared" ref="M2520:M2550" si="165">IFERROR(IF(OR(J2520=0,K2520=""),"",IF(E2520="Positivo",MAX(K2520/J2520,0),MAX(J2520/K2520,0))),"")</f>
        <v>1.25</v>
      </c>
      <c r="N2520" t="s">
        <v>25</v>
      </c>
      <c r="O2520" t="s">
        <v>25</v>
      </c>
      <c r="P2520">
        <v>0</v>
      </c>
      <c r="Q2520">
        <v>0</v>
      </c>
      <c r="R2520" t="s">
        <v>1406</v>
      </c>
    </row>
    <row r="2521" spans="1:19" hidden="1" x14ac:dyDescent="0.3">
      <c r="A2521">
        <v>501</v>
      </c>
      <c r="B2521" t="s">
        <v>1407</v>
      </c>
      <c r="C2521" t="s">
        <v>549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88</v>
      </c>
      <c r="L2521" s="39">
        <f t="shared" si="164"/>
        <v>1.1000000000000001</v>
      </c>
      <c r="M2521" s="39">
        <f t="shared" si="165"/>
        <v>1.1000000000000001</v>
      </c>
      <c r="N2521" t="s">
        <v>25</v>
      </c>
      <c r="O2521" t="s">
        <v>25</v>
      </c>
      <c r="P2521">
        <v>0</v>
      </c>
      <c r="Q2521">
        <v>0</v>
      </c>
      <c r="R2521" t="s">
        <v>1408</v>
      </c>
    </row>
    <row r="2522" spans="1:19" hidden="1" x14ac:dyDescent="0.3">
      <c r="A2522">
        <v>501</v>
      </c>
      <c r="B2522" t="s">
        <v>1407</v>
      </c>
      <c r="C2522" t="s">
        <v>549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J2522">
        <v>80</v>
      </c>
      <c r="K2522">
        <v>100</v>
      </c>
      <c r="L2522" s="39">
        <f t="shared" si="164"/>
        <v>1.25</v>
      </c>
      <c r="M2522" s="39">
        <f t="shared" si="165"/>
        <v>1.25</v>
      </c>
      <c r="N2522" t="s">
        <v>25</v>
      </c>
      <c r="O2522" t="s">
        <v>25</v>
      </c>
      <c r="P2522">
        <v>0</v>
      </c>
      <c r="Q2522">
        <v>0</v>
      </c>
      <c r="R2522" t="s">
        <v>1409</v>
      </c>
    </row>
    <row r="2523" spans="1:19" hidden="1" x14ac:dyDescent="0.3">
      <c r="A2523">
        <v>502</v>
      </c>
      <c r="B2523" t="s">
        <v>1410</v>
      </c>
      <c r="C2523" t="s">
        <v>274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90</v>
      </c>
      <c r="L2523" s="39">
        <f t="shared" si="164"/>
        <v>1.125</v>
      </c>
      <c r="M2523" s="39">
        <f t="shared" si="165"/>
        <v>1.125</v>
      </c>
      <c r="N2523" t="s">
        <v>25</v>
      </c>
      <c r="O2523" t="s">
        <v>25</v>
      </c>
      <c r="P2523">
        <v>0</v>
      </c>
      <c r="Q2523">
        <v>0</v>
      </c>
      <c r="R2523" t="s">
        <v>1411</v>
      </c>
    </row>
    <row r="2524" spans="1:19" hidden="1" x14ac:dyDescent="0.3">
      <c r="A2524">
        <v>502</v>
      </c>
      <c r="B2524" t="s">
        <v>1410</v>
      </c>
      <c r="C2524" t="s">
        <v>274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97</v>
      </c>
      <c r="L2524" s="39">
        <f t="shared" si="164"/>
        <v>1.2124999999999999</v>
      </c>
      <c r="M2524" s="39">
        <f t="shared" si="165"/>
        <v>1.2124999999999999</v>
      </c>
      <c r="N2524" t="s">
        <v>25</v>
      </c>
      <c r="O2524" t="s">
        <v>25</v>
      </c>
      <c r="P2524">
        <v>0</v>
      </c>
      <c r="Q2524">
        <v>0</v>
      </c>
      <c r="R2524" t="s">
        <v>1412</v>
      </c>
    </row>
    <row r="2525" spans="1:19" hidden="1" x14ac:dyDescent="0.3">
      <c r="A2525">
        <v>503</v>
      </c>
      <c r="B2525" t="s">
        <v>1413</v>
      </c>
      <c r="C2525" t="s">
        <v>1059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86</v>
      </c>
      <c r="L2525" s="39">
        <f t="shared" si="164"/>
        <v>1.075</v>
      </c>
      <c r="M2525" s="39">
        <f t="shared" si="165"/>
        <v>1.075</v>
      </c>
      <c r="N2525" t="s">
        <v>25</v>
      </c>
      <c r="O2525" t="s">
        <v>25</v>
      </c>
      <c r="P2525">
        <v>0</v>
      </c>
      <c r="Q2525">
        <v>0</v>
      </c>
      <c r="R2525" t="s">
        <v>1414</v>
      </c>
    </row>
    <row r="2526" spans="1:19" hidden="1" x14ac:dyDescent="0.3">
      <c r="A2526">
        <v>503</v>
      </c>
      <c r="B2526" t="s">
        <v>1413</v>
      </c>
      <c r="C2526" t="s">
        <v>1059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94</v>
      </c>
      <c r="L2526" s="39">
        <f t="shared" si="164"/>
        <v>1.175</v>
      </c>
      <c r="M2526" s="39">
        <f t="shared" si="165"/>
        <v>1.175</v>
      </c>
      <c r="N2526" t="s">
        <v>25</v>
      </c>
      <c r="O2526" t="s">
        <v>25</v>
      </c>
      <c r="P2526">
        <v>0</v>
      </c>
      <c r="Q2526">
        <v>0</v>
      </c>
      <c r="R2526" t="s">
        <v>1415</v>
      </c>
    </row>
    <row r="2527" spans="1:19" hidden="1" x14ac:dyDescent="0.3">
      <c r="A2527">
        <v>504</v>
      </c>
      <c r="B2527" t="s">
        <v>1416</v>
      </c>
      <c r="C2527" t="s">
        <v>1110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88</v>
      </c>
      <c r="L2527" s="39">
        <f t="shared" si="164"/>
        <v>1.1000000000000001</v>
      </c>
      <c r="M2527" s="39">
        <f t="shared" si="165"/>
        <v>1.1000000000000001</v>
      </c>
      <c r="N2527" t="s">
        <v>25</v>
      </c>
      <c r="O2527" t="s">
        <v>25</v>
      </c>
      <c r="P2527">
        <v>0</v>
      </c>
      <c r="Q2527">
        <v>0</v>
      </c>
      <c r="R2527" t="s">
        <v>1417</v>
      </c>
    </row>
    <row r="2528" spans="1:19" hidden="1" x14ac:dyDescent="0.3">
      <c r="A2528">
        <v>504</v>
      </c>
      <c r="B2528" t="s">
        <v>1416</v>
      </c>
      <c r="C2528" t="s">
        <v>1110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88</v>
      </c>
      <c r="L2528" s="39">
        <f t="shared" si="164"/>
        <v>1.1000000000000001</v>
      </c>
      <c r="M2528" s="39">
        <f t="shared" si="165"/>
        <v>1.1000000000000001</v>
      </c>
      <c r="N2528" t="s">
        <v>25</v>
      </c>
      <c r="O2528" t="s">
        <v>25</v>
      </c>
      <c r="P2528">
        <v>0</v>
      </c>
      <c r="Q2528">
        <v>0</v>
      </c>
      <c r="R2528" t="s">
        <v>1418</v>
      </c>
    </row>
    <row r="2529" spans="1:18" hidden="1" x14ac:dyDescent="0.3">
      <c r="A2529">
        <v>505</v>
      </c>
      <c r="B2529" t="s">
        <v>1419</v>
      </c>
      <c r="C2529" t="s">
        <v>1183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85</v>
      </c>
      <c r="L2529" s="39">
        <f t="shared" si="164"/>
        <v>1.0625</v>
      </c>
      <c r="M2529" s="39">
        <f t="shared" si="165"/>
        <v>1.0625</v>
      </c>
      <c r="N2529" t="s">
        <v>25</v>
      </c>
      <c r="O2529" t="s">
        <v>25</v>
      </c>
      <c r="P2529">
        <v>0</v>
      </c>
      <c r="Q2529">
        <v>0</v>
      </c>
      <c r="R2529" t="s">
        <v>1420</v>
      </c>
    </row>
    <row r="2530" spans="1:18" hidden="1" x14ac:dyDescent="0.3">
      <c r="A2530">
        <v>505</v>
      </c>
      <c r="B2530" t="s">
        <v>1419</v>
      </c>
      <c r="C2530" t="s">
        <v>1183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86</v>
      </c>
      <c r="L2530" s="39">
        <f t="shared" si="164"/>
        <v>1.075</v>
      </c>
      <c r="M2530" s="39">
        <f t="shared" si="165"/>
        <v>1.075</v>
      </c>
      <c r="N2530" t="s">
        <v>25</v>
      </c>
      <c r="O2530" t="s">
        <v>25</v>
      </c>
      <c r="P2530">
        <v>0</v>
      </c>
      <c r="Q2530">
        <v>0</v>
      </c>
      <c r="R2530" t="s">
        <v>1421</v>
      </c>
    </row>
    <row r="2531" spans="1:18" hidden="1" x14ac:dyDescent="0.3">
      <c r="A2531">
        <v>506</v>
      </c>
      <c r="B2531" t="s">
        <v>1422</v>
      </c>
      <c r="C2531" t="s">
        <v>941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67</v>
      </c>
      <c r="L2531" s="39">
        <f t="shared" si="164"/>
        <v>0.83750000000000002</v>
      </c>
      <c r="M2531" s="39">
        <f t="shared" si="165"/>
        <v>0.83750000000000002</v>
      </c>
      <c r="N2531" t="s">
        <v>25</v>
      </c>
      <c r="O2531" t="s">
        <v>25</v>
      </c>
      <c r="P2531">
        <v>0</v>
      </c>
      <c r="Q2531">
        <v>0</v>
      </c>
      <c r="R2531" t="s">
        <v>1423</v>
      </c>
    </row>
    <row r="2532" spans="1:18" hidden="1" x14ac:dyDescent="0.3">
      <c r="A2532">
        <v>506</v>
      </c>
      <c r="B2532" t="s">
        <v>1422</v>
      </c>
      <c r="C2532" t="s">
        <v>941</v>
      </c>
      <c r="D2532" t="s">
        <v>21</v>
      </c>
      <c r="E2532" t="s">
        <v>22</v>
      </c>
      <c r="F2532" s="79">
        <v>45838</v>
      </c>
      <c r="G2532">
        <v>2025</v>
      </c>
      <c r="H2532" t="s">
        <v>699</v>
      </c>
      <c r="I2532" t="s">
        <v>700</v>
      </c>
      <c r="J2532">
        <v>80</v>
      </c>
      <c r="K2532">
        <v>95</v>
      </c>
      <c r="L2532" s="39">
        <f t="shared" si="164"/>
        <v>1.1875</v>
      </c>
      <c r="M2532" s="39">
        <f t="shared" si="165"/>
        <v>1.1875</v>
      </c>
      <c r="N2532" t="s">
        <v>25</v>
      </c>
      <c r="O2532" t="s">
        <v>25</v>
      </c>
      <c r="P2532">
        <v>0</v>
      </c>
      <c r="Q2532">
        <v>0</v>
      </c>
      <c r="R2532" t="s">
        <v>3189</v>
      </c>
    </row>
    <row r="2533" spans="1:18" hidden="1" x14ac:dyDescent="0.3">
      <c r="A2533">
        <v>506</v>
      </c>
      <c r="B2533" t="s">
        <v>1422</v>
      </c>
      <c r="C2533" t="s">
        <v>941</v>
      </c>
      <c r="D2533" t="s">
        <v>21</v>
      </c>
      <c r="E2533" t="s">
        <v>22</v>
      </c>
      <c r="F2533" s="79">
        <v>46022</v>
      </c>
      <c r="G2533">
        <v>2025</v>
      </c>
      <c r="H2533" t="s">
        <v>23</v>
      </c>
      <c r="I2533" t="s">
        <v>32</v>
      </c>
      <c r="J2533">
        <v>80</v>
      </c>
      <c r="K2533">
        <v>92.5</v>
      </c>
      <c r="L2533" s="39">
        <f t="shared" si="164"/>
        <v>1.15625</v>
      </c>
      <c r="M2533" s="39">
        <f t="shared" si="165"/>
        <v>1.15625</v>
      </c>
      <c r="N2533" t="s">
        <v>25</v>
      </c>
      <c r="O2533" t="s">
        <v>25</v>
      </c>
      <c r="P2533">
        <v>0</v>
      </c>
      <c r="Q2533">
        <v>0</v>
      </c>
      <c r="R2533" t="s">
        <v>1424</v>
      </c>
    </row>
    <row r="2534" spans="1:18" hidden="1" x14ac:dyDescent="0.3">
      <c r="A2534">
        <v>507</v>
      </c>
      <c r="B2534" t="s">
        <v>1425</v>
      </c>
      <c r="C2534" t="s">
        <v>711</v>
      </c>
      <c r="D2534" t="s">
        <v>71</v>
      </c>
      <c r="E2534" t="s">
        <v>22</v>
      </c>
      <c r="F2534" s="79">
        <v>45657</v>
      </c>
      <c r="G2534">
        <v>2024</v>
      </c>
      <c r="H2534" t="s">
        <v>23</v>
      </c>
      <c r="I2534" t="s">
        <v>30</v>
      </c>
      <c r="J2534">
        <v>80</v>
      </c>
      <c r="K2534">
        <v>77</v>
      </c>
      <c r="L2534" s="39">
        <f t="shared" si="164"/>
        <v>0.96250000000000002</v>
      </c>
      <c r="M2534" s="39">
        <f t="shared" si="165"/>
        <v>0.96250000000000002</v>
      </c>
      <c r="N2534" t="s">
        <v>25</v>
      </c>
      <c r="O2534" t="s">
        <v>25</v>
      </c>
      <c r="P2534">
        <v>0</v>
      </c>
      <c r="Q2534">
        <v>0</v>
      </c>
      <c r="R2534" t="s">
        <v>1426</v>
      </c>
    </row>
    <row r="2535" spans="1:18" hidden="1" x14ac:dyDescent="0.3">
      <c r="A2535">
        <v>507</v>
      </c>
      <c r="B2535" t="s">
        <v>1425</v>
      </c>
      <c r="C2535" t="s">
        <v>711</v>
      </c>
      <c r="D2535" t="s">
        <v>21</v>
      </c>
      <c r="E2535" t="s">
        <v>22</v>
      </c>
      <c r="F2535" s="79">
        <v>45838</v>
      </c>
      <c r="G2535">
        <v>2025</v>
      </c>
      <c r="H2535" t="s">
        <v>699</v>
      </c>
      <c r="I2535" t="s">
        <v>700</v>
      </c>
      <c r="J2535">
        <v>80</v>
      </c>
      <c r="K2535">
        <v>98.75</v>
      </c>
      <c r="L2535" s="39">
        <f t="shared" si="164"/>
        <v>1.234375</v>
      </c>
      <c r="M2535" s="39">
        <f t="shared" si="165"/>
        <v>1.234375</v>
      </c>
      <c r="N2535" t="s">
        <v>25</v>
      </c>
      <c r="O2535" t="s">
        <v>25</v>
      </c>
      <c r="P2535">
        <v>0</v>
      </c>
      <c r="Q2535">
        <v>0</v>
      </c>
      <c r="R2535" t="s">
        <v>3190</v>
      </c>
    </row>
    <row r="2536" spans="1:18" hidden="1" x14ac:dyDescent="0.3">
      <c r="A2536">
        <v>507</v>
      </c>
      <c r="B2536" t="s">
        <v>1425</v>
      </c>
      <c r="C2536" t="s">
        <v>711</v>
      </c>
      <c r="D2536" t="s">
        <v>21</v>
      </c>
      <c r="E2536" t="s">
        <v>22</v>
      </c>
      <c r="F2536" s="79">
        <v>46022</v>
      </c>
      <c r="G2536">
        <v>2025</v>
      </c>
      <c r="H2536" t="s">
        <v>23</v>
      </c>
      <c r="I2536" t="s">
        <v>32</v>
      </c>
      <c r="J2536">
        <v>80</v>
      </c>
      <c r="K2536">
        <v>99</v>
      </c>
      <c r="L2536" s="39">
        <f t="shared" si="164"/>
        <v>1.2375</v>
      </c>
      <c r="M2536" s="39">
        <f t="shared" si="165"/>
        <v>1.2375</v>
      </c>
      <c r="N2536" t="s">
        <v>25</v>
      </c>
      <c r="O2536" t="s">
        <v>25</v>
      </c>
      <c r="P2536">
        <v>0</v>
      </c>
      <c r="Q2536">
        <v>0</v>
      </c>
      <c r="R2536" t="s">
        <v>1427</v>
      </c>
    </row>
    <row r="2537" spans="1:18" hidden="1" x14ac:dyDescent="0.3">
      <c r="A2537">
        <v>508</v>
      </c>
      <c r="B2537" t="s">
        <v>1428</v>
      </c>
      <c r="C2537" t="s">
        <v>1089</v>
      </c>
      <c r="D2537" t="s">
        <v>71</v>
      </c>
      <c r="E2537" t="s">
        <v>22</v>
      </c>
      <c r="F2537" s="79">
        <v>45657</v>
      </c>
      <c r="G2537">
        <v>2024</v>
      </c>
      <c r="H2537" t="s">
        <v>23</v>
      </c>
      <c r="I2537" t="s">
        <v>30</v>
      </c>
      <c r="J2537">
        <v>80</v>
      </c>
      <c r="K2537">
        <v>88</v>
      </c>
      <c r="L2537" s="39">
        <f t="shared" si="164"/>
        <v>1.1000000000000001</v>
      </c>
      <c r="M2537" s="39">
        <f t="shared" si="165"/>
        <v>1.1000000000000001</v>
      </c>
      <c r="N2537" t="s">
        <v>25</v>
      </c>
      <c r="O2537" t="s">
        <v>25</v>
      </c>
      <c r="P2537">
        <v>0</v>
      </c>
      <c r="Q2537">
        <v>0</v>
      </c>
      <c r="R2537" t="s">
        <v>1429</v>
      </c>
    </row>
    <row r="2538" spans="1:18" hidden="1" x14ac:dyDescent="0.3">
      <c r="A2538">
        <v>508</v>
      </c>
      <c r="B2538" t="s">
        <v>1428</v>
      </c>
      <c r="C2538" t="s">
        <v>1089</v>
      </c>
      <c r="D2538" t="s">
        <v>71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89</v>
      </c>
      <c r="L2538" s="39">
        <f t="shared" si="164"/>
        <v>1.1125</v>
      </c>
      <c r="M2538" s="39">
        <f t="shared" si="165"/>
        <v>1.1125</v>
      </c>
      <c r="N2538" t="s">
        <v>25</v>
      </c>
      <c r="O2538" t="s">
        <v>25</v>
      </c>
      <c r="P2538">
        <v>0</v>
      </c>
      <c r="Q2538">
        <v>0</v>
      </c>
      <c r="R2538" t="s">
        <v>1430</v>
      </c>
    </row>
    <row r="2539" spans="1:18" hidden="1" x14ac:dyDescent="0.3">
      <c r="A2539">
        <v>509</v>
      </c>
      <c r="B2539" t="s">
        <v>1431</v>
      </c>
      <c r="C2539" t="s">
        <v>511</v>
      </c>
      <c r="D2539" t="s">
        <v>54</v>
      </c>
      <c r="E2539" t="s">
        <v>22</v>
      </c>
      <c r="F2539" s="79">
        <v>45688</v>
      </c>
      <c r="G2539">
        <v>2025</v>
      </c>
      <c r="H2539" t="s">
        <v>59</v>
      </c>
      <c r="I2539" t="s">
        <v>700</v>
      </c>
      <c r="J2539">
        <v>90</v>
      </c>
      <c r="K2539">
        <v>99.45</v>
      </c>
      <c r="L2539" s="39">
        <f t="shared" si="164"/>
        <v>1.105</v>
      </c>
      <c r="M2539" s="39">
        <f t="shared" si="165"/>
        <v>1.105</v>
      </c>
      <c r="N2539" t="s">
        <v>25</v>
      </c>
      <c r="O2539" t="s">
        <v>25</v>
      </c>
      <c r="P2539">
        <v>0</v>
      </c>
      <c r="Q2539">
        <v>0</v>
      </c>
      <c r="R2539" t="s">
        <v>3191</v>
      </c>
    </row>
    <row r="2540" spans="1:18" hidden="1" x14ac:dyDescent="0.3">
      <c r="A2540">
        <v>509</v>
      </c>
      <c r="B2540" t="s">
        <v>1431</v>
      </c>
      <c r="C2540" t="s">
        <v>511</v>
      </c>
      <c r="D2540" t="s">
        <v>54</v>
      </c>
      <c r="E2540" t="s">
        <v>22</v>
      </c>
      <c r="F2540" s="79">
        <v>45716</v>
      </c>
      <c r="G2540">
        <v>2025</v>
      </c>
      <c r="H2540" t="s">
        <v>210</v>
      </c>
      <c r="I2540" t="s">
        <v>700</v>
      </c>
      <c r="J2540">
        <v>90</v>
      </c>
      <c r="K2540">
        <v>98.65</v>
      </c>
      <c r="L2540" s="39">
        <f t="shared" si="164"/>
        <v>1.0961111111111113</v>
      </c>
      <c r="M2540" s="39">
        <f t="shared" si="165"/>
        <v>1.0961111111111113</v>
      </c>
      <c r="N2540" t="s">
        <v>25</v>
      </c>
      <c r="O2540" t="s">
        <v>25</v>
      </c>
      <c r="P2540">
        <v>0</v>
      </c>
      <c r="Q2540">
        <v>0</v>
      </c>
      <c r="R2540" t="s">
        <v>3192</v>
      </c>
    </row>
    <row r="2541" spans="1:18" hidden="1" x14ac:dyDescent="0.3">
      <c r="A2541">
        <v>509</v>
      </c>
      <c r="B2541" t="s">
        <v>1431</v>
      </c>
      <c r="C2541" t="s">
        <v>511</v>
      </c>
      <c r="D2541" t="s">
        <v>54</v>
      </c>
      <c r="E2541" t="s">
        <v>22</v>
      </c>
      <c r="F2541" s="79">
        <v>45747</v>
      </c>
      <c r="G2541">
        <v>2025</v>
      </c>
      <c r="H2541" t="s">
        <v>1516</v>
      </c>
      <c r="I2541" t="s">
        <v>700</v>
      </c>
      <c r="J2541">
        <v>90</v>
      </c>
      <c r="K2541">
        <v>94.49</v>
      </c>
      <c r="L2541" s="39">
        <f t="shared" si="164"/>
        <v>1.0498888888888889</v>
      </c>
      <c r="M2541" s="39">
        <f t="shared" si="165"/>
        <v>1.0498888888888889</v>
      </c>
      <c r="N2541" t="s">
        <v>25</v>
      </c>
      <c r="O2541" t="s">
        <v>25</v>
      </c>
      <c r="P2541">
        <v>0</v>
      </c>
      <c r="Q2541">
        <v>0</v>
      </c>
      <c r="R2541" t="s">
        <v>3193</v>
      </c>
    </row>
    <row r="2542" spans="1:18" hidden="1" x14ac:dyDescent="0.3">
      <c r="A2542">
        <v>509</v>
      </c>
      <c r="B2542" t="s">
        <v>1431</v>
      </c>
      <c r="C2542" t="s">
        <v>511</v>
      </c>
      <c r="D2542" t="s">
        <v>54</v>
      </c>
      <c r="E2542" t="s">
        <v>22</v>
      </c>
      <c r="F2542" s="79">
        <v>45777</v>
      </c>
      <c r="G2542">
        <v>2025</v>
      </c>
      <c r="H2542" t="s">
        <v>1540</v>
      </c>
      <c r="I2542" t="s">
        <v>700</v>
      </c>
      <c r="J2542">
        <v>90</v>
      </c>
      <c r="K2542">
        <v>93.88</v>
      </c>
      <c r="L2542" s="39">
        <f t="shared" si="164"/>
        <v>1.0431111111111111</v>
      </c>
      <c r="M2542" s="39">
        <f t="shared" si="165"/>
        <v>1.0431111111111111</v>
      </c>
      <c r="N2542" t="s">
        <v>25</v>
      </c>
      <c r="O2542" t="s">
        <v>25</v>
      </c>
      <c r="P2542">
        <v>0</v>
      </c>
      <c r="Q2542">
        <v>0</v>
      </c>
      <c r="R2542" t="s">
        <v>3194</v>
      </c>
    </row>
    <row r="2543" spans="1:18" hidden="1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45808</v>
      </c>
      <c r="G2543">
        <v>2025</v>
      </c>
      <c r="H2543" t="s">
        <v>1542</v>
      </c>
      <c r="I2543" t="s">
        <v>700</v>
      </c>
      <c r="J2543">
        <v>90</v>
      </c>
      <c r="K2543">
        <v>93.8</v>
      </c>
      <c r="L2543" s="39">
        <f t="shared" si="164"/>
        <v>1.0422222222222222</v>
      </c>
      <c r="M2543" s="39">
        <f t="shared" si="165"/>
        <v>1.0422222222222222</v>
      </c>
      <c r="N2543" t="s">
        <v>25</v>
      </c>
      <c r="O2543" t="s">
        <v>25</v>
      </c>
      <c r="P2543">
        <v>0</v>
      </c>
      <c r="Q2543">
        <v>0</v>
      </c>
      <c r="R2543" t="s">
        <v>3195</v>
      </c>
    </row>
    <row r="2544" spans="1:18" hidden="1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45838</v>
      </c>
      <c r="G2544">
        <v>2025</v>
      </c>
      <c r="H2544" t="s">
        <v>699</v>
      </c>
      <c r="I2544" t="s">
        <v>700</v>
      </c>
      <c r="J2544">
        <v>90</v>
      </c>
      <c r="K2544">
        <v>100.59</v>
      </c>
      <c r="L2544" s="39">
        <f t="shared" si="164"/>
        <v>1.1176666666666668</v>
      </c>
      <c r="M2544" s="39">
        <f t="shared" si="165"/>
        <v>1.1176666666666668</v>
      </c>
      <c r="N2544" t="s">
        <v>25</v>
      </c>
      <c r="O2544" t="s">
        <v>25</v>
      </c>
      <c r="P2544">
        <v>0</v>
      </c>
      <c r="Q2544">
        <v>0</v>
      </c>
      <c r="R2544" t="s">
        <v>3196</v>
      </c>
    </row>
    <row r="2545" spans="1:18" hidden="1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45869</v>
      </c>
      <c r="G2545">
        <v>2025</v>
      </c>
      <c r="H2545" t="s">
        <v>260</v>
      </c>
      <c r="I2545" t="s">
        <v>32</v>
      </c>
      <c r="J2545">
        <v>90</v>
      </c>
      <c r="K2545">
        <v>96.04</v>
      </c>
      <c r="L2545" s="39">
        <f t="shared" si="164"/>
        <v>1.0671111111111111</v>
      </c>
      <c r="M2545" s="39">
        <f t="shared" si="165"/>
        <v>1.0671111111111111</v>
      </c>
      <c r="N2545" t="s">
        <v>25</v>
      </c>
      <c r="O2545" t="s">
        <v>25</v>
      </c>
      <c r="P2545">
        <v>0</v>
      </c>
      <c r="Q2545">
        <v>0</v>
      </c>
      <c r="R2545" t="s">
        <v>3197</v>
      </c>
    </row>
    <row r="2546" spans="1:18" hidden="1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45900</v>
      </c>
      <c r="G2546">
        <v>2025</v>
      </c>
      <c r="H2546" t="s">
        <v>1546</v>
      </c>
      <c r="I2546" t="s">
        <v>32</v>
      </c>
      <c r="J2546">
        <v>90</v>
      </c>
      <c r="K2546">
        <v>91.52</v>
      </c>
      <c r="L2546" s="39">
        <f t="shared" si="164"/>
        <v>1.016888888888889</v>
      </c>
      <c r="M2546" s="39">
        <f t="shared" si="165"/>
        <v>1.016888888888889</v>
      </c>
      <c r="N2546" t="s">
        <v>25</v>
      </c>
      <c r="O2546" t="s">
        <v>25</v>
      </c>
      <c r="P2546">
        <v>0</v>
      </c>
      <c r="Q2546">
        <v>0</v>
      </c>
      <c r="R2546" t="s">
        <v>3198</v>
      </c>
    </row>
    <row r="2547" spans="1:18" hidden="1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45930</v>
      </c>
      <c r="G2547">
        <v>2025</v>
      </c>
      <c r="H2547" t="s">
        <v>162</v>
      </c>
      <c r="I2547" t="s">
        <v>32</v>
      </c>
      <c r="J2547">
        <v>90</v>
      </c>
      <c r="K2547">
        <v>96.67</v>
      </c>
      <c r="L2547" s="39">
        <f t="shared" si="164"/>
        <v>1.0741111111111112</v>
      </c>
      <c r="M2547" s="39">
        <f t="shared" si="165"/>
        <v>1.0741111111111112</v>
      </c>
      <c r="N2547" t="s">
        <v>25</v>
      </c>
      <c r="O2547" t="s">
        <v>25</v>
      </c>
      <c r="P2547">
        <v>0</v>
      </c>
      <c r="Q2547">
        <v>0</v>
      </c>
      <c r="R2547" t="s">
        <v>3199</v>
      </c>
    </row>
    <row r="2548" spans="1:18" hidden="1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45961</v>
      </c>
      <c r="G2548">
        <v>2025</v>
      </c>
      <c r="H2548" t="s">
        <v>150</v>
      </c>
      <c r="I2548" t="s">
        <v>32</v>
      </c>
      <c r="J2548">
        <v>90</v>
      </c>
      <c r="K2548">
        <v>91.81</v>
      </c>
      <c r="L2548" s="39">
        <f t="shared" si="164"/>
        <v>1.0201111111111112</v>
      </c>
      <c r="M2548" s="39">
        <f t="shared" si="165"/>
        <v>1.0201111111111112</v>
      </c>
      <c r="N2548" t="s">
        <v>25</v>
      </c>
      <c r="O2548" t="s">
        <v>25</v>
      </c>
      <c r="P2548">
        <v>0</v>
      </c>
      <c r="Q2548">
        <v>0</v>
      </c>
      <c r="R2548" t="s">
        <v>3200</v>
      </c>
    </row>
    <row r="2549" spans="1:18" hidden="1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45991</v>
      </c>
      <c r="G2549">
        <v>2025</v>
      </c>
      <c r="H2549" t="s">
        <v>1550</v>
      </c>
      <c r="I2549" t="s">
        <v>32</v>
      </c>
      <c r="J2549">
        <v>90</v>
      </c>
      <c r="K2549">
        <v>96.99</v>
      </c>
      <c r="L2549" s="39">
        <f t="shared" si="164"/>
        <v>1.0776666666666666</v>
      </c>
      <c r="M2549" s="39">
        <f t="shared" si="165"/>
        <v>1.0776666666666666</v>
      </c>
      <c r="N2549" t="s">
        <v>25</v>
      </c>
      <c r="O2549" t="s">
        <v>25</v>
      </c>
      <c r="P2549">
        <v>0</v>
      </c>
      <c r="Q2549">
        <v>0</v>
      </c>
      <c r="R2549" t="s">
        <v>3201</v>
      </c>
    </row>
    <row r="2550" spans="1:18" hidden="1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46022</v>
      </c>
      <c r="G2550">
        <v>2025</v>
      </c>
      <c r="H2550" t="s">
        <v>23</v>
      </c>
      <c r="I2550" t="s">
        <v>32</v>
      </c>
      <c r="J2550">
        <v>90</v>
      </c>
      <c r="K2550">
        <v>97.33</v>
      </c>
      <c r="L2550" s="39">
        <f t="shared" si="164"/>
        <v>1.0814444444444444</v>
      </c>
      <c r="M2550" s="39">
        <f t="shared" si="165"/>
        <v>1.0814444444444444</v>
      </c>
      <c r="N2550" t="s">
        <v>25</v>
      </c>
      <c r="O2550" t="s">
        <v>25</v>
      </c>
      <c r="P2550">
        <v>0</v>
      </c>
      <c r="Q2550">
        <v>0</v>
      </c>
      <c r="R2550" t="s">
        <v>1432</v>
      </c>
    </row>
    <row r="2551" spans="1:18" hidden="1" x14ac:dyDescent="0.3">
      <c r="A2551">
        <v>510</v>
      </c>
      <c r="B2551" t="s">
        <v>1433</v>
      </c>
      <c r="C2551" t="s">
        <v>732</v>
      </c>
      <c r="D2551" t="s">
        <v>27</v>
      </c>
      <c r="E2551" t="s">
        <v>22</v>
      </c>
      <c r="F2551" s="79">
        <v>45747</v>
      </c>
      <c r="G2551">
        <v>2025</v>
      </c>
      <c r="H2551" t="s">
        <v>1516</v>
      </c>
      <c r="I2551" t="s">
        <v>700</v>
      </c>
      <c r="K2551">
        <v>0</v>
      </c>
      <c r="L2551" s="39"/>
      <c r="M2551" s="39"/>
      <c r="N2551" t="s">
        <v>355</v>
      </c>
      <c r="O2551" t="s">
        <v>25</v>
      </c>
      <c r="P2551">
        <v>0</v>
      </c>
      <c r="Q2551">
        <v>0</v>
      </c>
      <c r="R2551" t="s">
        <v>3202</v>
      </c>
    </row>
    <row r="2552" spans="1:18" hidden="1" x14ac:dyDescent="0.3">
      <c r="A2552">
        <v>510</v>
      </c>
      <c r="B2552" t="s">
        <v>1433</v>
      </c>
      <c r="C2552" t="s">
        <v>732</v>
      </c>
      <c r="D2552" t="s">
        <v>27</v>
      </c>
      <c r="E2552" t="s">
        <v>22</v>
      </c>
      <c r="F2552" s="79">
        <v>45838</v>
      </c>
      <c r="G2552">
        <v>2025</v>
      </c>
      <c r="H2552" t="s">
        <v>699</v>
      </c>
      <c r="I2552" t="s">
        <v>700</v>
      </c>
      <c r="K2552">
        <v>0</v>
      </c>
      <c r="L2552" s="39"/>
      <c r="M2552" s="39"/>
      <c r="N2552" t="s">
        <v>355</v>
      </c>
      <c r="O2552" t="s">
        <v>25</v>
      </c>
      <c r="P2552">
        <v>0</v>
      </c>
      <c r="Q2552">
        <v>0</v>
      </c>
      <c r="R2552" t="s">
        <v>3203</v>
      </c>
    </row>
    <row r="2553" spans="1:18" hidden="1" x14ac:dyDescent="0.3">
      <c r="A2553">
        <v>510</v>
      </c>
      <c r="B2553" t="s">
        <v>1433</v>
      </c>
      <c r="C2553" t="s">
        <v>732</v>
      </c>
      <c r="D2553" t="s">
        <v>27</v>
      </c>
      <c r="E2553" t="s">
        <v>22</v>
      </c>
      <c r="F2553" s="79">
        <v>45930</v>
      </c>
      <c r="G2553">
        <v>2025</v>
      </c>
      <c r="H2553" t="s">
        <v>162</v>
      </c>
      <c r="I2553" t="s">
        <v>32</v>
      </c>
      <c r="K2553">
        <v>0</v>
      </c>
      <c r="L2553" s="39"/>
      <c r="M2553" s="39"/>
      <c r="N2553" t="s">
        <v>355</v>
      </c>
      <c r="O2553" t="s">
        <v>25</v>
      </c>
      <c r="P2553">
        <v>0</v>
      </c>
      <c r="Q2553">
        <v>0</v>
      </c>
      <c r="R2553" t="s">
        <v>3204</v>
      </c>
    </row>
    <row r="2554" spans="1:18" hidden="1" x14ac:dyDescent="0.3">
      <c r="A2554">
        <v>510</v>
      </c>
      <c r="B2554" t="s">
        <v>1433</v>
      </c>
      <c r="C2554" t="s">
        <v>732</v>
      </c>
      <c r="D2554" t="s">
        <v>27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K2554">
        <v>0</v>
      </c>
      <c r="L2554" s="39"/>
      <c r="M2554" s="39"/>
      <c r="N2554" t="s">
        <v>355</v>
      </c>
      <c r="O2554" t="s">
        <v>25</v>
      </c>
      <c r="P2554">
        <v>0</v>
      </c>
      <c r="Q2554">
        <v>0</v>
      </c>
      <c r="R2554" t="s">
        <v>1434</v>
      </c>
    </row>
    <row r="2555" spans="1:18" hidden="1" x14ac:dyDescent="0.3">
      <c r="A2555">
        <v>511</v>
      </c>
      <c r="B2555" t="s">
        <v>1435</v>
      </c>
      <c r="C2555" t="s">
        <v>732</v>
      </c>
      <c r="D2555" t="s">
        <v>27</v>
      </c>
      <c r="E2555" t="s">
        <v>22</v>
      </c>
      <c r="F2555" s="79">
        <v>45747</v>
      </c>
      <c r="G2555">
        <v>2025</v>
      </c>
      <c r="H2555" t="s">
        <v>1516</v>
      </c>
      <c r="I2555" t="s">
        <v>700</v>
      </c>
      <c r="K2555">
        <v>373.70999908447271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3205</v>
      </c>
    </row>
    <row r="2556" spans="1:18" hidden="1" x14ac:dyDescent="0.3">
      <c r="A2556">
        <v>511</v>
      </c>
      <c r="B2556" t="s">
        <v>1435</v>
      </c>
      <c r="C2556" t="s">
        <v>732</v>
      </c>
      <c r="D2556" t="s">
        <v>27</v>
      </c>
      <c r="E2556" t="s">
        <v>22</v>
      </c>
      <c r="F2556" s="79">
        <v>45838</v>
      </c>
      <c r="G2556">
        <v>2025</v>
      </c>
      <c r="H2556" t="s">
        <v>699</v>
      </c>
      <c r="I2556" t="s">
        <v>700</v>
      </c>
      <c r="K2556">
        <v>86.36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3206</v>
      </c>
    </row>
    <row r="2557" spans="1:18" hidden="1" x14ac:dyDescent="0.3">
      <c r="A2557">
        <v>511</v>
      </c>
      <c r="B2557" t="s">
        <v>1435</v>
      </c>
      <c r="C2557" t="s">
        <v>732</v>
      </c>
      <c r="D2557" t="s">
        <v>27</v>
      </c>
      <c r="E2557" t="s">
        <v>22</v>
      </c>
      <c r="F2557" s="79">
        <v>45930</v>
      </c>
      <c r="G2557">
        <v>2025</v>
      </c>
      <c r="H2557" t="s">
        <v>162</v>
      </c>
      <c r="I2557" t="s">
        <v>32</v>
      </c>
      <c r="K2557">
        <v>86.36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3207</v>
      </c>
    </row>
    <row r="2558" spans="1:18" hidden="1" x14ac:dyDescent="0.3">
      <c r="A2558">
        <v>511</v>
      </c>
      <c r="B2558" t="s">
        <v>1435</v>
      </c>
      <c r="C2558" t="s">
        <v>732</v>
      </c>
      <c r="D2558" t="s">
        <v>27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K2558">
        <v>84.76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1436</v>
      </c>
    </row>
    <row r="2559" spans="1:18" hidden="1" x14ac:dyDescent="0.3">
      <c r="A2559">
        <v>513</v>
      </c>
      <c r="B2559" t="s">
        <v>1437</v>
      </c>
      <c r="C2559" t="s">
        <v>732</v>
      </c>
      <c r="D2559" t="s">
        <v>27</v>
      </c>
      <c r="E2559" t="s">
        <v>22</v>
      </c>
      <c r="F2559" s="79">
        <v>45747</v>
      </c>
      <c r="G2559">
        <v>2025</v>
      </c>
      <c r="H2559" t="s">
        <v>1516</v>
      </c>
      <c r="I2559" t="s">
        <v>700</v>
      </c>
      <c r="J2559">
        <v>15</v>
      </c>
      <c r="K2559">
        <v>100</v>
      </c>
      <c r="L2559" s="39">
        <f t="shared" ref="L2559:L2582" si="166">IFERROR(IF(OR(J2559=0,K2559=""),"",IF(E2559="Positivo",MIN(MAX(K2559/J2559,0),1.3),MIN(MAX(J2559/K2559,0),1.3))),"")</f>
        <v>1.3</v>
      </c>
      <c r="M2559" s="39">
        <f t="shared" ref="M2559:M2582" si="167">IFERROR(IF(OR(J2559=0,K2559=""),"",IF(E2559="Positivo",MAX(K2559/J2559,0),MAX(J2559/K2559,0))),"")</f>
        <v>6.666666666666667</v>
      </c>
      <c r="N2559" t="s">
        <v>355</v>
      </c>
      <c r="O2559" t="s">
        <v>25</v>
      </c>
      <c r="P2559">
        <v>0</v>
      </c>
      <c r="Q2559">
        <v>0</v>
      </c>
      <c r="R2559" t="s">
        <v>3208</v>
      </c>
    </row>
    <row r="2560" spans="1:18" hidden="1" x14ac:dyDescent="0.3">
      <c r="A2560">
        <v>513</v>
      </c>
      <c r="B2560" t="s">
        <v>1437</v>
      </c>
      <c r="C2560" t="s">
        <v>732</v>
      </c>
      <c r="D2560" t="s">
        <v>27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J2560">
        <v>32</v>
      </c>
      <c r="K2560">
        <v>100</v>
      </c>
      <c r="L2560" s="39">
        <f t="shared" si="166"/>
        <v>1.3</v>
      </c>
      <c r="M2560" s="39">
        <f t="shared" si="167"/>
        <v>3.125</v>
      </c>
      <c r="N2560" t="s">
        <v>355</v>
      </c>
      <c r="O2560" t="s">
        <v>25</v>
      </c>
      <c r="P2560">
        <v>0</v>
      </c>
      <c r="Q2560">
        <v>0</v>
      </c>
      <c r="R2560" t="s">
        <v>3209</v>
      </c>
    </row>
    <row r="2561" spans="1:18" hidden="1" x14ac:dyDescent="0.3">
      <c r="A2561">
        <v>513</v>
      </c>
      <c r="B2561" t="s">
        <v>1437</v>
      </c>
      <c r="C2561" t="s">
        <v>732</v>
      </c>
      <c r="D2561" t="s">
        <v>27</v>
      </c>
      <c r="E2561" t="s">
        <v>22</v>
      </c>
      <c r="F2561" s="79">
        <v>45930</v>
      </c>
      <c r="G2561">
        <v>2025</v>
      </c>
      <c r="H2561" t="s">
        <v>162</v>
      </c>
      <c r="I2561" t="s">
        <v>32</v>
      </c>
      <c r="J2561">
        <v>0</v>
      </c>
      <c r="K2561">
        <v>0</v>
      </c>
      <c r="L2561" s="39" t="str">
        <f t="shared" si="166"/>
        <v/>
      </c>
      <c r="M2561" s="39" t="str">
        <f t="shared" si="167"/>
        <v/>
      </c>
      <c r="N2561" t="s">
        <v>355</v>
      </c>
      <c r="O2561" t="s">
        <v>25</v>
      </c>
      <c r="P2561">
        <v>0</v>
      </c>
      <c r="Q2561">
        <v>0</v>
      </c>
      <c r="R2561" t="s">
        <v>3210</v>
      </c>
    </row>
    <row r="2562" spans="1:18" hidden="1" x14ac:dyDescent="0.3">
      <c r="A2562">
        <v>513</v>
      </c>
      <c r="B2562" t="s">
        <v>1437</v>
      </c>
      <c r="C2562" t="s">
        <v>732</v>
      </c>
      <c r="D2562" t="s">
        <v>27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0</v>
      </c>
      <c r="K2562">
        <v>0</v>
      </c>
      <c r="L2562" s="39" t="str">
        <f t="shared" si="166"/>
        <v/>
      </c>
      <c r="M2562" s="39" t="str">
        <f t="shared" si="167"/>
        <v/>
      </c>
      <c r="N2562" t="s">
        <v>355</v>
      </c>
      <c r="O2562" t="s">
        <v>25</v>
      </c>
      <c r="P2562">
        <v>0</v>
      </c>
      <c r="Q2562">
        <v>0</v>
      </c>
      <c r="R2562" t="s">
        <v>1438</v>
      </c>
    </row>
    <row r="2563" spans="1:18" hidden="1" x14ac:dyDescent="0.3">
      <c r="A2563">
        <v>514</v>
      </c>
      <c r="B2563" t="s">
        <v>1439</v>
      </c>
      <c r="C2563" t="s">
        <v>732</v>
      </c>
      <c r="D2563" t="s">
        <v>21</v>
      </c>
      <c r="E2563" t="s">
        <v>22</v>
      </c>
      <c r="F2563" s="79">
        <v>45838</v>
      </c>
      <c r="G2563">
        <v>2025</v>
      </c>
      <c r="H2563" t="s">
        <v>699</v>
      </c>
      <c r="I2563" t="s">
        <v>700</v>
      </c>
      <c r="J2563">
        <v>70</v>
      </c>
      <c r="K2563">
        <v>91.82</v>
      </c>
      <c r="L2563" s="39">
        <f t="shared" si="166"/>
        <v>1.3</v>
      </c>
      <c r="M2563" s="39">
        <f t="shared" si="167"/>
        <v>1.3117142857142856</v>
      </c>
      <c r="N2563" t="s">
        <v>25</v>
      </c>
      <c r="O2563" t="s">
        <v>25</v>
      </c>
      <c r="P2563">
        <v>0</v>
      </c>
      <c r="Q2563">
        <v>0</v>
      </c>
      <c r="R2563" t="s">
        <v>3211</v>
      </c>
    </row>
    <row r="2564" spans="1:18" hidden="1" x14ac:dyDescent="0.3">
      <c r="A2564">
        <v>514</v>
      </c>
      <c r="B2564" t="s">
        <v>1439</v>
      </c>
      <c r="C2564" t="s">
        <v>732</v>
      </c>
      <c r="D2564" t="s">
        <v>21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70</v>
      </c>
      <c r="K2564">
        <v>45.96</v>
      </c>
      <c r="L2564" s="39">
        <f t="shared" si="166"/>
        <v>0.65657142857142858</v>
      </c>
      <c r="M2564" s="39">
        <f t="shared" si="167"/>
        <v>0.65657142857142858</v>
      </c>
      <c r="N2564" t="s">
        <v>25</v>
      </c>
      <c r="O2564" t="s">
        <v>25</v>
      </c>
      <c r="P2564">
        <v>0</v>
      </c>
      <c r="Q2564">
        <v>0</v>
      </c>
      <c r="R2564" t="s">
        <v>1440</v>
      </c>
    </row>
    <row r="2565" spans="1:18" hidden="1" x14ac:dyDescent="0.3">
      <c r="A2565">
        <v>515</v>
      </c>
      <c r="B2565" t="s">
        <v>1441</v>
      </c>
      <c r="C2565" t="s">
        <v>53</v>
      </c>
      <c r="D2565" t="s">
        <v>21</v>
      </c>
      <c r="E2565" t="s">
        <v>22</v>
      </c>
      <c r="F2565" s="79">
        <v>46022</v>
      </c>
      <c r="G2565">
        <v>2025</v>
      </c>
      <c r="H2565" t="s">
        <v>23</v>
      </c>
      <c r="I2565" t="s">
        <v>32</v>
      </c>
      <c r="J2565">
        <v>3</v>
      </c>
      <c r="K2565">
        <v>66.67</v>
      </c>
      <c r="L2565" s="39">
        <f t="shared" si="166"/>
        <v>1.3</v>
      </c>
      <c r="M2565" s="39">
        <f t="shared" si="167"/>
        <v>22.223333333333333</v>
      </c>
      <c r="N2565" t="s">
        <v>25</v>
      </c>
      <c r="O2565" t="s">
        <v>25</v>
      </c>
      <c r="P2565">
        <v>0</v>
      </c>
      <c r="Q2565">
        <v>0</v>
      </c>
      <c r="R2565" t="s">
        <v>1442</v>
      </c>
    </row>
    <row r="2566" spans="1:18" hidden="1" x14ac:dyDescent="0.3">
      <c r="A2566">
        <v>516</v>
      </c>
      <c r="B2566" t="s">
        <v>1443</v>
      </c>
      <c r="C2566" t="s">
        <v>53</v>
      </c>
      <c r="D2566" t="s">
        <v>21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95</v>
      </c>
      <c r="K2566">
        <v>315.79000000000002</v>
      </c>
      <c r="L2566" s="39">
        <f t="shared" si="166"/>
        <v>1.3</v>
      </c>
      <c r="M2566" s="39">
        <f t="shared" si="167"/>
        <v>3.3241052631578949</v>
      </c>
      <c r="N2566" t="s">
        <v>25</v>
      </c>
      <c r="O2566" t="s">
        <v>25</v>
      </c>
      <c r="P2566">
        <v>0</v>
      </c>
      <c r="Q2566">
        <v>0</v>
      </c>
      <c r="R2566" t="s">
        <v>1444</v>
      </c>
    </row>
    <row r="2567" spans="1:18" hidden="1" x14ac:dyDescent="0.3">
      <c r="A2567">
        <v>518</v>
      </c>
      <c r="B2567" t="s">
        <v>62</v>
      </c>
      <c r="C2567" t="s">
        <v>63</v>
      </c>
      <c r="D2567" t="s">
        <v>64</v>
      </c>
      <c r="E2567" t="s">
        <v>22</v>
      </c>
      <c r="F2567" s="79">
        <v>45747</v>
      </c>
      <c r="G2567">
        <v>2025</v>
      </c>
      <c r="H2567" t="s">
        <v>1516</v>
      </c>
      <c r="I2567" t="s">
        <v>700</v>
      </c>
      <c r="J2567">
        <v>100</v>
      </c>
      <c r="K2567">
        <v>83.333333333333002</v>
      </c>
      <c r="L2567" s="39">
        <f t="shared" si="166"/>
        <v>0.83333333333333004</v>
      </c>
      <c r="M2567" s="39">
        <f t="shared" si="167"/>
        <v>0.83333333333333004</v>
      </c>
      <c r="N2567" t="s">
        <v>25</v>
      </c>
      <c r="O2567" t="s">
        <v>25</v>
      </c>
      <c r="P2567">
        <v>0</v>
      </c>
      <c r="Q2567">
        <v>0</v>
      </c>
      <c r="R2567" t="s">
        <v>3212</v>
      </c>
    </row>
    <row r="2568" spans="1:18" hidden="1" x14ac:dyDescent="0.3">
      <c r="A2568">
        <v>518</v>
      </c>
      <c r="B2568" t="s">
        <v>62</v>
      </c>
      <c r="C2568" t="s">
        <v>63</v>
      </c>
      <c r="D2568" t="s">
        <v>64</v>
      </c>
      <c r="E2568" t="s">
        <v>22</v>
      </c>
      <c r="F2568" s="79">
        <v>45838</v>
      </c>
      <c r="G2568">
        <v>2025</v>
      </c>
      <c r="H2568" t="s">
        <v>699</v>
      </c>
      <c r="I2568" t="s">
        <v>700</v>
      </c>
      <c r="J2568">
        <v>100</v>
      </c>
      <c r="K2568">
        <v>87.5</v>
      </c>
      <c r="L2568" s="39">
        <f t="shared" si="166"/>
        <v>0.875</v>
      </c>
      <c r="M2568" s="39">
        <f t="shared" si="167"/>
        <v>0.875</v>
      </c>
      <c r="N2568" t="s">
        <v>25</v>
      </c>
      <c r="O2568" t="s">
        <v>25</v>
      </c>
      <c r="P2568">
        <v>0</v>
      </c>
      <c r="Q2568">
        <v>0</v>
      </c>
      <c r="R2568" t="s">
        <v>3213</v>
      </c>
    </row>
    <row r="2569" spans="1:18" hidden="1" x14ac:dyDescent="0.3">
      <c r="A2569">
        <v>518</v>
      </c>
      <c r="B2569" t="s">
        <v>62</v>
      </c>
      <c r="C2569" t="s">
        <v>63</v>
      </c>
      <c r="D2569" t="s">
        <v>27</v>
      </c>
      <c r="E2569" t="s">
        <v>22</v>
      </c>
      <c r="F2569" s="79">
        <v>45930</v>
      </c>
      <c r="G2569">
        <v>2025</v>
      </c>
      <c r="H2569" t="s">
        <v>162</v>
      </c>
      <c r="I2569" t="s">
        <v>32</v>
      </c>
      <c r="J2569">
        <v>100</v>
      </c>
      <c r="K2569">
        <v>120</v>
      </c>
      <c r="L2569" s="39">
        <f t="shared" si="166"/>
        <v>1.2</v>
      </c>
      <c r="M2569" s="39">
        <f t="shared" si="167"/>
        <v>1.2</v>
      </c>
      <c r="N2569" t="s">
        <v>25</v>
      </c>
      <c r="O2569" t="s">
        <v>25</v>
      </c>
      <c r="P2569">
        <v>0</v>
      </c>
      <c r="Q2569">
        <v>0</v>
      </c>
      <c r="R2569" t="s">
        <v>3214</v>
      </c>
    </row>
    <row r="2570" spans="1:18" hidden="1" x14ac:dyDescent="0.3">
      <c r="A2570">
        <v>518</v>
      </c>
      <c r="B2570" t="s">
        <v>62</v>
      </c>
      <c r="C2570" t="s">
        <v>63</v>
      </c>
      <c r="D2570" t="s">
        <v>27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100</v>
      </c>
      <c r="K2570">
        <v>137.5</v>
      </c>
      <c r="L2570" s="39">
        <f t="shared" si="166"/>
        <v>1.3</v>
      </c>
      <c r="M2570" s="39">
        <f t="shared" si="167"/>
        <v>1.375</v>
      </c>
      <c r="N2570" t="s">
        <v>25</v>
      </c>
      <c r="O2570" t="s">
        <v>25</v>
      </c>
      <c r="P2570">
        <v>0</v>
      </c>
      <c r="Q2570">
        <v>0</v>
      </c>
      <c r="R2570" t="s">
        <v>1445</v>
      </c>
    </row>
    <row r="2571" spans="1:18" hidden="1" x14ac:dyDescent="0.3">
      <c r="A2571">
        <v>519</v>
      </c>
      <c r="B2571" t="s">
        <v>1446</v>
      </c>
      <c r="C2571" t="s">
        <v>1078</v>
      </c>
      <c r="D2571" t="s">
        <v>21</v>
      </c>
      <c r="E2571" t="s">
        <v>22</v>
      </c>
      <c r="F2571" s="79">
        <v>45838</v>
      </c>
      <c r="G2571">
        <v>2025</v>
      </c>
      <c r="H2571" t="s">
        <v>699</v>
      </c>
      <c r="I2571" t="s">
        <v>700</v>
      </c>
      <c r="J2571">
        <v>100</v>
      </c>
      <c r="K2571">
        <v>431.45</v>
      </c>
      <c r="L2571" s="39">
        <f t="shared" si="166"/>
        <v>1.3</v>
      </c>
      <c r="M2571" s="39">
        <f t="shared" si="167"/>
        <v>4.3144999999999998</v>
      </c>
      <c r="N2571" t="s">
        <v>25</v>
      </c>
      <c r="O2571" t="s">
        <v>25</v>
      </c>
      <c r="P2571">
        <v>0</v>
      </c>
      <c r="Q2571">
        <v>0</v>
      </c>
      <c r="R2571" t="s">
        <v>3215</v>
      </c>
    </row>
    <row r="2572" spans="1:18" hidden="1" x14ac:dyDescent="0.3">
      <c r="A2572">
        <v>519</v>
      </c>
      <c r="B2572" t="s">
        <v>1446</v>
      </c>
      <c r="C2572" t="s">
        <v>1078</v>
      </c>
      <c r="D2572" t="s">
        <v>21</v>
      </c>
      <c r="E2572" t="s">
        <v>22</v>
      </c>
      <c r="F2572" s="79">
        <v>46022</v>
      </c>
      <c r="G2572">
        <v>2025</v>
      </c>
      <c r="H2572" t="s">
        <v>23</v>
      </c>
      <c r="I2572" t="s">
        <v>32</v>
      </c>
      <c r="J2572">
        <v>100</v>
      </c>
      <c r="K2572">
        <v>131.13</v>
      </c>
      <c r="L2572" s="39">
        <f t="shared" si="166"/>
        <v>1.3</v>
      </c>
      <c r="M2572" s="39">
        <f t="shared" si="167"/>
        <v>1.3112999999999999</v>
      </c>
      <c r="N2572" t="s">
        <v>25</v>
      </c>
      <c r="O2572" t="s">
        <v>25</v>
      </c>
      <c r="P2572">
        <v>0</v>
      </c>
      <c r="Q2572">
        <v>0</v>
      </c>
      <c r="R2572" t="s">
        <v>1447</v>
      </c>
    </row>
    <row r="2573" spans="1:18" hidden="1" x14ac:dyDescent="0.3">
      <c r="A2573">
        <v>522</v>
      </c>
      <c r="B2573" t="s">
        <v>1448</v>
      </c>
      <c r="C2573" t="s">
        <v>549</v>
      </c>
      <c r="D2573" t="s">
        <v>71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20</v>
      </c>
      <c r="K2573">
        <v>100</v>
      </c>
      <c r="L2573" s="39">
        <f t="shared" si="166"/>
        <v>1.3</v>
      </c>
      <c r="M2573" s="39">
        <f t="shared" si="167"/>
        <v>5</v>
      </c>
      <c r="N2573" t="s">
        <v>25</v>
      </c>
      <c r="O2573" t="s">
        <v>25</v>
      </c>
      <c r="P2573">
        <v>0</v>
      </c>
      <c r="Q2573">
        <v>0</v>
      </c>
      <c r="R2573" t="s">
        <v>1449</v>
      </c>
    </row>
    <row r="2574" spans="1:18" hidden="1" x14ac:dyDescent="0.3">
      <c r="A2574">
        <v>523</v>
      </c>
      <c r="B2574" t="s">
        <v>1043</v>
      </c>
      <c r="C2574" t="s">
        <v>159</v>
      </c>
      <c r="D2574" t="s">
        <v>21</v>
      </c>
      <c r="E2574" t="s">
        <v>22</v>
      </c>
      <c r="F2574" s="79">
        <v>45838</v>
      </c>
      <c r="G2574">
        <v>2025</v>
      </c>
      <c r="H2574" t="s">
        <v>699</v>
      </c>
      <c r="I2574" t="s">
        <v>700</v>
      </c>
      <c r="J2574">
        <v>95</v>
      </c>
      <c r="K2574">
        <v>128.41</v>
      </c>
      <c r="L2574" s="39">
        <f t="shared" si="166"/>
        <v>1.3</v>
      </c>
      <c r="M2574" s="39">
        <f t="shared" si="167"/>
        <v>1.3516842105263158</v>
      </c>
      <c r="N2574" t="s">
        <v>25</v>
      </c>
      <c r="O2574" t="s">
        <v>25</v>
      </c>
      <c r="P2574">
        <v>0</v>
      </c>
      <c r="Q2574">
        <v>0</v>
      </c>
      <c r="R2574" t="s">
        <v>3216</v>
      </c>
    </row>
    <row r="2575" spans="1:18" hidden="1" x14ac:dyDescent="0.3">
      <c r="A2575">
        <v>523</v>
      </c>
      <c r="B2575" t="s">
        <v>1043</v>
      </c>
      <c r="C2575" t="s">
        <v>159</v>
      </c>
      <c r="D2575" t="s">
        <v>21</v>
      </c>
      <c r="E2575" t="s">
        <v>22</v>
      </c>
      <c r="F2575" s="79">
        <v>46022</v>
      </c>
      <c r="G2575">
        <v>2025</v>
      </c>
      <c r="H2575" t="s">
        <v>23</v>
      </c>
      <c r="I2575" t="s">
        <v>32</v>
      </c>
      <c r="J2575">
        <v>95</v>
      </c>
      <c r="K2575">
        <v>95.76</v>
      </c>
      <c r="L2575" s="39">
        <f t="shared" si="166"/>
        <v>1.008</v>
      </c>
      <c r="M2575" s="39">
        <f t="shared" si="167"/>
        <v>1.008</v>
      </c>
      <c r="N2575" t="s">
        <v>25</v>
      </c>
      <c r="O2575" t="s">
        <v>25</v>
      </c>
      <c r="P2575">
        <v>0</v>
      </c>
      <c r="Q2575">
        <v>0</v>
      </c>
      <c r="R2575" t="s">
        <v>1450</v>
      </c>
    </row>
    <row r="2576" spans="1:18" hidden="1" x14ac:dyDescent="0.3">
      <c r="A2576">
        <v>524</v>
      </c>
      <c r="B2576" t="s">
        <v>1182</v>
      </c>
      <c r="C2576" t="s">
        <v>1183</v>
      </c>
      <c r="D2576" t="s">
        <v>21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100</v>
      </c>
      <c r="K2576">
        <v>99.38</v>
      </c>
      <c r="L2576" s="39">
        <f t="shared" si="166"/>
        <v>0.99379999999999991</v>
      </c>
      <c r="M2576" s="39">
        <f t="shared" si="167"/>
        <v>0.99379999999999991</v>
      </c>
      <c r="N2576" t="s">
        <v>128</v>
      </c>
      <c r="O2576" t="s">
        <v>128</v>
      </c>
      <c r="P2576">
        <v>0</v>
      </c>
      <c r="Q2576">
        <v>0</v>
      </c>
      <c r="R2576" t="s">
        <v>3217</v>
      </c>
    </row>
    <row r="2577" spans="1:19" hidden="1" x14ac:dyDescent="0.3">
      <c r="A2577">
        <v>524</v>
      </c>
      <c r="B2577" t="s">
        <v>1182</v>
      </c>
      <c r="C2577" t="s">
        <v>1183</v>
      </c>
      <c r="D2577" t="s">
        <v>21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100</v>
      </c>
      <c r="K2577">
        <v>106.07</v>
      </c>
      <c r="L2577" s="39">
        <f t="shared" si="166"/>
        <v>1.0607</v>
      </c>
      <c r="M2577" s="39">
        <f t="shared" si="167"/>
        <v>1.0607</v>
      </c>
      <c r="N2577" t="s">
        <v>128</v>
      </c>
      <c r="O2577" t="s">
        <v>128</v>
      </c>
      <c r="P2577">
        <v>0</v>
      </c>
      <c r="Q2577">
        <v>0</v>
      </c>
      <c r="R2577" t="s">
        <v>1451</v>
      </c>
    </row>
    <row r="2578" spans="1:19" hidden="1" x14ac:dyDescent="0.3">
      <c r="A2578">
        <v>526</v>
      </c>
      <c r="B2578" t="s">
        <v>1452</v>
      </c>
      <c r="C2578" t="s">
        <v>706</v>
      </c>
      <c r="D2578" t="s">
        <v>27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L2578" s="39" t="str">
        <f t="shared" si="166"/>
        <v/>
      </c>
      <c r="M2578" s="39" t="str">
        <f t="shared" si="167"/>
        <v/>
      </c>
      <c r="N2578" t="s">
        <v>25</v>
      </c>
      <c r="O2578" t="s">
        <v>25</v>
      </c>
      <c r="P2578">
        <v>0</v>
      </c>
      <c r="Q2578">
        <v>0</v>
      </c>
      <c r="R2578" t="s">
        <v>3218</v>
      </c>
    </row>
    <row r="2579" spans="1:19" hidden="1" x14ac:dyDescent="0.3">
      <c r="A2579">
        <v>526</v>
      </c>
      <c r="B2579" t="s">
        <v>1452</v>
      </c>
      <c r="C2579" t="s">
        <v>706</v>
      </c>
      <c r="D2579" t="s">
        <v>27</v>
      </c>
      <c r="E2579" t="s">
        <v>22</v>
      </c>
      <c r="F2579" s="79">
        <v>45930</v>
      </c>
      <c r="G2579">
        <v>2025</v>
      </c>
      <c r="H2579" t="s">
        <v>162</v>
      </c>
      <c r="I2579" t="s">
        <v>32</v>
      </c>
      <c r="J2579">
        <v>95</v>
      </c>
      <c r="K2579">
        <v>96.6</v>
      </c>
      <c r="L2579" s="39">
        <f t="shared" si="166"/>
        <v>1.0168421052631578</v>
      </c>
      <c r="M2579" s="39">
        <f t="shared" si="167"/>
        <v>1.0168421052631578</v>
      </c>
      <c r="N2579" t="s">
        <v>25</v>
      </c>
      <c r="O2579" t="s">
        <v>25</v>
      </c>
      <c r="P2579">
        <v>0</v>
      </c>
      <c r="Q2579">
        <v>0</v>
      </c>
      <c r="R2579" t="s">
        <v>1453</v>
      </c>
    </row>
    <row r="2580" spans="1:19" hidden="1" x14ac:dyDescent="0.3">
      <c r="A2580">
        <v>527</v>
      </c>
      <c r="B2580" t="s">
        <v>1454</v>
      </c>
      <c r="C2580" t="s">
        <v>567</v>
      </c>
      <c r="D2580" t="s">
        <v>71</v>
      </c>
      <c r="E2580" t="s">
        <v>22</v>
      </c>
      <c r="F2580" s="79">
        <v>46022</v>
      </c>
      <c r="G2580">
        <v>2025</v>
      </c>
      <c r="H2580" t="s">
        <v>23</v>
      </c>
      <c r="I2580" t="s">
        <v>32</v>
      </c>
      <c r="J2580">
        <v>100</v>
      </c>
      <c r="K2580">
        <v>197.94</v>
      </c>
      <c r="L2580" s="39">
        <f t="shared" si="166"/>
        <v>1.3</v>
      </c>
      <c r="M2580" s="39">
        <f t="shared" si="167"/>
        <v>1.9794</v>
      </c>
      <c r="N2580" t="s">
        <v>25</v>
      </c>
      <c r="O2580" t="s">
        <v>25</v>
      </c>
      <c r="P2580">
        <v>0</v>
      </c>
      <c r="Q2580">
        <v>0</v>
      </c>
      <c r="R2580" t="s">
        <v>1455</v>
      </c>
    </row>
    <row r="2581" spans="1:19" hidden="1" x14ac:dyDescent="0.3">
      <c r="A2581">
        <v>528</v>
      </c>
      <c r="B2581" t="s">
        <v>1456</v>
      </c>
      <c r="C2581" t="s">
        <v>567</v>
      </c>
      <c r="D2581" t="s">
        <v>71</v>
      </c>
      <c r="E2581" t="s">
        <v>22</v>
      </c>
      <c r="F2581" s="79">
        <v>45838</v>
      </c>
      <c r="G2581">
        <v>2025</v>
      </c>
      <c r="H2581" t="s">
        <v>699</v>
      </c>
      <c r="I2581" t="s">
        <v>700</v>
      </c>
      <c r="J2581">
        <v>100</v>
      </c>
      <c r="K2581">
        <v>173.92055267703</v>
      </c>
      <c r="L2581" s="39">
        <f t="shared" si="166"/>
        <v>1.3</v>
      </c>
      <c r="M2581" s="39">
        <f t="shared" si="167"/>
        <v>1.7392055267702999</v>
      </c>
      <c r="N2581" t="s">
        <v>128</v>
      </c>
      <c r="O2581" t="s">
        <v>128</v>
      </c>
      <c r="P2581">
        <v>0</v>
      </c>
      <c r="Q2581">
        <v>0</v>
      </c>
      <c r="R2581" t="s">
        <v>3219</v>
      </c>
    </row>
    <row r="2582" spans="1:19" hidden="1" x14ac:dyDescent="0.3">
      <c r="A2582">
        <v>528</v>
      </c>
      <c r="B2582" t="s">
        <v>1456</v>
      </c>
      <c r="C2582" t="s">
        <v>567</v>
      </c>
      <c r="D2582" t="s">
        <v>71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100</v>
      </c>
      <c r="K2582">
        <v>1158</v>
      </c>
      <c r="L2582" s="39">
        <f t="shared" si="166"/>
        <v>1.3</v>
      </c>
      <c r="M2582" s="39">
        <f t="shared" si="167"/>
        <v>11.58</v>
      </c>
      <c r="N2582" t="s">
        <v>128</v>
      </c>
      <c r="O2582" t="s">
        <v>128</v>
      </c>
      <c r="P2582">
        <v>0</v>
      </c>
      <c r="Q2582">
        <v>0</v>
      </c>
      <c r="R2582" t="s">
        <v>1457</v>
      </c>
    </row>
    <row r="2583" spans="1:19" hidden="1" x14ac:dyDescent="0.3">
      <c r="A2583">
        <v>529</v>
      </c>
      <c r="B2583" t="s">
        <v>1458</v>
      </c>
      <c r="C2583" t="s">
        <v>167</v>
      </c>
      <c r="D2583" t="s">
        <v>27</v>
      </c>
      <c r="E2583" t="s">
        <v>22</v>
      </c>
      <c r="F2583" s="79">
        <v>45838</v>
      </c>
      <c r="G2583">
        <v>2025</v>
      </c>
      <c r="H2583" t="s">
        <v>699</v>
      </c>
      <c r="I2583" t="s">
        <v>700</v>
      </c>
      <c r="L2583" s="39"/>
      <c r="M2583" s="39"/>
      <c r="N2583" t="s">
        <v>25</v>
      </c>
      <c r="O2583" t="s">
        <v>302</v>
      </c>
      <c r="P2583">
        <v>0</v>
      </c>
      <c r="Q2583">
        <v>0</v>
      </c>
      <c r="R2583" t="s">
        <v>3220</v>
      </c>
      <c r="S2583" t="s">
        <v>302</v>
      </c>
    </row>
    <row r="2584" spans="1:19" hidden="1" x14ac:dyDescent="0.3">
      <c r="A2584">
        <v>529</v>
      </c>
      <c r="B2584" t="s">
        <v>1458</v>
      </c>
      <c r="C2584" t="s">
        <v>167</v>
      </c>
      <c r="D2584" t="s">
        <v>27</v>
      </c>
      <c r="E2584" t="s">
        <v>22</v>
      </c>
      <c r="F2584" s="79">
        <v>45930</v>
      </c>
      <c r="G2584">
        <v>2025</v>
      </c>
      <c r="H2584" t="s">
        <v>162</v>
      </c>
      <c r="I2584" t="s">
        <v>32</v>
      </c>
      <c r="J2584">
        <v>90</v>
      </c>
      <c r="K2584">
        <v>196.19</v>
      </c>
      <c r="L2584" s="39">
        <f t="shared" ref="L2584:L2604" si="168">IFERROR(IF(OR(J2584=0,K2584=""),"",IF(E2584="Positivo",MIN(MAX(K2584/J2584,0),1.3),MIN(MAX(J2584/K2584,0),1.3))),"")</f>
        <v>1.3</v>
      </c>
      <c r="M2584" s="39">
        <f t="shared" ref="M2584:M2604" si="169">IFERROR(IF(OR(J2584=0,K2584=""),"",IF(E2584="Positivo",MAX(K2584/J2584,0),MAX(J2584/K2584,0))),"")</f>
        <v>2.1798888888888888</v>
      </c>
      <c r="N2584" t="s">
        <v>25</v>
      </c>
      <c r="O2584" t="s">
        <v>25</v>
      </c>
      <c r="P2584">
        <v>0</v>
      </c>
      <c r="Q2584">
        <v>0</v>
      </c>
      <c r="R2584" t="s">
        <v>3221</v>
      </c>
    </row>
    <row r="2585" spans="1:19" hidden="1" x14ac:dyDescent="0.3">
      <c r="A2585">
        <v>529</v>
      </c>
      <c r="B2585" t="s">
        <v>1458</v>
      </c>
      <c r="C2585" t="s">
        <v>167</v>
      </c>
      <c r="D2585" t="s">
        <v>27</v>
      </c>
      <c r="E2585" t="s">
        <v>22</v>
      </c>
      <c r="F2585" s="79">
        <v>46022</v>
      </c>
      <c r="G2585">
        <v>2025</v>
      </c>
      <c r="H2585" t="s">
        <v>23</v>
      </c>
      <c r="I2585" t="s">
        <v>32</v>
      </c>
      <c r="J2585">
        <v>90</v>
      </c>
      <c r="K2585">
        <v>97.97</v>
      </c>
      <c r="L2585" s="39">
        <f t="shared" si="168"/>
        <v>1.0885555555555555</v>
      </c>
      <c r="M2585" s="39">
        <f t="shared" si="169"/>
        <v>1.0885555555555555</v>
      </c>
      <c r="N2585" t="s">
        <v>25</v>
      </c>
      <c r="O2585" t="s">
        <v>25</v>
      </c>
      <c r="P2585">
        <v>0</v>
      </c>
      <c r="Q2585">
        <v>0</v>
      </c>
      <c r="R2585" t="s">
        <v>1459</v>
      </c>
    </row>
    <row r="2586" spans="1:19" hidden="1" x14ac:dyDescent="0.3">
      <c r="A2586">
        <v>530</v>
      </c>
      <c r="B2586" t="s">
        <v>1460</v>
      </c>
      <c r="C2586" t="s">
        <v>53</v>
      </c>
      <c r="D2586" t="s">
        <v>21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97</v>
      </c>
      <c r="K2586">
        <v>85.56</v>
      </c>
      <c r="L2586" s="39">
        <f t="shared" si="168"/>
        <v>0.88206185567010309</v>
      </c>
      <c r="M2586" s="39">
        <f t="shared" si="169"/>
        <v>0.88206185567010309</v>
      </c>
      <c r="N2586" t="s">
        <v>25</v>
      </c>
      <c r="O2586" t="s">
        <v>25</v>
      </c>
      <c r="P2586">
        <v>0</v>
      </c>
      <c r="Q2586">
        <v>0</v>
      </c>
      <c r="R2586" t="s">
        <v>1461</v>
      </c>
    </row>
    <row r="2587" spans="1:19" hidden="1" x14ac:dyDescent="0.3">
      <c r="A2587">
        <v>531</v>
      </c>
      <c r="B2587" t="s">
        <v>1462</v>
      </c>
      <c r="C2587" t="s">
        <v>53</v>
      </c>
      <c r="D2587" t="s">
        <v>21</v>
      </c>
      <c r="E2587" t="s">
        <v>22</v>
      </c>
      <c r="F2587" s="79">
        <v>46022</v>
      </c>
      <c r="G2587">
        <v>2025</v>
      </c>
      <c r="H2587" t="s">
        <v>23</v>
      </c>
      <c r="I2587" t="s">
        <v>32</v>
      </c>
      <c r="J2587">
        <v>90</v>
      </c>
      <c r="K2587">
        <v>93.94</v>
      </c>
      <c r="L2587" s="39">
        <f t="shared" si="168"/>
        <v>1.0437777777777777</v>
      </c>
      <c r="M2587" s="39">
        <f t="shared" si="169"/>
        <v>1.0437777777777777</v>
      </c>
      <c r="N2587" t="s">
        <v>25</v>
      </c>
      <c r="O2587" t="s">
        <v>25</v>
      </c>
      <c r="P2587">
        <v>0</v>
      </c>
      <c r="Q2587">
        <v>0</v>
      </c>
      <c r="R2587" t="s">
        <v>1463</v>
      </c>
    </row>
    <row r="2588" spans="1:19" hidden="1" x14ac:dyDescent="0.3">
      <c r="A2588">
        <v>532</v>
      </c>
      <c r="B2588" t="s">
        <v>1464</v>
      </c>
      <c r="C2588" t="s">
        <v>246</v>
      </c>
      <c r="D2588" t="s">
        <v>21</v>
      </c>
      <c r="E2588" t="s">
        <v>22</v>
      </c>
      <c r="F2588" s="79">
        <v>45838</v>
      </c>
      <c r="G2588">
        <v>2025</v>
      </c>
      <c r="H2588" t="s">
        <v>699</v>
      </c>
      <c r="I2588" t="s">
        <v>700</v>
      </c>
      <c r="J2588">
        <v>100</v>
      </c>
      <c r="K2588">
        <v>133.15</v>
      </c>
      <c r="L2588" s="39">
        <f t="shared" si="168"/>
        <v>1.3</v>
      </c>
      <c r="M2588" s="39">
        <f t="shared" si="169"/>
        <v>1.3315000000000001</v>
      </c>
      <c r="N2588" t="s">
        <v>25</v>
      </c>
      <c r="O2588" t="s">
        <v>25</v>
      </c>
      <c r="P2588">
        <v>0</v>
      </c>
      <c r="Q2588">
        <v>0</v>
      </c>
      <c r="R2588" t="s">
        <v>3222</v>
      </c>
    </row>
    <row r="2589" spans="1:19" hidden="1" x14ac:dyDescent="0.3">
      <c r="A2589">
        <v>532</v>
      </c>
      <c r="B2589" t="s">
        <v>1464</v>
      </c>
      <c r="C2589" t="s">
        <v>246</v>
      </c>
      <c r="D2589" t="s">
        <v>21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100</v>
      </c>
      <c r="K2589">
        <v>134.78</v>
      </c>
      <c r="L2589" s="39">
        <f t="shared" si="168"/>
        <v>1.3</v>
      </c>
      <c r="M2589" s="39">
        <f t="shared" si="169"/>
        <v>1.3478000000000001</v>
      </c>
      <c r="N2589" t="s">
        <v>25</v>
      </c>
      <c r="O2589" t="s">
        <v>25</v>
      </c>
      <c r="P2589">
        <v>0</v>
      </c>
      <c r="Q2589">
        <v>0</v>
      </c>
      <c r="R2589" t="s">
        <v>1465</v>
      </c>
    </row>
    <row r="2590" spans="1:19" hidden="1" x14ac:dyDescent="0.3">
      <c r="A2590">
        <v>533</v>
      </c>
      <c r="B2590" t="s">
        <v>1466</v>
      </c>
      <c r="C2590" t="s">
        <v>246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100</v>
      </c>
      <c r="K2590">
        <v>124.89</v>
      </c>
      <c r="L2590" s="39">
        <f t="shared" si="168"/>
        <v>1.2488999999999999</v>
      </c>
      <c r="M2590" s="39">
        <f t="shared" si="169"/>
        <v>1.2488999999999999</v>
      </c>
      <c r="N2590" t="s">
        <v>25</v>
      </c>
      <c r="O2590" t="s">
        <v>25</v>
      </c>
      <c r="P2590">
        <v>0</v>
      </c>
      <c r="Q2590">
        <v>0</v>
      </c>
      <c r="R2590" t="s">
        <v>3223</v>
      </c>
    </row>
    <row r="2591" spans="1:19" hidden="1" x14ac:dyDescent="0.3">
      <c r="A2591">
        <v>533</v>
      </c>
      <c r="B2591" t="s">
        <v>1466</v>
      </c>
      <c r="C2591" t="s">
        <v>246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100</v>
      </c>
      <c r="K2591">
        <v>177.95</v>
      </c>
      <c r="L2591" s="39">
        <f t="shared" si="168"/>
        <v>1.3</v>
      </c>
      <c r="M2591" s="39">
        <f t="shared" si="169"/>
        <v>1.7794999999999999</v>
      </c>
      <c r="N2591" t="s">
        <v>25</v>
      </c>
      <c r="O2591" t="s">
        <v>25</v>
      </c>
      <c r="P2591">
        <v>0</v>
      </c>
      <c r="Q2591">
        <v>0</v>
      </c>
      <c r="R2591" t="s">
        <v>1467</v>
      </c>
    </row>
    <row r="2592" spans="1:19" hidden="1" x14ac:dyDescent="0.3">
      <c r="A2592">
        <v>534</v>
      </c>
      <c r="B2592" t="s">
        <v>1468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134.09</v>
      </c>
      <c r="L2592" s="39">
        <f t="shared" si="168"/>
        <v>1.3</v>
      </c>
      <c r="M2592" s="39">
        <f t="shared" si="169"/>
        <v>1.3409</v>
      </c>
      <c r="N2592" t="s">
        <v>25</v>
      </c>
      <c r="O2592" t="s">
        <v>25</v>
      </c>
      <c r="P2592">
        <v>0</v>
      </c>
      <c r="Q2592">
        <v>0</v>
      </c>
      <c r="R2592" t="s">
        <v>3224</v>
      </c>
    </row>
    <row r="2593" spans="1:19" hidden="1" x14ac:dyDescent="0.3">
      <c r="A2593">
        <v>534</v>
      </c>
      <c r="B2593" t="s">
        <v>1468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134.53</v>
      </c>
      <c r="L2593" s="39">
        <f t="shared" si="168"/>
        <v>1.3</v>
      </c>
      <c r="M2593" s="39">
        <f t="shared" si="169"/>
        <v>1.3452999999999999</v>
      </c>
      <c r="N2593" t="s">
        <v>25</v>
      </c>
      <c r="O2593" t="s">
        <v>25</v>
      </c>
      <c r="P2593">
        <v>0</v>
      </c>
      <c r="Q2593">
        <v>0</v>
      </c>
      <c r="R2593" t="s">
        <v>1469</v>
      </c>
    </row>
    <row r="2594" spans="1:19" hidden="1" x14ac:dyDescent="0.3">
      <c r="A2594">
        <v>535</v>
      </c>
      <c r="B2594" t="s">
        <v>1470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132.66999999999999</v>
      </c>
      <c r="L2594" s="39">
        <f t="shared" si="168"/>
        <v>1.3</v>
      </c>
      <c r="M2594" s="39">
        <f t="shared" si="169"/>
        <v>1.3266999999999998</v>
      </c>
      <c r="N2594" t="s">
        <v>25</v>
      </c>
      <c r="O2594" t="s">
        <v>25</v>
      </c>
      <c r="P2594">
        <v>0</v>
      </c>
      <c r="Q2594">
        <v>0</v>
      </c>
      <c r="R2594" t="s">
        <v>3225</v>
      </c>
    </row>
    <row r="2595" spans="1:19" hidden="1" x14ac:dyDescent="0.3">
      <c r="A2595">
        <v>535</v>
      </c>
      <c r="B2595" t="s">
        <v>1470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209.63</v>
      </c>
      <c r="L2595" s="39">
        <f t="shared" si="168"/>
        <v>1.3</v>
      </c>
      <c r="M2595" s="39">
        <f t="shared" si="169"/>
        <v>2.0962999999999998</v>
      </c>
      <c r="N2595" t="s">
        <v>25</v>
      </c>
      <c r="O2595" t="s">
        <v>25</v>
      </c>
      <c r="P2595">
        <v>0</v>
      </c>
      <c r="Q2595">
        <v>0</v>
      </c>
      <c r="R2595" t="s">
        <v>1471</v>
      </c>
    </row>
    <row r="2596" spans="1:19" hidden="1" x14ac:dyDescent="0.3">
      <c r="A2596">
        <v>536</v>
      </c>
      <c r="B2596" t="s">
        <v>1472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109.33</v>
      </c>
      <c r="L2596" s="39">
        <f t="shared" si="168"/>
        <v>1.0932999999999999</v>
      </c>
      <c r="M2596" s="39">
        <f t="shared" si="169"/>
        <v>1.0932999999999999</v>
      </c>
      <c r="N2596" t="s">
        <v>25</v>
      </c>
      <c r="O2596" t="s">
        <v>25</v>
      </c>
      <c r="P2596">
        <v>0</v>
      </c>
      <c r="Q2596">
        <v>0</v>
      </c>
      <c r="R2596" t="s">
        <v>3226</v>
      </c>
    </row>
    <row r="2597" spans="1:19" hidden="1" x14ac:dyDescent="0.3">
      <c r="A2597">
        <v>536</v>
      </c>
      <c r="B2597" t="s">
        <v>1472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260.75</v>
      </c>
      <c r="L2597" s="39">
        <f t="shared" si="168"/>
        <v>1.3</v>
      </c>
      <c r="M2597" s="39">
        <f t="shared" si="169"/>
        <v>2.6074999999999999</v>
      </c>
      <c r="N2597" t="s">
        <v>25</v>
      </c>
      <c r="O2597" t="s">
        <v>25</v>
      </c>
      <c r="P2597">
        <v>0</v>
      </c>
      <c r="Q2597">
        <v>0</v>
      </c>
      <c r="R2597" t="s">
        <v>1473</v>
      </c>
    </row>
    <row r="2598" spans="1:19" hidden="1" x14ac:dyDescent="0.3">
      <c r="A2598">
        <v>537</v>
      </c>
      <c r="B2598" t="s">
        <v>1474</v>
      </c>
      <c r="C2598" t="s">
        <v>333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65</v>
      </c>
      <c r="K2598">
        <v>58.9</v>
      </c>
      <c r="L2598" s="39">
        <f t="shared" si="168"/>
        <v>0.90615384615384609</v>
      </c>
      <c r="M2598" s="39">
        <f t="shared" si="169"/>
        <v>0.90615384615384609</v>
      </c>
      <c r="N2598" t="s">
        <v>128</v>
      </c>
      <c r="O2598" t="s">
        <v>128</v>
      </c>
      <c r="P2598">
        <v>0</v>
      </c>
      <c r="Q2598">
        <v>0</v>
      </c>
      <c r="R2598" t="s">
        <v>3227</v>
      </c>
    </row>
    <row r="2599" spans="1:19" hidden="1" x14ac:dyDescent="0.3">
      <c r="A2599">
        <v>537</v>
      </c>
      <c r="B2599" t="s">
        <v>1474</v>
      </c>
      <c r="C2599" t="s">
        <v>333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65</v>
      </c>
      <c r="K2599">
        <v>64.3</v>
      </c>
      <c r="L2599" s="39">
        <f t="shared" si="168"/>
        <v>0.98923076923076914</v>
      </c>
      <c r="M2599" s="39">
        <f t="shared" si="169"/>
        <v>0.98923076923076914</v>
      </c>
      <c r="N2599" t="s">
        <v>128</v>
      </c>
      <c r="O2599" t="s">
        <v>128</v>
      </c>
      <c r="P2599">
        <v>0</v>
      </c>
      <c r="Q2599">
        <v>0</v>
      </c>
      <c r="R2599" t="s">
        <v>1475</v>
      </c>
    </row>
    <row r="2600" spans="1:19" hidden="1" x14ac:dyDescent="0.3">
      <c r="A2600">
        <v>538</v>
      </c>
      <c r="B2600" t="s">
        <v>1476</v>
      </c>
      <c r="C2600" t="s">
        <v>541</v>
      </c>
      <c r="D2600" t="s">
        <v>21</v>
      </c>
      <c r="E2600" t="s">
        <v>22</v>
      </c>
      <c r="F2600" s="79">
        <v>46022</v>
      </c>
      <c r="G2600">
        <v>2025</v>
      </c>
      <c r="H2600" t="s">
        <v>23</v>
      </c>
      <c r="I2600" t="s">
        <v>32</v>
      </c>
      <c r="J2600">
        <v>90</v>
      </c>
      <c r="K2600">
        <v>100</v>
      </c>
      <c r="L2600" s="39">
        <f t="shared" si="168"/>
        <v>1.1111111111111112</v>
      </c>
      <c r="M2600" s="39">
        <f t="shared" si="169"/>
        <v>1.1111111111111112</v>
      </c>
      <c r="N2600" t="s">
        <v>25</v>
      </c>
      <c r="O2600" t="s">
        <v>25</v>
      </c>
      <c r="P2600">
        <v>0</v>
      </c>
      <c r="Q2600">
        <v>0</v>
      </c>
      <c r="R2600" t="s">
        <v>1477</v>
      </c>
    </row>
    <row r="2601" spans="1:19" hidden="1" x14ac:dyDescent="0.3">
      <c r="A2601">
        <v>539</v>
      </c>
      <c r="B2601" t="s">
        <v>1478</v>
      </c>
      <c r="C2601" t="s">
        <v>541</v>
      </c>
      <c r="D2601" t="s">
        <v>21</v>
      </c>
      <c r="E2601" t="s">
        <v>41</v>
      </c>
      <c r="F2601" s="79">
        <v>46022</v>
      </c>
      <c r="G2601">
        <v>2025</v>
      </c>
      <c r="H2601" t="s">
        <v>23</v>
      </c>
      <c r="I2601" t="s">
        <v>32</v>
      </c>
      <c r="J2601">
        <v>2.5</v>
      </c>
      <c r="K2601">
        <v>2.5</v>
      </c>
      <c r="L2601" s="39">
        <f t="shared" si="168"/>
        <v>1</v>
      </c>
      <c r="M2601" s="39">
        <f t="shared" si="169"/>
        <v>1</v>
      </c>
      <c r="N2601" t="s">
        <v>25</v>
      </c>
      <c r="O2601" t="s">
        <v>25</v>
      </c>
      <c r="P2601">
        <v>0</v>
      </c>
      <c r="Q2601">
        <v>0</v>
      </c>
      <c r="R2601" t="s">
        <v>1479</v>
      </c>
    </row>
    <row r="2602" spans="1:19" hidden="1" x14ac:dyDescent="0.3">
      <c r="A2602">
        <v>540</v>
      </c>
      <c r="B2602" t="s">
        <v>1480</v>
      </c>
      <c r="C2602" t="s">
        <v>922</v>
      </c>
      <c r="D2602" t="s">
        <v>21</v>
      </c>
      <c r="E2602" t="s">
        <v>22</v>
      </c>
      <c r="F2602" s="79">
        <v>45838</v>
      </c>
      <c r="G2602">
        <v>2025</v>
      </c>
      <c r="H2602" t="s">
        <v>699</v>
      </c>
      <c r="I2602" t="s">
        <v>700</v>
      </c>
      <c r="J2602">
        <v>97</v>
      </c>
      <c r="K2602">
        <v>97.33</v>
      </c>
      <c r="L2602" s="39">
        <f t="shared" si="168"/>
        <v>1.00340206185567</v>
      </c>
      <c r="M2602" s="39">
        <f t="shared" si="169"/>
        <v>1.00340206185567</v>
      </c>
      <c r="N2602" t="s">
        <v>25</v>
      </c>
      <c r="O2602" t="s">
        <v>25</v>
      </c>
      <c r="P2602">
        <v>0</v>
      </c>
      <c r="Q2602">
        <v>0</v>
      </c>
      <c r="R2602" t="s">
        <v>3228</v>
      </c>
    </row>
    <row r="2603" spans="1:19" hidden="1" x14ac:dyDescent="0.3">
      <c r="A2603">
        <v>540</v>
      </c>
      <c r="B2603" t="s">
        <v>1480</v>
      </c>
      <c r="C2603" t="s">
        <v>922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97</v>
      </c>
      <c r="K2603">
        <v>97.9</v>
      </c>
      <c r="L2603" s="39">
        <f t="shared" si="168"/>
        <v>1.0092783505154639</v>
      </c>
      <c r="M2603" s="39">
        <f t="shared" si="169"/>
        <v>1.0092783505154639</v>
      </c>
      <c r="N2603" t="s">
        <v>25</v>
      </c>
      <c r="O2603" t="s">
        <v>25</v>
      </c>
      <c r="P2603">
        <v>0</v>
      </c>
      <c r="Q2603">
        <v>0</v>
      </c>
      <c r="R2603" t="s">
        <v>1481</v>
      </c>
    </row>
    <row r="2604" spans="1:19" hidden="1" x14ac:dyDescent="0.3">
      <c r="A2604">
        <v>541</v>
      </c>
      <c r="B2604" t="s">
        <v>1482</v>
      </c>
      <c r="C2604" t="s">
        <v>842</v>
      </c>
      <c r="D2604" t="s">
        <v>71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4</v>
      </c>
      <c r="K2604">
        <v>6.99</v>
      </c>
      <c r="L2604" s="39">
        <f t="shared" si="168"/>
        <v>1.3</v>
      </c>
      <c r="M2604" s="39">
        <f t="shared" si="169"/>
        <v>1.7475000000000001</v>
      </c>
      <c r="N2604" t="s">
        <v>25</v>
      </c>
      <c r="O2604" t="s">
        <v>25</v>
      </c>
      <c r="P2604">
        <v>0</v>
      </c>
      <c r="Q2604">
        <v>0</v>
      </c>
      <c r="R2604" t="s">
        <v>1483</v>
      </c>
    </row>
    <row r="2605" spans="1:19" hidden="1" x14ac:dyDescent="0.3">
      <c r="A2605">
        <v>542</v>
      </c>
      <c r="B2605" t="s">
        <v>1484</v>
      </c>
      <c r="C2605" t="s">
        <v>842</v>
      </c>
      <c r="D2605" t="s">
        <v>71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K2605">
        <v>81.239999999999995</v>
      </c>
      <c r="N2605" t="s">
        <v>25</v>
      </c>
      <c r="O2605" t="s">
        <v>25</v>
      </c>
      <c r="P2605">
        <v>0</v>
      </c>
      <c r="Q2605">
        <v>0</v>
      </c>
      <c r="R2605" t="s">
        <v>1485</v>
      </c>
      <c r="S2605" t="s">
        <v>263</v>
      </c>
    </row>
    <row r="2606" spans="1:19" hidden="1" x14ac:dyDescent="0.3">
      <c r="A2606">
        <v>543</v>
      </c>
      <c r="B2606" t="s">
        <v>1486</v>
      </c>
      <c r="C2606" t="s">
        <v>308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K2606">
        <v>7.29</v>
      </c>
      <c r="L2606" s="39"/>
      <c r="M2606" s="39"/>
      <c r="N2606" t="s">
        <v>128</v>
      </c>
      <c r="O2606" t="s">
        <v>128</v>
      </c>
      <c r="P2606">
        <v>0</v>
      </c>
      <c r="Q2606">
        <v>0</v>
      </c>
      <c r="R2606" t="s">
        <v>3229</v>
      </c>
    </row>
    <row r="2607" spans="1:19" hidden="1" x14ac:dyDescent="0.3">
      <c r="A2607">
        <v>543</v>
      </c>
      <c r="B2607" t="s">
        <v>1486</v>
      </c>
      <c r="C2607" t="s">
        <v>308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K2607">
        <v>6.91</v>
      </c>
      <c r="L2607" s="39"/>
      <c r="M2607" s="39"/>
      <c r="N2607" t="s">
        <v>128</v>
      </c>
      <c r="O2607" t="s">
        <v>128</v>
      </c>
      <c r="P2607">
        <v>0</v>
      </c>
      <c r="Q2607">
        <v>0</v>
      </c>
      <c r="R2607" t="s">
        <v>1487</v>
      </c>
    </row>
    <row r="2608" spans="1:19" hidden="1" x14ac:dyDescent="0.3">
      <c r="A2608">
        <v>544</v>
      </c>
      <c r="B2608" t="s">
        <v>1488</v>
      </c>
      <c r="C2608" t="s">
        <v>1110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250</v>
      </c>
      <c r="L2608" s="39">
        <f>IFERROR(IF(OR(J2608=0,K2608=""),"",IF(E2608="Positivo",MIN(MAX(K2608/J2608,0),1.3),MIN(MAX(J2608/K2608,0),1.3))),"")</f>
        <v>1.3</v>
      </c>
      <c r="M2608" s="39">
        <f>IFERROR(IF(OR(J2608=0,K2608=""),"",IF(E2608="Positivo",MAX(K2608/J2608,0),MAX(J2608/K2608,0))),"")</f>
        <v>2.5</v>
      </c>
      <c r="N2608" t="s">
        <v>128</v>
      </c>
      <c r="O2608" t="s">
        <v>128</v>
      </c>
      <c r="P2608">
        <v>0</v>
      </c>
      <c r="Q2608">
        <v>0</v>
      </c>
      <c r="R2608" t="s">
        <v>3230</v>
      </c>
    </row>
    <row r="2609" spans="1:19" hidden="1" x14ac:dyDescent="0.3">
      <c r="A2609">
        <v>544</v>
      </c>
      <c r="B2609" t="s">
        <v>1488</v>
      </c>
      <c r="C2609" t="s">
        <v>1110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J2609">
        <v>100</v>
      </c>
      <c r="K2609">
        <v>162.5</v>
      </c>
      <c r="L2609" s="39">
        <f>IFERROR(IF(OR(J2609=0,K2609=""),"",IF(E2609="Positivo",MIN(MAX(K2609/J2609,0),1.3),MIN(MAX(J2609/K2609,0),1.3))),"")</f>
        <v>1.3</v>
      </c>
      <c r="M2609" s="39">
        <f>IFERROR(IF(OR(J2609=0,K2609=""),"",IF(E2609="Positivo",MAX(K2609/J2609,0),MAX(J2609/K2609,0))),"")</f>
        <v>1.625</v>
      </c>
      <c r="N2609" t="s">
        <v>128</v>
      </c>
      <c r="O2609" t="s">
        <v>128</v>
      </c>
      <c r="P2609">
        <v>0</v>
      </c>
      <c r="Q2609">
        <v>0</v>
      </c>
      <c r="R2609" t="s">
        <v>1489</v>
      </c>
    </row>
    <row r="2610" spans="1:19" hidden="1" x14ac:dyDescent="0.3">
      <c r="A2610">
        <v>546</v>
      </c>
      <c r="B2610" t="s">
        <v>1490</v>
      </c>
      <c r="C2610" t="s">
        <v>842</v>
      </c>
      <c r="D2610" t="s">
        <v>71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J2610">
        <v>100</v>
      </c>
      <c r="K2610">
        <v>113.38</v>
      </c>
      <c r="L2610" s="39">
        <f>IFERROR(IF(OR(J2610=0,K2610=""),"",IF(E2610="Positivo",MIN(MAX(K2610/J2610,0),1.3),MIN(MAX(J2610/K2610,0),1.3))),"")</f>
        <v>1.1337999999999999</v>
      </c>
      <c r="M2610" s="39">
        <f>IFERROR(IF(OR(J2610=0,K2610=""),"",IF(E2610="Positivo",MAX(K2610/J2610,0),MAX(J2610/K2610,0))),"")</f>
        <v>1.1337999999999999</v>
      </c>
      <c r="N2610" t="s">
        <v>25</v>
      </c>
      <c r="O2610" t="s">
        <v>25</v>
      </c>
      <c r="P2610">
        <v>0</v>
      </c>
      <c r="Q2610">
        <v>0</v>
      </c>
      <c r="R2610" t="s">
        <v>1491</v>
      </c>
    </row>
    <row r="2611" spans="1:19" hidden="1" x14ac:dyDescent="0.3">
      <c r="A2611">
        <v>547</v>
      </c>
      <c r="B2611" t="s">
        <v>1492</v>
      </c>
      <c r="C2611" t="s">
        <v>842</v>
      </c>
      <c r="D2611" t="s">
        <v>71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K2611">
        <v>92</v>
      </c>
      <c r="L2611" s="39"/>
      <c r="M2611" s="39"/>
      <c r="N2611" t="s">
        <v>25</v>
      </c>
      <c r="O2611" t="s">
        <v>25</v>
      </c>
      <c r="P2611">
        <v>0</v>
      </c>
      <c r="Q2611">
        <v>0</v>
      </c>
      <c r="R2611" t="s">
        <v>1493</v>
      </c>
    </row>
    <row r="2612" spans="1:19" hidden="1" x14ac:dyDescent="0.3">
      <c r="A2612">
        <v>550</v>
      </c>
      <c r="B2612" t="s">
        <v>1494</v>
      </c>
      <c r="C2612" t="s">
        <v>1097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80</v>
      </c>
      <c r="K2612">
        <v>95</v>
      </c>
      <c r="L2612" s="39">
        <f t="shared" ref="L2612:L2622" si="170">IFERROR(IF(OR(J2612=0,K2612=""),"",IF(E2612="Positivo",MIN(MAX(K2612/J2612,0),1.3),MIN(MAX(J2612/K2612,0),1.3))),"")</f>
        <v>1.1875</v>
      </c>
      <c r="M2612" s="39">
        <f t="shared" ref="M2612:M2622" si="171">IFERROR(IF(OR(J2612=0,K2612=""),"",IF(E2612="Positivo",MAX(K2612/J2612,0),MAX(J2612/K2612,0))),"")</f>
        <v>1.1875</v>
      </c>
      <c r="N2612" t="s">
        <v>25</v>
      </c>
      <c r="O2612" t="s">
        <v>25</v>
      </c>
      <c r="P2612">
        <v>0</v>
      </c>
      <c r="Q2612">
        <v>0</v>
      </c>
      <c r="R2612" t="s">
        <v>3231</v>
      </c>
    </row>
    <row r="2613" spans="1:19" hidden="1" x14ac:dyDescent="0.3">
      <c r="A2613">
        <v>550</v>
      </c>
      <c r="B2613" t="s">
        <v>1494</v>
      </c>
      <c r="C2613" t="s">
        <v>1097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80</v>
      </c>
      <c r="K2613">
        <v>95.5</v>
      </c>
      <c r="L2613" s="39">
        <f t="shared" si="170"/>
        <v>1.1937500000000001</v>
      </c>
      <c r="M2613" s="39">
        <f t="shared" si="171"/>
        <v>1.1937500000000001</v>
      </c>
      <c r="N2613" t="s">
        <v>25</v>
      </c>
      <c r="O2613" t="s">
        <v>25</v>
      </c>
      <c r="P2613">
        <v>0</v>
      </c>
      <c r="Q2613">
        <v>0</v>
      </c>
      <c r="R2613" t="s">
        <v>1495</v>
      </c>
    </row>
    <row r="2614" spans="1:19" hidden="1" x14ac:dyDescent="0.3">
      <c r="A2614">
        <v>551</v>
      </c>
      <c r="B2614" t="s">
        <v>1496</v>
      </c>
      <c r="C2614" t="s">
        <v>1097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4</v>
      </c>
      <c r="K2614">
        <v>5</v>
      </c>
      <c r="L2614" s="39">
        <f t="shared" si="170"/>
        <v>1.25</v>
      </c>
      <c r="M2614" s="39">
        <f t="shared" si="171"/>
        <v>1.25</v>
      </c>
      <c r="N2614" t="s">
        <v>25</v>
      </c>
      <c r="O2614" t="s">
        <v>25</v>
      </c>
      <c r="P2614">
        <v>0</v>
      </c>
      <c r="Q2614">
        <v>0</v>
      </c>
      <c r="R2614" t="s">
        <v>3232</v>
      </c>
    </row>
    <row r="2615" spans="1:19" hidden="1" x14ac:dyDescent="0.3">
      <c r="A2615">
        <v>551</v>
      </c>
      <c r="B2615" t="s">
        <v>1496</v>
      </c>
      <c r="C2615" t="s">
        <v>1097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4</v>
      </c>
      <c r="K2615">
        <v>5</v>
      </c>
      <c r="L2615" s="39">
        <f t="shared" si="170"/>
        <v>1.25</v>
      </c>
      <c r="M2615" s="39">
        <f t="shared" si="171"/>
        <v>1.25</v>
      </c>
      <c r="N2615" t="s">
        <v>25</v>
      </c>
      <c r="O2615" t="s">
        <v>25</v>
      </c>
      <c r="P2615">
        <v>0</v>
      </c>
      <c r="Q2615">
        <v>0</v>
      </c>
      <c r="R2615" t="s">
        <v>1497</v>
      </c>
    </row>
    <row r="2616" spans="1:19" hidden="1" x14ac:dyDescent="0.3">
      <c r="A2616">
        <v>552</v>
      </c>
      <c r="B2616" t="s">
        <v>1498</v>
      </c>
      <c r="C2616" t="s">
        <v>951</v>
      </c>
      <c r="D2616" t="s">
        <v>71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80</v>
      </c>
      <c r="K2616">
        <v>92</v>
      </c>
      <c r="L2616" s="39">
        <f t="shared" si="170"/>
        <v>1.1499999999999999</v>
      </c>
      <c r="M2616" s="39">
        <f t="shared" si="171"/>
        <v>1.1499999999999999</v>
      </c>
      <c r="N2616" t="s">
        <v>25</v>
      </c>
      <c r="O2616" t="s">
        <v>25</v>
      </c>
      <c r="P2616">
        <v>0</v>
      </c>
      <c r="Q2616">
        <v>0</v>
      </c>
      <c r="R2616" t="s">
        <v>3233</v>
      </c>
    </row>
    <row r="2617" spans="1:19" hidden="1" x14ac:dyDescent="0.3">
      <c r="A2617">
        <v>552</v>
      </c>
      <c r="B2617" t="s">
        <v>1498</v>
      </c>
      <c r="C2617" t="s">
        <v>951</v>
      </c>
      <c r="D2617" t="s">
        <v>71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80</v>
      </c>
      <c r="K2617">
        <v>92</v>
      </c>
      <c r="L2617" s="39">
        <f t="shared" si="170"/>
        <v>1.1499999999999999</v>
      </c>
      <c r="M2617" s="39">
        <f t="shared" si="171"/>
        <v>1.1499999999999999</v>
      </c>
      <c r="N2617" t="s">
        <v>25</v>
      </c>
      <c r="O2617" t="s">
        <v>25</v>
      </c>
      <c r="P2617">
        <v>0</v>
      </c>
      <c r="Q2617">
        <v>0</v>
      </c>
      <c r="R2617" t="s">
        <v>1499</v>
      </c>
    </row>
    <row r="2618" spans="1:19" hidden="1" x14ac:dyDescent="0.3">
      <c r="A2618">
        <v>553</v>
      </c>
      <c r="B2618" t="s">
        <v>1500</v>
      </c>
      <c r="C2618" t="s">
        <v>1020</v>
      </c>
      <c r="D2618" t="s">
        <v>71</v>
      </c>
      <c r="E2618" t="s">
        <v>22</v>
      </c>
      <c r="F2618" s="79">
        <v>46022</v>
      </c>
      <c r="G2618">
        <v>2025</v>
      </c>
      <c r="H2618" t="s">
        <v>23</v>
      </c>
      <c r="I2618" t="s">
        <v>32</v>
      </c>
      <c r="J2618">
        <v>80</v>
      </c>
      <c r="K2618">
        <v>83</v>
      </c>
      <c r="L2618" s="39">
        <f t="shared" si="170"/>
        <v>1.0375000000000001</v>
      </c>
      <c r="M2618" s="39">
        <f t="shared" si="171"/>
        <v>1.0375000000000001</v>
      </c>
      <c r="N2618" t="s">
        <v>25</v>
      </c>
      <c r="O2618" t="s">
        <v>25</v>
      </c>
      <c r="P2618">
        <v>0</v>
      </c>
      <c r="Q2618">
        <v>0</v>
      </c>
      <c r="R2618" t="s">
        <v>1501</v>
      </c>
    </row>
    <row r="2619" spans="1:19" hidden="1" x14ac:dyDescent="0.3">
      <c r="A2619">
        <v>554</v>
      </c>
      <c r="B2619" t="s">
        <v>1502</v>
      </c>
      <c r="C2619" t="s">
        <v>536</v>
      </c>
      <c r="D2619" t="s">
        <v>21</v>
      </c>
      <c r="E2619" t="s">
        <v>22</v>
      </c>
      <c r="F2619" s="79">
        <v>45838</v>
      </c>
      <c r="G2619">
        <v>2025</v>
      </c>
      <c r="H2619" t="s">
        <v>699</v>
      </c>
      <c r="I2619" t="s">
        <v>700</v>
      </c>
      <c r="L2619" s="39" t="str">
        <f t="shared" si="170"/>
        <v/>
      </c>
      <c r="M2619" s="39" t="str">
        <f t="shared" si="171"/>
        <v/>
      </c>
      <c r="N2619" t="s">
        <v>25</v>
      </c>
      <c r="O2619" t="s">
        <v>25</v>
      </c>
      <c r="P2619">
        <v>0</v>
      </c>
      <c r="Q2619">
        <v>0</v>
      </c>
      <c r="R2619" t="s">
        <v>3234</v>
      </c>
      <c r="S2619" t="s">
        <v>302</v>
      </c>
    </row>
    <row r="2620" spans="1:19" hidden="1" x14ac:dyDescent="0.3">
      <c r="A2620">
        <v>554</v>
      </c>
      <c r="B2620" t="s">
        <v>1502</v>
      </c>
      <c r="C2620" t="s">
        <v>536</v>
      </c>
      <c r="D2620" t="s">
        <v>21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80</v>
      </c>
      <c r="K2620">
        <v>95</v>
      </c>
      <c r="L2620" s="39">
        <f t="shared" si="170"/>
        <v>1.1875</v>
      </c>
      <c r="M2620" s="39">
        <f t="shared" si="171"/>
        <v>1.1875</v>
      </c>
      <c r="N2620" t="s">
        <v>25</v>
      </c>
      <c r="O2620" t="s">
        <v>25</v>
      </c>
      <c r="P2620">
        <v>0</v>
      </c>
      <c r="Q2620">
        <v>0</v>
      </c>
      <c r="R2620" t="s">
        <v>1503</v>
      </c>
    </row>
    <row r="2621" spans="1:19" hidden="1" x14ac:dyDescent="0.3">
      <c r="A2621">
        <v>555</v>
      </c>
      <c r="B2621" t="s">
        <v>1504</v>
      </c>
      <c r="C2621" t="s">
        <v>1044</v>
      </c>
      <c r="D2621" t="s">
        <v>21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J2621">
        <v>80</v>
      </c>
      <c r="K2621">
        <v>100</v>
      </c>
      <c r="L2621" s="39">
        <f t="shared" si="170"/>
        <v>1.25</v>
      </c>
      <c r="M2621" s="39">
        <f t="shared" si="171"/>
        <v>1.25</v>
      </c>
      <c r="N2621" t="s">
        <v>25</v>
      </c>
      <c r="O2621" t="s">
        <v>25</v>
      </c>
      <c r="P2621">
        <v>0</v>
      </c>
      <c r="Q2621">
        <v>0</v>
      </c>
      <c r="R2621" t="s">
        <v>1505</v>
      </c>
    </row>
    <row r="2622" spans="1:19" hidden="1" x14ac:dyDescent="0.3">
      <c r="A2622">
        <v>556</v>
      </c>
      <c r="B2622" t="s">
        <v>1506</v>
      </c>
      <c r="C2622" t="s">
        <v>40</v>
      </c>
      <c r="D2622" t="s">
        <v>71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70</v>
      </c>
      <c r="K2622">
        <v>113.75</v>
      </c>
      <c r="L2622" s="39">
        <f t="shared" si="170"/>
        <v>1.3</v>
      </c>
      <c r="M2622" s="39">
        <f t="shared" si="171"/>
        <v>1.625</v>
      </c>
      <c r="N2622" t="s">
        <v>25</v>
      </c>
      <c r="O2622" t="s">
        <v>25</v>
      </c>
      <c r="P2622">
        <v>0</v>
      </c>
      <c r="Q2622">
        <v>0</v>
      </c>
      <c r="R2622" t="s">
        <v>1507</v>
      </c>
    </row>
    <row r="2623" spans="1:19" hidden="1" x14ac:dyDescent="0.3">
      <c r="A2623" s="5">
        <v>274</v>
      </c>
      <c r="B2623" s="5" t="s">
        <v>648</v>
      </c>
      <c r="C2623" s="5" t="s">
        <v>586</v>
      </c>
      <c r="D2623" s="5" t="s">
        <v>27</v>
      </c>
      <c r="E2623" s="5" t="s">
        <v>22</v>
      </c>
      <c r="F2623" s="84">
        <v>44742</v>
      </c>
      <c r="G2623" s="5">
        <v>2022</v>
      </c>
      <c r="H2623" s="5" t="s">
        <v>699</v>
      </c>
      <c r="I2623" s="6" t="s">
        <v>1510</v>
      </c>
      <c r="J2623" s="5">
        <v>39623</v>
      </c>
      <c r="K2623" s="9">
        <v>40000</v>
      </c>
      <c r="L2623" s="14">
        <v>1.0095146758195996</v>
      </c>
      <c r="M2623" s="14">
        <v>1.0095146758195996</v>
      </c>
      <c r="N2623" s="5" t="s">
        <v>128</v>
      </c>
      <c r="O2623" s="5" t="s">
        <v>128</v>
      </c>
      <c r="P2623" s="5">
        <v>0</v>
      </c>
      <c r="Q2623" s="5">
        <v>0</v>
      </c>
      <c r="R2623" s="5" t="s">
        <v>4379</v>
      </c>
    </row>
    <row r="2624" spans="1:19" hidden="1" x14ac:dyDescent="0.3">
      <c r="A2624" s="5">
        <v>274</v>
      </c>
      <c r="B2624" s="5" t="s">
        <v>648</v>
      </c>
      <c r="C2624" s="5" t="s">
        <v>586</v>
      </c>
      <c r="D2624" s="5" t="s">
        <v>27</v>
      </c>
      <c r="E2624" s="5" t="s">
        <v>22</v>
      </c>
      <c r="F2624" s="84">
        <v>44926</v>
      </c>
      <c r="G2624" s="5">
        <v>2022</v>
      </c>
      <c r="H2624" s="5" t="s">
        <v>23</v>
      </c>
      <c r="I2624" s="6" t="s">
        <v>24</v>
      </c>
      <c r="J2624" s="5">
        <v>39817</v>
      </c>
      <c r="K2624" s="9">
        <v>40663</v>
      </c>
      <c r="L2624" s="14">
        <v>1.0212472059673003</v>
      </c>
      <c r="M2624" s="14">
        <v>1.0212472059673003</v>
      </c>
      <c r="N2624" s="5" t="s">
        <v>128</v>
      </c>
      <c r="O2624" s="5" t="s">
        <v>128</v>
      </c>
      <c r="P2624" s="5">
        <v>0</v>
      </c>
      <c r="Q2624" s="5">
        <v>0</v>
      </c>
      <c r="R2624" s="5" t="s">
        <v>4380</v>
      </c>
    </row>
    <row r="2625" spans="1:18" hidden="1" x14ac:dyDescent="0.3">
      <c r="A2625" s="21">
        <v>274</v>
      </c>
      <c r="B2625" s="5" t="s">
        <v>648</v>
      </c>
      <c r="C2625" s="5" t="s">
        <v>586</v>
      </c>
      <c r="D2625" s="5" t="s">
        <v>27</v>
      </c>
      <c r="E2625" s="5" t="s">
        <v>22</v>
      </c>
      <c r="F2625" s="84">
        <v>45107</v>
      </c>
      <c r="G2625" s="5">
        <v>2023</v>
      </c>
      <c r="H2625" s="5" t="s">
        <v>699</v>
      </c>
      <c r="I2625" s="6" t="s">
        <v>1512</v>
      </c>
      <c r="J2625" s="5">
        <v>40047</v>
      </c>
      <c r="K2625" s="9">
        <v>39091</v>
      </c>
      <c r="L2625" s="14">
        <v>0.97612804954178845</v>
      </c>
      <c r="M2625" s="14">
        <v>0.97612804954178845</v>
      </c>
      <c r="N2625" s="5" t="s">
        <v>128</v>
      </c>
      <c r="O2625" s="5" t="s">
        <v>128</v>
      </c>
      <c r="P2625" s="15">
        <v>0</v>
      </c>
      <c r="Q2625" s="15">
        <v>0</v>
      </c>
      <c r="R2625" s="5" t="s">
        <v>2491</v>
      </c>
    </row>
    <row r="2626" spans="1:18" hidden="1" x14ac:dyDescent="0.3">
      <c r="A2626" s="5">
        <v>274</v>
      </c>
      <c r="B2626" s="5" t="s">
        <v>648</v>
      </c>
      <c r="C2626" s="5" t="s">
        <v>586</v>
      </c>
      <c r="D2626" s="5" t="s">
        <v>27</v>
      </c>
      <c r="E2626" s="5" t="s">
        <v>22</v>
      </c>
      <c r="F2626" s="6">
        <v>45291</v>
      </c>
      <c r="G2626" s="5">
        <v>2023</v>
      </c>
      <c r="H2626" s="5" t="s">
        <v>23</v>
      </c>
      <c r="I2626" s="6" t="s">
        <v>28</v>
      </c>
      <c r="J2626" s="5">
        <v>42012</v>
      </c>
      <c r="K2626" s="9">
        <v>40771</v>
      </c>
      <c r="L2626" s="14">
        <v>0.97046082071789008</v>
      </c>
      <c r="M2626" s="14">
        <v>0.97046082071789008</v>
      </c>
      <c r="N2626" s="5" t="s">
        <v>128</v>
      </c>
      <c r="O2626" s="5" t="s">
        <v>128</v>
      </c>
      <c r="P2626" s="15">
        <v>0</v>
      </c>
      <c r="Q2626" s="15">
        <v>0</v>
      </c>
      <c r="R2626" s="5" t="s">
        <v>649</v>
      </c>
    </row>
    <row r="2627" spans="1:18" hidden="1" x14ac:dyDescent="0.3">
      <c r="A2627" s="21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45473</v>
      </c>
      <c r="G2627" s="5">
        <v>2024</v>
      </c>
      <c r="H2627" s="5" t="s">
        <v>699</v>
      </c>
      <c r="I2627" s="6" t="s">
        <v>729</v>
      </c>
      <c r="J2627" s="5">
        <v>38813</v>
      </c>
      <c r="K2627" s="9">
        <v>39598</v>
      </c>
      <c r="L2627" s="14">
        <v>1.0202251822842863</v>
      </c>
      <c r="M2627" s="14">
        <v>1.0202251822842863</v>
      </c>
      <c r="N2627" s="5" t="s">
        <v>128</v>
      </c>
      <c r="O2627" s="5" t="s">
        <v>128</v>
      </c>
      <c r="P2627" s="15">
        <v>0</v>
      </c>
      <c r="Q2627" s="15">
        <v>0</v>
      </c>
      <c r="R2627" s="5" t="s">
        <v>2492</v>
      </c>
    </row>
    <row r="2628" spans="1:18" hidden="1" x14ac:dyDescent="0.3">
      <c r="A2628" s="21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6">
        <v>45657</v>
      </c>
      <c r="G2628" s="5">
        <v>2024</v>
      </c>
      <c r="H2628" s="5" t="s">
        <v>23</v>
      </c>
      <c r="I2628" s="6" t="s">
        <v>30</v>
      </c>
      <c r="J2628" s="5">
        <v>40441</v>
      </c>
      <c r="K2628" s="15">
        <v>41436</v>
      </c>
      <c r="L2628" s="14">
        <v>1.0246037437254272</v>
      </c>
      <c r="M2628" s="14">
        <v>1.0246037437254272</v>
      </c>
      <c r="N2628" s="5" t="s">
        <v>128</v>
      </c>
      <c r="O2628" s="5" t="s">
        <v>128</v>
      </c>
      <c r="P2628" s="15">
        <v>0</v>
      </c>
      <c r="Q2628" s="15">
        <v>0</v>
      </c>
      <c r="R2628" s="5" t="s">
        <v>650</v>
      </c>
    </row>
    <row r="2629" spans="1:18" hidden="1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45838</v>
      </c>
      <c r="G2629" s="5">
        <v>2025</v>
      </c>
      <c r="H2629" s="5" t="s">
        <v>699</v>
      </c>
      <c r="I2629" s="6" t="s">
        <v>700</v>
      </c>
      <c r="J2629" s="5">
        <v>40441</v>
      </c>
      <c r="K2629" s="5">
        <v>41436</v>
      </c>
      <c r="L2629" s="14">
        <v>1.0246037437254272</v>
      </c>
      <c r="M2629" s="14">
        <v>1.0246037437254272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2493</v>
      </c>
    </row>
    <row r="2630" spans="1:18" hidden="1" x14ac:dyDescent="0.3">
      <c r="A2630" s="5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46022</v>
      </c>
      <c r="G2630" s="5">
        <v>2025</v>
      </c>
      <c r="H2630" s="5" t="s">
        <v>23</v>
      </c>
      <c r="I2630" s="6" t="s">
        <v>32</v>
      </c>
      <c r="J2630" s="85">
        <v>44737</v>
      </c>
      <c r="K2630" s="9">
        <v>45583</v>
      </c>
      <c r="L2630" s="14">
        <v>1.0189105214922771</v>
      </c>
      <c r="M2630" s="14">
        <v>1.0189105214922771</v>
      </c>
      <c r="N2630" s="5" t="s">
        <v>128</v>
      </c>
      <c r="O2630" s="5" t="s">
        <v>128</v>
      </c>
      <c r="P2630" s="5">
        <v>0</v>
      </c>
      <c r="Q2630" s="5">
        <v>0</v>
      </c>
      <c r="R2630" s="5" t="s">
        <v>651</v>
      </c>
    </row>
    <row r="2631" spans="1:18" hidden="1" x14ac:dyDescent="0.3">
      <c r="A2631" s="5">
        <v>379</v>
      </c>
      <c r="B2631" s="5" t="s">
        <v>1019</v>
      </c>
      <c r="C2631" s="5" t="s">
        <v>1020</v>
      </c>
      <c r="D2631" s="5" t="s">
        <v>27</v>
      </c>
      <c r="E2631" s="5" t="s">
        <v>22</v>
      </c>
      <c r="F2631" s="84">
        <v>44742</v>
      </c>
      <c r="G2631" s="5">
        <v>2022</v>
      </c>
      <c r="H2631" s="5" t="s">
        <v>699</v>
      </c>
      <c r="I2631" s="6" t="s">
        <v>1510</v>
      </c>
      <c r="J2631" s="9">
        <v>10808</v>
      </c>
      <c r="K2631" s="9">
        <v>11013</v>
      </c>
      <c r="L2631" s="14">
        <v>1.0189674315321984</v>
      </c>
      <c r="M2631" s="14">
        <v>1.0189674315321984</v>
      </c>
      <c r="N2631" s="5" t="s">
        <v>128</v>
      </c>
      <c r="O2631" s="5" t="s">
        <v>128</v>
      </c>
      <c r="P2631" s="5">
        <v>0</v>
      </c>
      <c r="Q2631" s="5">
        <v>0</v>
      </c>
      <c r="R2631" s="5" t="s">
        <v>4381</v>
      </c>
    </row>
    <row r="2632" spans="1:18" hidden="1" x14ac:dyDescent="0.3">
      <c r="A2632" s="5">
        <v>379</v>
      </c>
      <c r="B2632" s="5" t="s">
        <v>1019</v>
      </c>
      <c r="C2632" s="5" t="s">
        <v>1020</v>
      </c>
      <c r="D2632" s="5" t="s">
        <v>27</v>
      </c>
      <c r="E2632" s="5" t="s">
        <v>22</v>
      </c>
      <c r="F2632" s="84">
        <v>44926</v>
      </c>
      <c r="G2632" s="5">
        <v>2022</v>
      </c>
      <c r="H2632" s="5" t="s">
        <v>23</v>
      </c>
      <c r="I2632" s="6" t="s">
        <v>24</v>
      </c>
      <c r="J2632" s="9">
        <v>9192</v>
      </c>
      <c r="K2632" s="9">
        <v>9678</v>
      </c>
      <c r="L2632" s="14">
        <v>1.0528720626631853</v>
      </c>
      <c r="M2632" s="14">
        <v>1.0528720626631853</v>
      </c>
      <c r="N2632" s="5" t="s">
        <v>128</v>
      </c>
      <c r="O2632" s="5" t="s">
        <v>128</v>
      </c>
      <c r="P2632" s="5">
        <v>0</v>
      </c>
      <c r="Q2632" s="5">
        <v>0</v>
      </c>
      <c r="R2632" s="5" t="s">
        <v>4382</v>
      </c>
    </row>
    <row r="2633" spans="1:18" hidden="1" x14ac:dyDescent="0.3">
      <c r="A2633" s="28">
        <v>379</v>
      </c>
      <c r="B2633" s="5" t="s">
        <v>1019</v>
      </c>
      <c r="C2633" s="5" t="s">
        <v>1020</v>
      </c>
      <c r="D2633" s="5" t="s">
        <v>27</v>
      </c>
      <c r="E2633" s="5" t="s">
        <v>22</v>
      </c>
      <c r="F2633" s="6">
        <v>45107</v>
      </c>
      <c r="G2633" s="5">
        <v>2023</v>
      </c>
      <c r="H2633" s="5" t="s">
        <v>699</v>
      </c>
      <c r="I2633" s="6" t="s">
        <v>1512</v>
      </c>
      <c r="J2633" s="9">
        <v>12130</v>
      </c>
      <c r="K2633" s="9">
        <v>12461</v>
      </c>
      <c r="L2633" s="14">
        <v>1.027287716405606</v>
      </c>
      <c r="M2633" s="14">
        <v>1.027287716405606</v>
      </c>
      <c r="N2633" s="5" t="s">
        <v>128</v>
      </c>
      <c r="O2633" s="5" t="s">
        <v>128</v>
      </c>
      <c r="P2633" s="15">
        <v>0</v>
      </c>
      <c r="Q2633" s="15">
        <v>0</v>
      </c>
      <c r="R2633" s="5" t="s">
        <v>2776</v>
      </c>
    </row>
    <row r="2634" spans="1:18" hidden="1" x14ac:dyDescent="0.3">
      <c r="A2634" s="26">
        <v>379</v>
      </c>
      <c r="B2634" s="5" t="s">
        <v>1019</v>
      </c>
      <c r="C2634" s="5" t="s">
        <v>1020</v>
      </c>
      <c r="D2634" s="5" t="s">
        <v>27</v>
      </c>
      <c r="E2634" s="5" t="s">
        <v>22</v>
      </c>
      <c r="F2634" s="6">
        <v>45291</v>
      </c>
      <c r="G2634" s="5">
        <v>2023</v>
      </c>
      <c r="H2634" s="5" t="s">
        <v>23</v>
      </c>
      <c r="I2634" s="6" t="s">
        <v>28</v>
      </c>
      <c r="J2634" s="9">
        <v>9876</v>
      </c>
      <c r="K2634" s="9">
        <v>10730</v>
      </c>
      <c r="L2634" s="14">
        <v>1.0864722559740785</v>
      </c>
      <c r="M2634" s="14">
        <v>1.0864722559740785</v>
      </c>
      <c r="N2634" s="5" t="s">
        <v>128</v>
      </c>
      <c r="O2634" s="5" t="s">
        <v>128</v>
      </c>
      <c r="P2634" s="15">
        <v>0</v>
      </c>
      <c r="Q2634" s="15">
        <v>0</v>
      </c>
      <c r="R2634" s="5" t="s">
        <v>1021</v>
      </c>
    </row>
    <row r="2635" spans="1:18" hidden="1" x14ac:dyDescent="0.3">
      <c r="A2635" s="28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6">
        <v>45473</v>
      </c>
      <c r="G2635" s="5">
        <v>2024</v>
      </c>
      <c r="H2635" s="5" t="s">
        <v>699</v>
      </c>
      <c r="I2635" s="6" t="s">
        <v>729</v>
      </c>
      <c r="J2635" s="9">
        <v>13590</v>
      </c>
      <c r="K2635" s="9">
        <v>12987</v>
      </c>
      <c r="L2635" s="14">
        <v>0.95562913907284763</v>
      </c>
      <c r="M2635" s="14">
        <v>0.95562913907284763</v>
      </c>
      <c r="N2635" s="5" t="s">
        <v>128</v>
      </c>
      <c r="O2635" s="5" t="s">
        <v>128</v>
      </c>
      <c r="P2635" s="15">
        <v>0</v>
      </c>
      <c r="Q2635" s="15">
        <v>0</v>
      </c>
      <c r="R2635" s="5" t="s">
        <v>2777</v>
      </c>
    </row>
    <row r="2636" spans="1:18" hidden="1" x14ac:dyDescent="0.3">
      <c r="A2636" s="21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6">
        <v>45657</v>
      </c>
      <c r="G2636" s="5">
        <v>2024</v>
      </c>
      <c r="H2636" s="5" t="s">
        <v>23</v>
      </c>
      <c r="I2636" s="6" t="s">
        <v>30</v>
      </c>
      <c r="J2636" s="9">
        <v>10675</v>
      </c>
      <c r="K2636" s="9">
        <v>10569</v>
      </c>
      <c r="L2636" s="14">
        <v>0.99007025761124123</v>
      </c>
      <c r="M2636" s="14">
        <v>0.99007025761124123</v>
      </c>
      <c r="N2636" s="5" t="s">
        <v>128</v>
      </c>
      <c r="O2636" s="5" t="s">
        <v>128</v>
      </c>
      <c r="P2636" s="15">
        <v>0</v>
      </c>
      <c r="Q2636" s="15">
        <v>0</v>
      </c>
      <c r="R2636" s="5" t="s">
        <v>1022</v>
      </c>
    </row>
    <row r="2637" spans="1:18" hidden="1" x14ac:dyDescent="0.3">
      <c r="A2637" s="5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45838</v>
      </c>
      <c r="G2637" s="5">
        <v>2025</v>
      </c>
      <c r="H2637" s="5" t="s">
        <v>699</v>
      </c>
      <c r="I2637" s="6" t="s">
        <v>700</v>
      </c>
      <c r="J2637" s="5">
        <v>13609</v>
      </c>
      <c r="K2637" s="5">
        <v>14141</v>
      </c>
      <c r="L2637" s="14">
        <v>1.0390917775001838</v>
      </c>
      <c r="M2637" s="14">
        <v>1.0390917775001838</v>
      </c>
      <c r="N2637" s="5" t="s">
        <v>128</v>
      </c>
      <c r="O2637" s="5" t="s">
        <v>128</v>
      </c>
      <c r="P2637" s="5">
        <v>0</v>
      </c>
      <c r="Q2637" s="5">
        <v>0</v>
      </c>
      <c r="R2637" s="5" t="s">
        <v>2778</v>
      </c>
    </row>
    <row r="2638" spans="1:18" hidden="1" x14ac:dyDescent="0.3">
      <c r="A2638" s="5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46022</v>
      </c>
      <c r="G2638" s="5">
        <v>2025</v>
      </c>
      <c r="H2638" s="5" t="s">
        <v>23</v>
      </c>
      <c r="I2638" s="6" t="s">
        <v>32</v>
      </c>
      <c r="J2638" s="5">
        <v>11018</v>
      </c>
      <c r="K2638" s="5">
        <v>11224</v>
      </c>
      <c r="L2638" s="14">
        <v>1.018696678163006</v>
      </c>
      <c r="M2638" s="14">
        <v>1.018696678163006</v>
      </c>
      <c r="N2638" s="5" t="s">
        <v>128</v>
      </c>
      <c r="O2638" s="5" t="s">
        <v>128</v>
      </c>
      <c r="P2638" s="5">
        <v>0</v>
      </c>
      <c r="Q2638" s="5">
        <v>0</v>
      </c>
      <c r="R2638" s="5" t="s">
        <v>1023</v>
      </c>
    </row>
    <row r="2639" spans="1:18" x14ac:dyDescent="0.3">
      <c r="A2639" s="5">
        <v>14</v>
      </c>
      <c r="B2639" s="5" t="s">
        <v>4383</v>
      </c>
      <c r="C2639" s="5" t="s">
        <v>333</v>
      </c>
      <c r="D2639" s="5" t="s">
        <v>27</v>
      </c>
      <c r="E2639" s="5" t="s">
        <v>22</v>
      </c>
      <c r="F2639" s="6">
        <v>44742</v>
      </c>
      <c r="G2639" s="15">
        <v>2022</v>
      </c>
      <c r="H2639" s="6" t="s">
        <v>699</v>
      </c>
      <c r="I2639" s="27" t="s">
        <v>1510</v>
      </c>
      <c r="J2639" s="9">
        <v>49004</v>
      </c>
      <c r="K2639" s="86">
        <v>51012</v>
      </c>
      <c r="L2639" s="14">
        <v>1.040976246836993</v>
      </c>
      <c r="M2639" s="14">
        <v>1.040976246836993</v>
      </c>
      <c r="N2639" s="5" t="s">
        <v>128</v>
      </c>
      <c r="O2639" s="5" t="s">
        <v>128</v>
      </c>
      <c r="P2639" s="5">
        <v>0</v>
      </c>
      <c r="Q2639" s="5">
        <v>0</v>
      </c>
      <c r="R2639" s="5" t="s">
        <v>4390</v>
      </c>
    </row>
    <row r="2640" spans="1:18" x14ac:dyDescent="0.3">
      <c r="A2640" s="5">
        <v>14</v>
      </c>
      <c r="B2640" s="5" t="s">
        <v>4383</v>
      </c>
      <c r="C2640" s="5" t="s">
        <v>333</v>
      </c>
      <c r="D2640" s="5" t="s">
        <v>27</v>
      </c>
      <c r="E2640" s="5" t="s">
        <v>22</v>
      </c>
      <c r="F2640" s="84">
        <v>44926</v>
      </c>
      <c r="G2640" s="15">
        <v>2022</v>
      </c>
      <c r="H2640" s="6" t="s">
        <v>23</v>
      </c>
      <c r="I2640" s="27" t="s">
        <v>24</v>
      </c>
      <c r="J2640" s="9">
        <v>50430</v>
      </c>
      <c r="K2640" s="9">
        <v>50241</v>
      </c>
      <c r="L2640" s="14">
        <v>0.99625223081499104</v>
      </c>
      <c r="M2640" s="14">
        <v>0.99625223081499104</v>
      </c>
      <c r="N2640" s="5" t="s">
        <v>128</v>
      </c>
      <c r="O2640" s="5" t="s">
        <v>128</v>
      </c>
      <c r="P2640" s="5">
        <v>0</v>
      </c>
      <c r="Q2640" s="5">
        <v>0</v>
      </c>
      <c r="R2640" s="5" t="s">
        <v>4384</v>
      </c>
    </row>
    <row r="2641" spans="1:19" x14ac:dyDescent="0.3">
      <c r="A2641" s="5">
        <v>14</v>
      </c>
      <c r="B2641" s="5" t="s">
        <v>4383</v>
      </c>
      <c r="C2641" s="5" t="s">
        <v>333</v>
      </c>
      <c r="D2641" s="5" t="s">
        <v>27</v>
      </c>
      <c r="E2641" s="5" t="s">
        <v>22</v>
      </c>
      <c r="F2641" s="6">
        <v>45107</v>
      </c>
      <c r="G2641" s="15">
        <v>2023</v>
      </c>
      <c r="H2641" s="6" t="s">
        <v>699</v>
      </c>
      <c r="I2641" s="27" t="s">
        <v>1512</v>
      </c>
      <c r="J2641" s="9">
        <v>52177</v>
      </c>
      <c r="K2641" s="9">
        <v>51473</v>
      </c>
      <c r="L2641" s="14">
        <v>0.98650746497498898</v>
      </c>
      <c r="M2641" s="14">
        <v>0.98650746497498898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4391</v>
      </c>
    </row>
    <row r="2642" spans="1:19" x14ac:dyDescent="0.3">
      <c r="A2642" s="5">
        <v>14</v>
      </c>
      <c r="B2642" s="5" t="s">
        <v>4383</v>
      </c>
      <c r="C2642" s="5" t="s">
        <v>333</v>
      </c>
      <c r="D2642" s="5" t="s">
        <v>27</v>
      </c>
      <c r="E2642" s="5" t="s">
        <v>22</v>
      </c>
      <c r="F2642" s="6">
        <v>45291</v>
      </c>
      <c r="G2642" s="15">
        <v>2023</v>
      </c>
      <c r="H2642" s="6" t="s">
        <v>23</v>
      </c>
      <c r="I2642" s="27" t="s">
        <v>28</v>
      </c>
      <c r="J2642" s="9">
        <v>51687</v>
      </c>
      <c r="K2642" s="9">
        <v>51375</v>
      </c>
      <c r="L2642" s="14">
        <v>0.99396366591212493</v>
      </c>
      <c r="M2642" s="14">
        <v>0.99396366591212493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4385</v>
      </c>
    </row>
    <row r="2643" spans="1:19" x14ac:dyDescent="0.3">
      <c r="A2643" s="5">
        <v>14</v>
      </c>
      <c r="B2643" s="5" t="s">
        <v>4383</v>
      </c>
      <c r="C2643" s="5" t="s">
        <v>333</v>
      </c>
      <c r="D2643" s="5" t="s">
        <v>27</v>
      </c>
      <c r="E2643" s="5" t="s">
        <v>22</v>
      </c>
      <c r="F2643" s="6">
        <v>45473</v>
      </c>
      <c r="G2643" s="5">
        <v>2024</v>
      </c>
      <c r="H2643" s="5" t="s">
        <v>699</v>
      </c>
      <c r="I2643" s="6" t="s">
        <v>729</v>
      </c>
      <c r="J2643" s="9">
        <v>52403.186118801452</v>
      </c>
      <c r="K2643" s="9">
        <v>52585</v>
      </c>
      <c r="L2643" s="14">
        <v>1.0034695195972696</v>
      </c>
      <c r="M2643" s="14">
        <v>1.0034695195972696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4392</v>
      </c>
    </row>
    <row r="2644" spans="1:19" x14ac:dyDescent="0.3">
      <c r="A2644" s="5">
        <v>14</v>
      </c>
      <c r="B2644" s="5" t="s">
        <v>4383</v>
      </c>
      <c r="C2644" s="5" t="s">
        <v>333</v>
      </c>
      <c r="D2644" s="5" t="s">
        <v>27</v>
      </c>
      <c r="E2644" s="5" t="s">
        <v>22</v>
      </c>
      <c r="F2644" s="6">
        <v>45657</v>
      </c>
      <c r="G2644" s="5">
        <v>2024</v>
      </c>
      <c r="H2644" s="5" t="s">
        <v>23</v>
      </c>
      <c r="I2644" s="6" t="s">
        <v>30</v>
      </c>
      <c r="J2644" s="83">
        <v>51116.334115206948</v>
      </c>
      <c r="K2644" s="9">
        <v>52005</v>
      </c>
      <c r="L2644" s="14">
        <v>1.0173851646479608</v>
      </c>
      <c r="M2644" s="14">
        <v>1.0173851646479608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4386</v>
      </c>
    </row>
    <row r="2645" spans="1:19" x14ac:dyDescent="0.3">
      <c r="A2645" s="5">
        <v>14</v>
      </c>
      <c r="B2645" s="5" t="s">
        <v>4383</v>
      </c>
      <c r="C2645" s="5" t="s">
        <v>333</v>
      </c>
      <c r="D2645" s="5" t="s">
        <v>27</v>
      </c>
      <c r="E2645" s="5" t="s">
        <v>22</v>
      </c>
      <c r="F2645" s="6">
        <v>45838</v>
      </c>
      <c r="G2645" s="5">
        <v>2025</v>
      </c>
      <c r="H2645" s="5" t="s">
        <v>699</v>
      </c>
      <c r="I2645" s="6" t="s">
        <v>700</v>
      </c>
      <c r="J2645" s="9">
        <v>53635</v>
      </c>
      <c r="K2645" s="9">
        <v>56505</v>
      </c>
      <c r="L2645" s="14">
        <v>1.053509834995805</v>
      </c>
      <c r="M2645" s="14">
        <v>1.053509834995805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4393</v>
      </c>
    </row>
    <row r="2646" spans="1:19" x14ac:dyDescent="0.3">
      <c r="A2646" s="5">
        <v>14</v>
      </c>
      <c r="B2646" s="5" t="s">
        <v>4383</v>
      </c>
      <c r="C2646" s="5" t="s">
        <v>333</v>
      </c>
      <c r="D2646" s="5" t="s">
        <v>27</v>
      </c>
      <c r="E2646" s="5" t="s">
        <v>22</v>
      </c>
      <c r="F2646" s="6">
        <v>46022</v>
      </c>
      <c r="G2646" s="5">
        <v>2025</v>
      </c>
      <c r="H2646" s="5" t="s">
        <v>23</v>
      </c>
      <c r="I2646" s="6" t="s">
        <v>32</v>
      </c>
      <c r="J2646" s="83">
        <v>55756</v>
      </c>
      <c r="K2646" s="9">
        <v>56807</v>
      </c>
      <c r="L2646" s="14">
        <v>1.0188499892388263</v>
      </c>
      <c r="M2646" s="14">
        <v>1.0188499892388263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4389</v>
      </c>
    </row>
    <row r="2647" spans="1:19" hidden="1" x14ac:dyDescent="0.3">
      <c r="A2647">
        <v>428</v>
      </c>
      <c r="B2647" t="s">
        <v>1208</v>
      </c>
      <c r="C2647" t="s">
        <v>190</v>
      </c>
      <c r="D2647" t="s">
        <v>27</v>
      </c>
      <c r="E2647" t="s">
        <v>41</v>
      </c>
      <c r="F2647" s="79">
        <v>45107</v>
      </c>
      <c r="G2647">
        <v>2023</v>
      </c>
      <c r="H2647" t="s">
        <v>699</v>
      </c>
      <c r="I2647" t="s">
        <v>1512</v>
      </c>
      <c r="J2647">
        <v>20</v>
      </c>
      <c r="K2647">
        <v>17.59</v>
      </c>
      <c r="L2647" s="39">
        <f>IFERROR(IF(OR(J2647=0,K2647=""),"",IF(E2647="Positivo",MIN(MAX(K2647/J2647,0),1.3),MIN(MAX(J2647/K2647,0),1.3))),"")</f>
        <v>1.137009664582149</v>
      </c>
      <c r="M2647" s="39">
        <f>IFERROR(IF(OR(J2647=0,K2647=""),"",IF(E2647="Positivo",MAX(K2647/J2647,0),MAX(J2647/K2647,0))),"")</f>
        <v>1.137009664582149</v>
      </c>
      <c r="N2647" t="s">
        <v>424</v>
      </c>
      <c r="O2647" t="s">
        <v>424</v>
      </c>
      <c r="P2647">
        <v>0</v>
      </c>
      <c r="Q2647">
        <v>0</v>
      </c>
      <c r="R2647" t="s">
        <v>2936</v>
      </c>
    </row>
    <row r="2648" spans="1:19" hidden="1" x14ac:dyDescent="0.3">
      <c r="A2648">
        <v>428</v>
      </c>
      <c r="B2648" t="s">
        <v>1208</v>
      </c>
      <c r="C2648" t="s">
        <v>190</v>
      </c>
      <c r="D2648" t="s">
        <v>27</v>
      </c>
      <c r="E2648" t="s">
        <v>41</v>
      </c>
      <c r="F2648" s="79">
        <v>45291</v>
      </c>
      <c r="G2648">
        <v>2023</v>
      </c>
      <c r="H2648" t="s">
        <v>23</v>
      </c>
      <c r="I2648" t="s">
        <v>28</v>
      </c>
      <c r="J2648">
        <v>20</v>
      </c>
      <c r="K2648">
        <v>18.63</v>
      </c>
      <c r="L2648" s="39">
        <f t="shared" ref="L2648:L2653" si="172">IFERROR(IF(OR(J2648=0,K2648=""),"",IF(E2648="Positivo",MIN(MAX(K2648/J2648,0),1.3),MIN(MAX(J2648/K2648,0),1.3))),"")</f>
        <v>1.0735373054213635</v>
      </c>
      <c r="M2648" s="39">
        <f t="shared" ref="M2648:M2653" si="173">IFERROR(IF(OR(J2648=0,K2648=""),"",IF(E2648="Positivo",MAX(K2648/J2648,0),MAX(J2648/K2648,0))),"")</f>
        <v>1.0735373054213635</v>
      </c>
      <c r="N2648" t="s">
        <v>424</v>
      </c>
      <c r="O2648" t="s">
        <v>424</v>
      </c>
      <c r="P2648">
        <v>0</v>
      </c>
      <c r="Q2648">
        <v>0</v>
      </c>
      <c r="R2648" t="s">
        <v>1209</v>
      </c>
    </row>
    <row r="2649" spans="1:19" hidden="1" x14ac:dyDescent="0.3">
      <c r="A2649">
        <v>428</v>
      </c>
      <c r="B2649" t="s">
        <v>1208</v>
      </c>
      <c r="C2649" t="s">
        <v>190</v>
      </c>
      <c r="D2649" t="s">
        <v>27</v>
      </c>
      <c r="E2649" t="s">
        <v>41</v>
      </c>
      <c r="F2649" s="79">
        <v>45473</v>
      </c>
      <c r="G2649">
        <v>2024</v>
      </c>
      <c r="H2649" t="s">
        <v>699</v>
      </c>
      <c r="I2649" t="s">
        <v>729</v>
      </c>
      <c r="J2649">
        <v>20</v>
      </c>
      <c r="K2649">
        <v>16.579999999999998</v>
      </c>
      <c r="L2649" s="39">
        <f t="shared" si="172"/>
        <v>1.2062726176115803</v>
      </c>
      <c r="M2649" s="39">
        <f t="shared" si="173"/>
        <v>1.2062726176115803</v>
      </c>
      <c r="N2649" t="s">
        <v>424</v>
      </c>
      <c r="O2649" t="s">
        <v>424</v>
      </c>
      <c r="P2649">
        <v>0</v>
      </c>
      <c r="Q2649">
        <v>0</v>
      </c>
      <c r="R2649" t="s">
        <v>2937</v>
      </c>
    </row>
    <row r="2650" spans="1:19" hidden="1" x14ac:dyDescent="0.3">
      <c r="A2650">
        <v>428</v>
      </c>
      <c r="B2650" t="s">
        <v>1208</v>
      </c>
      <c r="C2650" t="s">
        <v>190</v>
      </c>
      <c r="D2650" t="s">
        <v>27</v>
      </c>
      <c r="E2650" t="s">
        <v>41</v>
      </c>
      <c r="F2650" s="79">
        <v>45657</v>
      </c>
      <c r="G2650">
        <v>2024</v>
      </c>
      <c r="H2650" t="s">
        <v>23</v>
      </c>
      <c r="I2650" t="s">
        <v>30</v>
      </c>
      <c r="J2650">
        <v>20</v>
      </c>
      <c r="K2650">
        <v>18.53</v>
      </c>
      <c r="L2650" s="39">
        <f t="shared" si="172"/>
        <v>1.0793308148947651</v>
      </c>
      <c r="M2650" s="39">
        <f t="shared" si="173"/>
        <v>1.0793308148947651</v>
      </c>
      <c r="N2650" t="s">
        <v>424</v>
      </c>
      <c r="O2650" t="s">
        <v>424</v>
      </c>
      <c r="P2650">
        <v>0</v>
      </c>
      <c r="Q2650">
        <v>0</v>
      </c>
      <c r="R2650" t="s">
        <v>1210</v>
      </c>
    </row>
    <row r="2651" spans="1:19" hidden="1" x14ac:dyDescent="0.3">
      <c r="A2651">
        <v>428</v>
      </c>
      <c r="B2651" t="s">
        <v>1208</v>
      </c>
      <c r="C2651" t="s">
        <v>190</v>
      </c>
      <c r="D2651" t="s">
        <v>21</v>
      </c>
      <c r="E2651" t="s">
        <v>41</v>
      </c>
      <c r="F2651" s="79">
        <v>45838</v>
      </c>
      <c r="G2651">
        <v>2025</v>
      </c>
      <c r="H2651" t="s">
        <v>699</v>
      </c>
      <c r="I2651" t="s">
        <v>700</v>
      </c>
      <c r="J2651">
        <v>20</v>
      </c>
      <c r="K2651">
        <v>15.12</v>
      </c>
      <c r="L2651" s="39">
        <f t="shared" si="172"/>
        <v>1.3</v>
      </c>
      <c r="M2651" s="39">
        <f t="shared" si="173"/>
        <v>1.3227513227513228</v>
      </c>
      <c r="N2651" t="s">
        <v>424</v>
      </c>
      <c r="O2651" t="s">
        <v>424</v>
      </c>
      <c r="P2651">
        <v>0</v>
      </c>
      <c r="Q2651">
        <v>1</v>
      </c>
      <c r="R2651" t="s">
        <v>2938</v>
      </c>
    </row>
    <row r="2652" spans="1:19" hidden="1" x14ac:dyDescent="0.3">
      <c r="A2652">
        <v>428</v>
      </c>
      <c r="B2652" t="s">
        <v>1208</v>
      </c>
      <c r="C2652" t="s">
        <v>190</v>
      </c>
      <c r="D2652" t="s">
        <v>21</v>
      </c>
      <c r="E2652" t="s">
        <v>41</v>
      </c>
      <c r="F2652" s="79">
        <v>46022</v>
      </c>
      <c r="G2652">
        <v>2025</v>
      </c>
      <c r="H2652" t="s">
        <v>23</v>
      </c>
      <c r="I2652" t="s">
        <v>32</v>
      </c>
      <c r="J2652">
        <v>20</v>
      </c>
      <c r="K2652">
        <v>17.88</v>
      </c>
      <c r="L2652" s="39">
        <f t="shared" si="172"/>
        <v>1.1185682326621924</v>
      </c>
      <c r="M2652" s="39">
        <f t="shared" si="173"/>
        <v>1.1185682326621924</v>
      </c>
      <c r="N2652" t="s">
        <v>424</v>
      </c>
      <c r="O2652" t="s">
        <v>424</v>
      </c>
      <c r="P2652">
        <v>0</v>
      </c>
      <c r="Q2652">
        <v>1</v>
      </c>
      <c r="R2652" t="s">
        <v>1211</v>
      </c>
    </row>
    <row r="2653" spans="1:19" hidden="1" x14ac:dyDescent="0.3">
      <c r="A2653">
        <v>526</v>
      </c>
      <c r="B2653" t="s">
        <v>1452</v>
      </c>
      <c r="C2653" t="s">
        <v>706</v>
      </c>
      <c r="D2653" t="s">
        <v>27</v>
      </c>
      <c r="E2653" t="s">
        <v>22</v>
      </c>
      <c r="F2653" s="79">
        <v>46387</v>
      </c>
      <c r="G2653">
        <v>2025</v>
      </c>
      <c r="H2653" t="s">
        <v>23</v>
      </c>
      <c r="I2653" t="s">
        <v>32</v>
      </c>
      <c r="J2653">
        <v>95</v>
      </c>
      <c r="L2653" s="39" t="str">
        <f t="shared" si="172"/>
        <v/>
      </c>
      <c r="M2653" s="39" t="str">
        <f t="shared" si="173"/>
        <v/>
      </c>
      <c r="N2653" t="s">
        <v>25</v>
      </c>
      <c r="O2653" t="s">
        <v>25</v>
      </c>
      <c r="P2653">
        <v>0</v>
      </c>
      <c r="Q2653">
        <v>0</v>
      </c>
      <c r="R2653" t="s">
        <v>1453</v>
      </c>
      <c r="S2653" t="s">
        <v>395</v>
      </c>
    </row>
  </sheetData>
  <autoFilter ref="A1:S2653" xr:uid="{00000000-0001-0000-0000-000000000000}">
    <filterColumn colId="1">
      <filters>
        <filter val="Total Población"/>
      </filters>
    </filterColumn>
  </autoFilter>
  <conditionalFormatting sqref="A367">
    <cfRule type="duplicateValues" dxfId="156" priority="45"/>
  </conditionalFormatting>
  <conditionalFormatting sqref="A369:A372">
    <cfRule type="duplicateValues" dxfId="155" priority="42"/>
  </conditionalFormatting>
  <conditionalFormatting sqref="A373:A382">
    <cfRule type="duplicateValues" dxfId="154" priority="60"/>
  </conditionalFormatting>
  <conditionalFormatting sqref="A383">
    <cfRule type="duplicateValues" dxfId="153" priority="46"/>
  </conditionalFormatting>
  <conditionalFormatting sqref="A384">
    <cfRule type="duplicateValues" dxfId="152" priority="47"/>
  </conditionalFormatting>
  <conditionalFormatting sqref="A385">
    <cfRule type="duplicateValues" dxfId="151" priority="48"/>
  </conditionalFormatting>
  <conditionalFormatting sqref="A386">
    <cfRule type="duplicateValues" dxfId="150" priority="49"/>
  </conditionalFormatting>
  <conditionalFormatting sqref="A387:A399">
    <cfRule type="duplicateValues" dxfId="149" priority="36"/>
  </conditionalFormatting>
  <conditionalFormatting sqref="A472:A475">
    <cfRule type="duplicateValues" dxfId="148" priority="35"/>
  </conditionalFormatting>
  <conditionalFormatting sqref="A820">
    <cfRule type="duplicateValues" dxfId="147" priority="50"/>
  </conditionalFormatting>
  <conditionalFormatting sqref="A821">
    <cfRule type="duplicateValues" dxfId="146" priority="51"/>
  </conditionalFormatting>
  <conditionalFormatting sqref="A883">
    <cfRule type="duplicateValues" dxfId="145" priority="52"/>
  </conditionalFormatting>
  <conditionalFormatting sqref="A952:A963">
    <cfRule type="duplicateValues" dxfId="144" priority="31"/>
  </conditionalFormatting>
  <conditionalFormatting sqref="A1136">
    <cfRule type="duplicateValues" dxfId="143" priority="53"/>
  </conditionalFormatting>
  <conditionalFormatting sqref="A1138:A1141">
    <cfRule type="duplicateValues" dxfId="142" priority="29"/>
  </conditionalFormatting>
  <conditionalFormatting sqref="A1142:A1145">
    <cfRule type="duplicateValues" dxfId="141" priority="28"/>
  </conditionalFormatting>
  <conditionalFormatting sqref="A1192">
    <cfRule type="duplicateValues" dxfId="140" priority="54"/>
  </conditionalFormatting>
  <conditionalFormatting sqref="A1218">
    <cfRule type="duplicateValues" dxfId="139" priority="55"/>
  </conditionalFormatting>
  <conditionalFormatting sqref="A1515">
    <cfRule type="duplicateValues" dxfId="138" priority="56"/>
    <cfRule type="duplicateValues" dxfId="137" priority="57"/>
    <cfRule type="duplicateValues" dxfId="136" priority="58"/>
    <cfRule type="duplicateValues" dxfId="135" priority="59"/>
  </conditionalFormatting>
  <conditionalFormatting sqref="A2298">
    <cfRule type="duplicateValues" dxfId="134" priority="14"/>
  </conditionalFormatting>
  <conditionalFormatting sqref="A2338:A2340">
    <cfRule type="duplicateValues" dxfId="133" priority="13"/>
  </conditionalFormatting>
  <conditionalFormatting sqref="A2341">
    <cfRule type="duplicateValues" dxfId="132" priority="10"/>
  </conditionalFormatting>
  <conditionalFormatting sqref="A2342">
    <cfRule type="duplicateValues" dxfId="131" priority="11"/>
  </conditionalFormatting>
  <conditionalFormatting sqref="A2343:A2344">
    <cfRule type="duplicateValues" dxfId="130" priority="12"/>
  </conditionalFormatting>
  <conditionalFormatting sqref="A2345:A2346">
    <cfRule type="duplicateValues" dxfId="129" priority="9"/>
  </conditionalFormatting>
  <conditionalFormatting sqref="A2394 A2396">
    <cfRule type="duplicateValues" dxfId="128" priority="8"/>
  </conditionalFormatting>
  <conditionalFormatting sqref="A2403">
    <cfRule type="duplicateValues" dxfId="127" priority="7"/>
  </conditionalFormatting>
  <conditionalFormatting sqref="A2404">
    <cfRule type="duplicateValues" dxfId="126" priority="6"/>
  </conditionalFormatting>
  <conditionalFormatting sqref="A2423">
    <cfRule type="duplicateValues" dxfId="125" priority="5"/>
  </conditionalFormatting>
  <conditionalFormatting sqref="A2530">
    <cfRule type="duplicateValues" dxfId="124" priority="3"/>
    <cfRule type="duplicateValues" dxfId="123" priority="4"/>
  </conditionalFormatting>
  <conditionalFormatting sqref="A2639:A2644">
    <cfRule type="duplicateValues" dxfId="122" priority="2"/>
  </conditionalFormatting>
  <conditionalFormatting sqref="A2645:A2646">
    <cfRule type="duplicateValues" dxfId="121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80"/>
  <sheetViews>
    <sheetView zoomScale="87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hidden="1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hidden="1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hidden="1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hidden="1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hidden="1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hidden="1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hidden="1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hidden="1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hidden="1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hidden="1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hidden="1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hidden="1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hidden="1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hidden="1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hidden="1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hidden="1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hidden="1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3235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hidden="1" x14ac:dyDescent="0.3">
      <c r="A117" s="26">
        <v>109</v>
      </c>
      <c r="B117" s="5" t="s">
        <v>146</v>
      </c>
      <c r="C117" s="5" t="s">
        <v>3236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hidden="1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hidden="1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hidden="1" x14ac:dyDescent="0.3">
      <c r="A121" s="5">
        <v>110</v>
      </c>
      <c r="B121" s="5" t="s">
        <v>146</v>
      </c>
      <c r="C121" s="5" t="s">
        <v>3237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3238</v>
      </c>
    </row>
    <row r="122" spans="1:18" hidden="1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3239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hidden="1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3240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3241</v>
      </c>
    </row>
    <row r="132" spans="1:18" hidden="1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hidden="1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hidden="1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hidden="1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hidden="1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3242</v>
      </c>
    </row>
    <row r="148" spans="1:18" hidden="1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hidden="1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hidden="1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hidden="1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hidden="1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hidden="1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hidden="1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hidden="1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hidden="1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hidden="1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hidden="1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hidden="1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hidden="1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hidden="1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hidden="1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hidden="1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hidden="1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hidden="1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hidden="1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hidden="1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hidden="1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hidden="1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hidden="1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hidden="1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hidden="1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hidden="1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hidden="1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hidden="1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hidden="1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hidden="1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hidden="1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hidden="1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hidden="1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hidden="1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hidden="1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hidden="1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hidden="1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hidden="1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hidden="1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hidden="1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hidden="1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hidden="1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hidden="1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hidden="1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hidden="1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hidden="1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hidden="1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hidden="1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hidden="1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hidden="1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hidden="1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hidden="1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hidden="1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hidden="1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hidden="1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hidden="1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hidden="1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hidden="1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hidden="1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hidden="1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hidden="1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hidden="1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hidden="1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hidden="1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hidden="1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hidden="1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hidden="1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hidden="1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hidden="1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hidden="1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hidden="1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hidden="1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hidden="1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hidden="1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hidden="1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hidden="1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hidden="1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hidden="1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hidden="1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hidden="1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hidden="1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hidden="1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hidden="1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hidden="1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hidden="1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hidden="1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hidden="1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hidden="1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hidden="1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hidden="1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3243</v>
      </c>
    </row>
    <row r="286" spans="1:18" hidden="1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hidden="1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hidden="1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hidden="1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hidden="1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hidden="1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hidden="1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hidden="1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hidden="1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hidden="1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hidden="1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hidden="1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hidden="1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hidden="1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hidden="1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hidden="1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hidden="1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hidden="1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hidden="1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hidden="1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hidden="1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hidden="1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hidden="1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hidden="1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hidden="1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hidden="1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hidden="1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hidden="1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hidden="1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hidden="1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hidden="1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hidden="1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hidden="1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hidden="1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hidden="1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3244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hidden="1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hidden="1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hidden="1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hidden="1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hidden="1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hidden="1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hidden="1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hidden="1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hidden="1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hidden="1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hidden="1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hidden="1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hidden="1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hidden="1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hidden="1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hidden="1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hidden="1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hidden="1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hidden="1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3245</v>
      </c>
    </row>
    <row r="344" spans="1:18" hidden="1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hidden="1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hidden="1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hidden="1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hidden="1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hidden="1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hidden="1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hidden="1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hidden="1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hidden="1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hidden="1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hidden="1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hidden="1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hidden="1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hidden="1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hidden="1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hidden="1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hidden="1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3244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hidden="1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3244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hidden="1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hidden="1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hidden="1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hidden="1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hidden="1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hidden="1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hidden="1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hidden="1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hidden="1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hidden="1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hidden="1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hidden="1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hidden="1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3244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hidden="1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3244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hidden="1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hidden="1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hidden="1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hidden="1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hidden="1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hidden="1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hidden="1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hidden="1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hidden="1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hidden="1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hidden="1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hidden="1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hidden="1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hidden="1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hidden="1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hidden="1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hidden="1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hidden="1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hidden="1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hidden="1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hidden="1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hidden="1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hidden="1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hidden="1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hidden="1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hidden="1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hidden="1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hidden="1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hidden="1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hidden="1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hidden="1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hidden="1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hidden="1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hidden="1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hidden="1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hidden="1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hidden="1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hidden="1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hidden="1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hidden="1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hidden="1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hidden="1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hidden="1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hidden="1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hidden="1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hidden="1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hidden="1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hidden="1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hidden="1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hidden="1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hidden="1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hidden="1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hidden="1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hidden="1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hidden="1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hidden="1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hidden="1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hidden="1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hidden="1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hidden="1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hidden="1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hidden="1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hidden="1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hidden="1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hidden="1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hidden="1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hidden="1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hidden="1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hidden="1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hidden="1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hidden="1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hidden="1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hidden="1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hidden="1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hidden="1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hidden="1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hidden="1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hidden="1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hidden="1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hidden="1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hidden="1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hidden="1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hidden="1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hidden="1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hidden="1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hidden="1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hidden="1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hidden="1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hidden="1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hidden="1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hidden="1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hidden="1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hidden="1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hidden="1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hidden="1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hidden="1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hidden="1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hidden="1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hidden="1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hidden="1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hidden="1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hidden="1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hidden="1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hidden="1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hidden="1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hidden="1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hidden="1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hidden="1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hidden="1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hidden="1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hidden="1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hidden="1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hidden="1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hidden="1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hidden="1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hidden="1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hidden="1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hidden="1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hidden="1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hidden="1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hidden="1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hidden="1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hidden="1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hidden="1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hidden="1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hidden="1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hidden="1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hidden="1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hidden="1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hidden="1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hidden="1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hidden="1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hidden="1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hidden="1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hidden="1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hidden="1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hidden="1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hidden="1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hidden="1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hidden="1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hidden="1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hidden="1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hidden="1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hidden="1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hidden="1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hidden="1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hidden="1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hidden="1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hidden="1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hidden="1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hidden="1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hidden="1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hidden="1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hidden="1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hidden="1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hidden="1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hidden="1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hidden="1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hidden="1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hidden="1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hidden="1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hidden="1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hidden="1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hidden="1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hidden="1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hidden="1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hidden="1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hidden="1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hidden="1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hidden="1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hidden="1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hidden="1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hidden="1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hidden="1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hidden="1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hidden="1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hidden="1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hidden="1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hidden="1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hidden="1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hidden="1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hidden="1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hidden="1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hidden="1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hidden="1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hidden="1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hidden="1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hidden="1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hidden="1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hidden="1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hidden="1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hidden="1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hidden="1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hidden="1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hidden="1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55</v>
      </c>
      <c r="K608" s="9">
        <v>55</v>
      </c>
      <c r="L608" s="14">
        <f t="shared" si="38"/>
        <v>1</v>
      </c>
      <c r="M608" s="14">
        <f t="shared" si="39"/>
        <v>1</v>
      </c>
      <c r="N608" s="5" t="s">
        <v>128</v>
      </c>
      <c r="O608" s="5" t="s">
        <v>128</v>
      </c>
      <c r="P608" s="5">
        <v>0</v>
      </c>
      <c r="Q608" s="5">
        <v>0</v>
      </c>
      <c r="R608" s="5" t="s">
        <v>2431</v>
      </c>
    </row>
    <row r="609" spans="1:18" hidden="1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55</v>
      </c>
      <c r="K609" s="9">
        <v>55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128</v>
      </c>
      <c r="O609" s="5" t="s">
        <v>128</v>
      </c>
      <c r="P609" s="5">
        <v>0</v>
      </c>
      <c r="Q609" s="5">
        <v>0</v>
      </c>
      <c r="R609" s="5" t="s">
        <v>568</v>
      </c>
    </row>
    <row r="610" spans="1:18" hidden="1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73</v>
      </c>
      <c r="K610" s="5">
        <v>73</v>
      </c>
      <c r="L610" s="74">
        <f t="shared" si="40"/>
        <v>1</v>
      </c>
      <c r="M610" s="14">
        <f t="shared" si="41"/>
        <v>1</v>
      </c>
      <c r="N610" s="5" t="s">
        <v>128</v>
      </c>
      <c r="O610" s="5" t="s">
        <v>128</v>
      </c>
      <c r="P610" s="5">
        <v>0</v>
      </c>
      <c r="Q610" s="5">
        <v>0</v>
      </c>
      <c r="R610" s="5" t="s">
        <v>2434</v>
      </c>
    </row>
    <row r="611" spans="1:18" hidden="1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73</v>
      </c>
      <c r="K611" s="5">
        <v>73</v>
      </c>
      <c r="L611" s="74">
        <f t="shared" si="40"/>
        <v>1</v>
      </c>
      <c r="M611" s="14">
        <f t="shared" si="41"/>
        <v>1</v>
      </c>
      <c r="N611" s="5" t="s">
        <v>128</v>
      </c>
      <c r="O611" s="5" t="s">
        <v>128</v>
      </c>
      <c r="P611" s="5">
        <v>0</v>
      </c>
      <c r="Q611" s="5">
        <v>0</v>
      </c>
      <c r="R611" s="5" t="s">
        <v>569</v>
      </c>
    </row>
    <row r="612" spans="1:18" hidden="1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84</v>
      </c>
      <c r="K612" s="5">
        <v>84</v>
      </c>
      <c r="L612" s="14">
        <f t="shared" si="40"/>
        <v>1</v>
      </c>
      <c r="M612" s="14">
        <f t="shared" si="41"/>
        <v>1</v>
      </c>
      <c r="N612" s="5" t="s">
        <v>128</v>
      </c>
      <c r="O612" s="5" t="s">
        <v>128</v>
      </c>
      <c r="P612" s="5">
        <v>0</v>
      </c>
      <c r="Q612" s="5">
        <v>0</v>
      </c>
      <c r="R612" s="5" t="s">
        <v>2437</v>
      </c>
    </row>
    <row r="613" spans="1:18" hidden="1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84</v>
      </c>
      <c r="K613" s="5">
        <v>84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hidden="1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hidden="1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hidden="1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hidden="1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2439</v>
      </c>
    </row>
    <row r="618" spans="1:18" hidden="1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hidden="1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2440</v>
      </c>
    </row>
    <row r="620" spans="1:18" hidden="1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hidden="1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2441</v>
      </c>
    </row>
    <row r="622" spans="1:18" hidden="1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hidden="1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2442</v>
      </c>
    </row>
    <row r="624" spans="1:18" hidden="1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hidden="1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2443</v>
      </c>
    </row>
    <row r="626" spans="1:18" hidden="1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2444</v>
      </c>
    </row>
    <row r="627" spans="1:18" hidden="1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hidden="1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2445</v>
      </c>
    </row>
    <row r="629" spans="1:18" hidden="1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hidden="1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2447</v>
      </c>
    </row>
    <row r="631" spans="1:18" hidden="1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hidden="1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2448</v>
      </c>
    </row>
    <row r="633" spans="1:18" hidden="1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hidden="1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2449</v>
      </c>
    </row>
    <row r="635" spans="1:18" hidden="1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hidden="1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2450</v>
      </c>
    </row>
    <row r="637" spans="1:18" hidden="1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hidden="1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2451</v>
      </c>
    </row>
    <row r="639" spans="1:18" hidden="1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hidden="1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2452</v>
      </c>
    </row>
    <row r="641" spans="1:18" hidden="1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hidden="1" x14ac:dyDescent="0.3">
      <c r="A642" s="26">
        <v>262</v>
      </c>
      <c r="B642" s="5" t="s">
        <v>2453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2454</v>
      </c>
    </row>
    <row r="643" spans="1:18" hidden="1" x14ac:dyDescent="0.3">
      <c r="A643" s="5">
        <v>262</v>
      </c>
      <c r="B643" s="5" t="s">
        <v>2453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hidden="1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2455</v>
      </c>
    </row>
    <row r="645" spans="1:18" hidden="1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hidden="1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2456</v>
      </c>
    </row>
    <row r="647" spans="1:18" hidden="1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hidden="1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2458</v>
      </c>
    </row>
    <row r="649" spans="1:18" hidden="1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hidden="1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2461</v>
      </c>
    </row>
    <row r="651" spans="1:18" hidden="1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hidden="1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hidden="1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hidden="1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2466</v>
      </c>
    </row>
    <row r="655" spans="1:18" hidden="1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hidden="1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2467</v>
      </c>
    </row>
    <row r="657" spans="1:18" hidden="1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hidden="1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hidden="1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hidden="1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2469</v>
      </c>
    </row>
    <row r="661" spans="1:18" hidden="1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hidden="1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2470</v>
      </c>
    </row>
    <row r="663" spans="1:18" hidden="1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hidden="1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2472</v>
      </c>
    </row>
    <row r="665" spans="1:18" hidden="1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hidden="1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2473</v>
      </c>
    </row>
    <row r="667" spans="1:18" hidden="1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hidden="1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2474</v>
      </c>
    </row>
    <row r="669" spans="1:18" hidden="1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hidden="1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hidden="1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2476</v>
      </c>
    </row>
    <row r="672" spans="1:18" hidden="1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hidden="1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2477</v>
      </c>
    </row>
    <row r="674" spans="1:19" hidden="1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hidden="1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2478</v>
      </c>
      <c r="S675" t="s">
        <v>263</v>
      </c>
    </row>
    <row r="676" spans="1:19" hidden="1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hidden="1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2479</v>
      </c>
    </row>
    <row r="678" spans="1:19" hidden="1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hidden="1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2480</v>
      </c>
    </row>
    <row r="680" spans="1:19" hidden="1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hidden="1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2481</v>
      </c>
      <c r="S681" t="s">
        <v>263</v>
      </c>
    </row>
    <row r="682" spans="1:19" hidden="1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hidden="1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2482</v>
      </c>
    </row>
    <row r="684" spans="1:19" hidden="1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hidden="1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2483</v>
      </c>
    </row>
    <row r="686" spans="1:19" hidden="1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hidden="1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2484</v>
      </c>
      <c r="S687" t="s">
        <v>263</v>
      </c>
    </row>
    <row r="688" spans="1:19" hidden="1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hidden="1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2485</v>
      </c>
    </row>
    <row r="690" spans="1:19" hidden="1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hidden="1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2486</v>
      </c>
    </row>
    <row r="692" spans="1:19" hidden="1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hidden="1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2487</v>
      </c>
      <c r="S693" t="s">
        <v>263</v>
      </c>
    </row>
    <row r="694" spans="1:19" hidden="1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hidden="1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hidden="1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hidden="1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hidden="1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2488</v>
      </c>
    </row>
    <row r="699" spans="1:19" hidden="1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hidden="1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2489</v>
      </c>
    </row>
    <row r="701" spans="1:19" hidden="1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hidden="1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2490</v>
      </c>
    </row>
    <row r="703" spans="1:19" hidden="1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hidden="1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hidden="1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2497</v>
      </c>
    </row>
    <row r="706" spans="1:18" hidden="1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hidden="1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2498</v>
      </c>
    </row>
    <row r="708" spans="1:18" hidden="1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hidden="1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2499</v>
      </c>
    </row>
    <row r="710" spans="1:18" hidden="1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hidden="1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2500</v>
      </c>
    </row>
    <row r="712" spans="1:18" hidden="1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hidden="1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2501</v>
      </c>
    </row>
    <row r="714" spans="1:18" hidden="1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hidden="1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2502</v>
      </c>
    </row>
    <row r="716" spans="1:18" hidden="1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hidden="1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2503</v>
      </c>
    </row>
    <row r="718" spans="1:18" hidden="1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hidden="1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2504</v>
      </c>
    </row>
    <row r="720" spans="1:18" hidden="1" x14ac:dyDescent="0.3">
      <c r="A720" s="28">
        <v>277</v>
      </c>
      <c r="B720" s="5" t="s">
        <v>2505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hidden="1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2506</v>
      </c>
    </row>
    <row r="722" spans="1:19" hidden="1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hidden="1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2507</v>
      </c>
    </row>
    <row r="724" spans="1:19" hidden="1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hidden="1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2508</v>
      </c>
      <c r="S725" t="s">
        <v>263</v>
      </c>
    </row>
    <row r="726" spans="1:19" hidden="1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hidden="1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2509</v>
      </c>
    </row>
    <row r="728" spans="1:19" hidden="1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hidden="1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2510</v>
      </c>
    </row>
    <row r="730" spans="1:19" hidden="1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hidden="1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2511</v>
      </c>
    </row>
    <row r="732" spans="1:19" hidden="1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hidden="1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2512</v>
      </c>
    </row>
    <row r="734" spans="1:19" hidden="1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hidden="1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2513</v>
      </c>
    </row>
    <row r="736" spans="1:19" hidden="1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hidden="1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2514</v>
      </c>
    </row>
    <row r="738" spans="1:18" hidden="1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hidden="1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2515</v>
      </c>
    </row>
    <row r="740" spans="1:18" hidden="1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hidden="1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2516</v>
      </c>
    </row>
    <row r="742" spans="1:18" hidden="1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hidden="1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2517</v>
      </c>
    </row>
    <row r="744" spans="1:18" hidden="1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hidden="1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2518</v>
      </c>
    </row>
    <row r="746" spans="1:18" hidden="1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hidden="1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2519</v>
      </c>
    </row>
    <row r="748" spans="1:18" hidden="1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hidden="1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2520</v>
      </c>
    </row>
    <row r="750" spans="1:18" hidden="1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hidden="1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2521</v>
      </c>
    </row>
    <row r="752" spans="1:18" hidden="1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hidden="1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2522</v>
      </c>
    </row>
    <row r="754" spans="1:19" hidden="1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hidden="1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2523</v>
      </c>
    </row>
    <row r="756" spans="1:19" hidden="1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hidden="1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2524</v>
      </c>
      <c r="S757" t="s">
        <v>263</v>
      </c>
    </row>
    <row r="758" spans="1:19" hidden="1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hidden="1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2525</v>
      </c>
    </row>
    <row r="760" spans="1:19" hidden="1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hidden="1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2526</v>
      </c>
    </row>
    <row r="762" spans="1:19" hidden="1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hidden="1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hidden="1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3246</v>
      </c>
    </row>
    <row r="765" spans="1:19" hidden="1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2527</v>
      </c>
    </row>
    <row r="766" spans="1:19" hidden="1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2528</v>
      </c>
    </row>
    <row r="767" spans="1:19" hidden="1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hidden="1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2529</v>
      </c>
    </row>
    <row r="769" spans="1:18" hidden="1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hidden="1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2531</v>
      </c>
    </row>
    <row r="771" spans="1:18" hidden="1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2532</v>
      </c>
    </row>
    <row r="772" spans="1:18" hidden="1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2533</v>
      </c>
    </row>
    <row r="773" spans="1:18" hidden="1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hidden="1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2536</v>
      </c>
    </row>
    <row r="775" spans="1:18" hidden="1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hidden="1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hidden="1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2541</v>
      </c>
    </row>
    <row r="778" spans="1:18" hidden="1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hidden="1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2542</v>
      </c>
    </row>
    <row r="780" spans="1:18" hidden="1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hidden="1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2543</v>
      </c>
    </row>
    <row r="782" spans="1:18" hidden="1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hidden="1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2544</v>
      </c>
    </row>
    <row r="784" spans="1:18" hidden="1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hidden="1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2545</v>
      </c>
    </row>
    <row r="786" spans="1:18" hidden="1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hidden="1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2546</v>
      </c>
    </row>
    <row r="788" spans="1:18" hidden="1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hidden="1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2547</v>
      </c>
    </row>
    <row r="790" spans="1:18" hidden="1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hidden="1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2548</v>
      </c>
    </row>
    <row r="792" spans="1:18" hidden="1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hidden="1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2549</v>
      </c>
    </row>
    <row r="794" spans="1:18" hidden="1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hidden="1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2550</v>
      </c>
    </row>
    <row r="796" spans="1:18" hidden="1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hidden="1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2551</v>
      </c>
    </row>
    <row r="798" spans="1:18" hidden="1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hidden="1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hidden="1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hidden="1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3244</v>
      </c>
      <c r="O801" s="5"/>
      <c r="P801" s="5">
        <v>0</v>
      </c>
      <c r="Q801" s="5">
        <v>0</v>
      </c>
      <c r="R801" s="5" t="s">
        <v>737</v>
      </c>
    </row>
    <row r="802" spans="1:18" hidden="1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2556</v>
      </c>
    </row>
    <row r="803" spans="1:18" hidden="1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2557</v>
      </c>
    </row>
    <row r="804" spans="1:18" hidden="1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2558</v>
      </c>
    </row>
    <row r="805" spans="1:18" hidden="1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hidden="1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2560</v>
      </c>
    </row>
    <row r="807" spans="1:18" hidden="1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hidden="1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2563</v>
      </c>
    </row>
    <row r="809" spans="1:18" hidden="1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hidden="1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2565</v>
      </c>
    </row>
    <row r="811" spans="1:18" hidden="1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2566</v>
      </c>
    </row>
    <row r="812" spans="1:18" hidden="1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2567</v>
      </c>
    </row>
    <row r="813" spans="1:18" hidden="1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hidden="1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2569</v>
      </c>
    </row>
    <row r="815" spans="1:18" hidden="1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hidden="1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2572</v>
      </c>
    </row>
    <row r="817" spans="1:19" hidden="1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hidden="1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2574</v>
      </c>
    </row>
    <row r="819" spans="1:19" hidden="1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hidden="1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2575</v>
      </c>
    </row>
    <row r="821" spans="1:19" hidden="1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hidden="1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2576</v>
      </c>
      <c r="S822" t="s">
        <v>263</v>
      </c>
    </row>
    <row r="823" spans="1:19" hidden="1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hidden="1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2577</v>
      </c>
    </row>
    <row r="825" spans="1:19" hidden="1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hidden="1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2578</v>
      </c>
    </row>
    <row r="827" spans="1:19" hidden="1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hidden="1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2579</v>
      </c>
    </row>
    <row r="829" spans="1:19" hidden="1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hidden="1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2580</v>
      </c>
    </row>
    <row r="831" spans="1:19" hidden="1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hidden="1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2581</v>
      </c>
    </row>
    <row r="833" spans="1:18" hidden="1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hidden="1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2582</v>
      </c>
    </row>
    <row r="835" spans="1:18" hidden="1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hidden="1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hidden="1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hidden="1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2584</v>
      </c>
    </row>
    <row r="839" spans="1:18" hidden="1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2585</v>
      </c>
    </row>
    <row r="840" spans="1:18" hidden="1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hidden="1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2587</v>
      </c>
    </row>
    <row r="842" spans="1:18" hidden="1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hidden="1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2589</v>
      </c>
    </row>
    <row r="844" spans="1:18" hidden="1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hidden="1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2591</v>
      </c>
    </row>
    <row r="846" spans="1:18" hidden="1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hidden="1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2592</v>
      </c>
    </row>
    <row r="848" spans="1:18" hidden="1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hidden="1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2593</v>
      </c>
    </row>
    <row r="850" spans="1:18" hidden="1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hidden="1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2594</v>
      </c>
    </row>
    <row r="852" spans="1:18" hidden="1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hidden="1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2595</v>
      </c>
    </row>
    <row r="854" spans="1:18" hidden="1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hidden="1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2596</v>
      </c>
    </row>
    <row r="856" spans="1:18" hidden="1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hidden="1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2597</v>
      </c>
    </row>
    <row r="858" spans="1:18" hidden="1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hidden="1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2598</v>
      </c>
    </row>
    <row r="860" spans="1:18" hidden="1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hidden="1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2599</v>
      </c>
    </row>
    <row r="862" spans="1:18" hidden="1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hidden="1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2600</v>
      </c>
    </row>
    <row r="864" spans="1:18" hidden="1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hidden="1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2601</v>
      </c>
    </row>
    <row r="866" spans="1:18" hidden="1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hidden="1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2602</v>
      </c>
    </row>
    <row r="868" spans="1:18" hidden="1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hidden="1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2603</v>
      </c>
    </row>
    <row r="870" spans="1:18" hidden="1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hidden="1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2604</v>
      </c>
    </row>
    <row r="872" spans="1:18" hidden="1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hidden="1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2605</v>
      </c>
    </row>
    <row r="874" spans="1:18" hidden="1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hidden="1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2606</v>
      </c>
    </row>
    <row r="876" spans="1:18" hidden="1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hidden="1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2607</v>
      </c>
    </row>
    <row r="878" spans="1:18" hidden="1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hidden="1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3247</v>
      </c>
    </row>
    <row r="880" spans="1:18" hidden="1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hidden="1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2608</v>
      </c>
    </row>
    <row r="882" spans="1:18" hidden="1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hidden="1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hidden="1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hidden="1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2609</v>
      </c>
    </row>
    <row r="886" spans="1:18" hidden="1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hidden="1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hidden="1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hidden="1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2610</v>
      </c>
    </row>
    <row r="890" spans="1:18" hidden="1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hidden="1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2611</v>
      </c>
    </row>
    <row r="892" spans="1:18" hidden="1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hidden="1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2612</v>
      </c>
    </row>
    <row r="894" spans="1:18" hidden="1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hidden="1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2613</v>
      </c>
    </row>
    <row r="896" spans="1:18" hidden="1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hidden="1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2614</v>
      </c>
    </row>
    <row r="898" spans="1:18" hidden="1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hidden="1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2615</v>
      </c>
    </row>
    <row r="900" spans="1:18" hidden="1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hidden="1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2616</v>
      </c>
    </row>
    <row r="902" spans="1:18" hidden="1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hidden="1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2617</v>
      </c>
    </row>
    <row r="904" spans="1:18" hidden="1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hidden="1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2618</v>
      </c>
    </row>
    <row r="906" spans="1:18" hidden="1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hidden="1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2619</v>
      </c>
    </row>
    <row r="908" spans="1:18" hidden="1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hidden="1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2620</v>
      </c>
    </row>
    <row r="910" spans="1:18" hidden="1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hidden="1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2621</v>
      </c>
    </row>
    <row r="912" spans="1:18" hidden="1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hidden="1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2622</v>
      </c>
    </row>
    <row r="914" spans="1:19" hidden="1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hidden="1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2623</v>
      </c>
    </row>
    <row r="916" spans="1:19" hidden="1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hidden="1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2624</v>
      </c>
    </row>
    <row r="918" spans="1:19" hidden="1" x14ac:dyDescent="0.3">
      <c r="A918" s="5">
        <v>325</v>
      </c>
      <c r="B918" s="5" t="s">
        <v>2625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hidden="1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hidden="1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hidden="1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hidden="1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2626</v>
      </c>
    </row>
    <row r="923" spans="1:19" hidden="1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hidden="1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2627</v>
      </c>
    </row>
    <row r="925" spans="1:19" hidden="1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hidden="1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2628</v>
      </c>
    </row>
    <row r="927" spans="1:19" hidden="1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hidden="1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hidden="1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hidden="1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hidden="1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hidden="1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hidden="1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hidden="1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2629</v>
      </c>
    </row>
    <row r="935" spans="1:18" hidden="1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hidden="1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2630</v>
      </c>
    </row>
    <row r="937" spans="1:18" hidden="1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hidden="1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2631</v>
      </c>
    </row>
    <row r="939" spans="1:18" hidden="1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hidden="1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hidden="1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hidden="1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hidden="1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hidden="1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hidden="1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hidden="1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hidden="1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hidden="1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2632</v>
      </c>
    </row>
    <row r="949" spans="1:19" hidden="1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hidden="1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2633</v>
      </c>
    </row>
    <row r="951" spans="1:19" hidden="1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hidden="1" x14ac:dyDescent="0.3">
      <c r="A952" s="28">
        <v>338</v>
      </c>
      <c r="B952" s="5" t="s">
        <v>2635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2636</v>
      </c>
    </row>
    <row r="953" spans="1:19" hidden="1" x14ac:dyDescent="0.3">
      <c r="A953" s="26">
        <v>338</v>
      </c>
      <c r="B953" s="5" t="s">
        <v>2635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hidden="1" x14ac:dyDescent="0.3">
      <c r="A954" s="5">
        <v>338</v>
      </c>
      <c r="B954" s="5" t="s">
        <v>2635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2637</v>
      </c>
    </row>
    <row r="955" spans="1:19" hidden="1" x14ac:dyDescent="0.3">
      <c r="A955" s="5">
        <v>338</v>
      </c>
      <c r="B955" s="5" t="s">
        <v>2635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hidden="1" x14ac:dyDescent="0.3">
      <c r="A956" s="26">
        <v>338</v>
      </c>
      <c r="B956" s="5" t="s">
        <v>2635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2638</v>
      </c>
    </row>
    <row r="957" spans="1:19" hidden="1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hidden="1" x14ac:dyDescent="0.3">
      <c r="A958" s="26">
        <v>339</v>
      </c>
      <c r="B958" s="5" t="s">
        <v>2639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hidden="1" x14ac:dyDescent="0.3">
      <c r="A959" s="5">
        <v>339</v>
      </c>
      <c r="B959" s="5" t="s">
        <v>2639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hidden="1" x14ac:dyDescent="0.3">
      <c r="A960" s="26">
        <v>339</v>
      </c>
      <c r="B960" s="5" t="s">
        <v>2639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hidden="1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2641</v>
      </c>
    </row>
    <row r="962" spans="1:18" hidden="1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hidden="1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2644</v>
      </c>
    </row>
    <row r="964" spans="1:18" hidden="1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hidden="1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2646</v>
      </c>
    </row>
    <row r="966" spans="1:18" hidden="1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hidden="1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2647</v>
      </c>
    </row>
    <row r="968" spans="1:18" hidden="1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hidden="1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2648</v>
      </c>
    </row>
    <row r="970" spans="1:18" hidden="1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hidden="1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2649</v>
      </c>
    </row>
    <row r="972" spans="1:18" hidden="1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hidden="1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2650</v>
      </c>
    </row>
    <row r="974" spans="1:18" hidden="1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hidden="1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2651</v>
      </c>
    </row>
    <row r="976" spans="1:18" hidden="1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hidden="1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3244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hidden="1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3244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hidden="1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hidden="1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hidden="1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2653</v>
      </c>
    </row>
    <row r="982" spans="1:18" hidden="1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hidden="1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2656</v>
      </c>
    </row>
    <row r="984" spans="1:18" hidden="1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hidden="1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2659</v>
      </c>
    </row>
    <row r="986" spans="1:18" hidden="1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hidden="1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2661</v>
      </c>
    </row>
    <row r="988" spans="1:18" hidden="1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2662</v>
      </c>
    </row>
    <row r="989" spans="1:18" hidden="1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2663</v>
      </c>
    </row>
    <row r="990" spans="1:18" hidden="1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hidden="1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2665</v>
      </c>
    </row>
    <row r="992" spans="1:18" hidden="1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hidden="1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2668</v>
      </c>
    </row>
    <row r="994" spans="1:18" hidden="1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hidden="1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hidden="1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hidden="1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2671</v>
      </c>
    </row>
    <row r="998" spans="1:18" hidden="1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hidden="1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2674</v>
      </c>
    </row>
    <row r="1000" spans="1:18" hidden="1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hidden="1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2677</v>
      </c>
    </row>
    <row r="1002" spans="1:18" hidden="1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3248</v>
      </c>
    </row>
    <row r="1003" spans="1:18" hidden="1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2679</v>
      </c>
    </row>
    <row r="1004" spans="1:18" hidden="1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hidden="1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2682</v>
      </c>
    </row>
    <row r="1006" spans="1:18" hidden="1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hidden="1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2685</v>
      </c>
    </row>
    <row r="1008" spans="1:18" hidden="1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3249</v>
      </c>
    </row>
    <row r="1009" spans="1:18" hidden="1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2686</v>
      </c>
    </row>
    <row r="1010" spans="1:18" hidden="1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hidden="1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2687</v>
      </c>
    </row>
    <row r="1012" spans="1:18" hidden="1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hidden="1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2688</v>
      </c>
    </row>
    <row r="1014" spans="1:18" hidden="1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hidden="1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hidden="1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hidden="1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2689</v>
      </c>
    </row>
    <row r="1018" spans="1:18" hidden="1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hidden="1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2690</v>
      </c>
    </row>
    <row r="1020" spans="1:18" hidden="1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hidden="1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2691</v>
      </c>
    </row>
    <row r="1022" spans="1:18" hidden="1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hidden="1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2692</v>
      </c>
    </row>
    <row r="1024" spans="1:18" hidden="1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hidden="1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2693</v>
      </c>
    </row>
    <row r="1026" spans="1:19" hidden="1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hidden="1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2694</v>
      </c>
    </row>
    <row r="1028" spans="1:19" hidden="1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hidden="1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2695</v>
      </c>
    </row>
    <row r="1030" spans="1:19" hidden="1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hidden="1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2696</v>
      </c>
    </row>
    <row r="1032" spans="1:19" hidden="1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hidden="1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2697</v>
      </c>
    </row>
    <row r="1034" spans="1:19" hidden="1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hidden="1" x14ac:dyDescent="0.3">
      <c r="A1035" s="5">
        <v>359</v>
      </c>
      <c r="B1035" s="5" t="s">
        <v>3250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3251</v>
      </c>
    </row>
    <row r="1036" spans="1:19" hidden="1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2698</v>
      </c>
    </row>
    <row r="1037" spans="1:19" hidden="1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hidden="1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2699</v>
      </c>
    </row>
    <row r="1039" spans="1:19" hidden="1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hidden="1" x14ac:dyDescent="0.3">
      <c r="A1040" s="5">
        <v>360</v>
      </c>
      <c r="B1040" s="5" t="s">
        <v>2700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2702</v>
      </c>
    </row>
    <row r="1041" spans="1:18" hidden="1" x14ac:dyDescent="0.3">
      <c r="A1041" s="5">
        <v>360</v>
      </c>
      <c r="B1041" s="5" t="s">
        <v>2700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2703</v>
      </c>
    </row>
    <row r="1042" spans="1:18" hidden="1" x14ac:dyDescent="0.3">
      <c r="A1042" s="5">
        <v>361</v>
      </c>
      <c r="B1042" s="5" t="s">
        <v>3252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hidden="1" x14ac:dyDescent="0.3">
      <c r="A1043" s="5">
        <v>361</v>
      </c>
      <c r="B1043" s="5" t="s">
        <v>3252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hidden="1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hidden="1" x14ac:dyDescent="0.3">
      <c r="A1045" s="5">
        <v>362</v>
      </c>
      <c r="B1045" s="5" t="s">
        <v>955</v>
      </c>
      <c r="C1045" s="5" t="s">
        <v>3253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hidden="1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2707</v>
      </c>
    </row>
    <row r="1047" spans="1:18" hidden="1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hidden="1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2708</v>
      </c>
    </row>
    <row r="1049" spans="1:18" hidden="1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hidden="1" x14ac:dyDescent="0.3">
      <c r="A1050" s="5">
        <v>363</v>
      </c>
      <c r="B1050" s="5" t="s">
        <v>960</v>
      </c>
      <c r="C1050" s="5" t="s">
        <v>3254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3255</v>
      </c>
    </row>
    <row r="1051" spans="1:18" hidden="1" x14ac:dyDescent="0.3">
      <c r="A1051" s="5">
        <v>363</v>
      </c>
      <c r="B1051" s="5" t="s">
        <v>960</v>
      </c>
      <c r="C1051" s="5" t="s">
        <v>3254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hidden="1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2709</v>
      </c>
    </row>
    <row r="1053" spans="1:18" hidden="1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hidden="1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2710</v>
      </c>
    </row>
    <row r="1055" spans="1:18" hidden="1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hidden="1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3244</v>
      </c>
      <c r="O1056" s="5" t="s">
        <v>128</v>
      </c>
      <c r="P1056" s="5">
        <v>0</v>
      </c>
      <c r="Q1056" s="5">
        <v>0</v>
      </c>
      <c r="R1056" s="5" t="s">
        <v>2711</v>
      </c>
    </row>
    <row r="1057" spans="1:18" hidden="1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3244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hidden="1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2712</v>
      </c>
    </row>
    <row r="1059" spans="1:18" hidden="1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hidden="1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2713</v>
      </c>
    </row>
    <row r="1061" spans="1:18" hidden="1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hidden="1" x14ac:dyDescent="0.3">
      <c r="A1062" s="5">
        <v>365</v>
      </c>
      <c r="B1062" s="5" t="s">
        <v>968</v>
      </c>
      <c r="C1062" s="5" t="s">
        <v>3253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hidden="1" x14ac:dyDescent="0.3">
      <c r="A1063" s="5">
        <v>366</v>
      </c>
      <c r="B1063" s="5" t="s">
        <v>970</v>
      </c>
      <c r="C1063" s="5" t="s">
        <v>3253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hidden="1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hidden="1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hidden="1" x14ac:dyDescent="0.3">
      <c r="A1066" s="5">
        <v>367</v>
      </c>
      <c r="B1066" s="5" t="s">
        <v>2714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hidden="1" x14ac:dyDescent="0.3">
      <c r="A1067" s="5">
        <v>367</v>
      </c>
      <c r="B1067" s="5" t="s">
        <v>2714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hidden="1" x14ac:dyDescent="0.3">
      <c r="A1068" s="21">
        <v>367</v>
      </c>
      <c r="B1068" s="20" t="s">
        <v>2714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hidden="1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hidden="1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2717</v>
      </c>
    </row>
    <row r="1071" spans="1:18" hidden="1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hidden="1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2720</v>
      </c>
    </row>
    <row r="1073" spans="1:18" hidden="1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hidden="1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hidden="1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hidden="1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5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hidden="1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hidden="1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2724</v>
      </c>
    </row>
    <row r="1079" spans="1:18" hidden="1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hidden="1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2725</v>
      </c>
    </row>
    <row r="1081" spans="1:18" hidden="1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hidden="1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2726</v>
      </c>
    </row>
    <row r="1083" spans="1:18" hidden="1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hidden="1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2727</v>
      </c>
    </row>
    <row r="1085" spans="1:18" hidden="1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hidden="1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2728</v>
      </c>
    </row>
    <row r="1087" spans="1:18" hidden="1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hidden="1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2729</v>
      </c>
    </row>
    <row r="1089" spans="1:18" hidden="1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hidden="1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2731</v>
      </c>
    </row>
    <row r="1091" spans="1:18" hidden="1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hidden="1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2734</v>
      </c>
    </row>
    <row r="1093" spans="1:18" hidden="1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hidden="1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45107</v>
      </c>
      <c r="G1094" s="5">
        <v>2023</v>
      </c>
      <c r="H1094" s="5" t="s">
        <v>699</v>
      </c>
      <c r="I1094" s="6" t="s">
        <v>1512</v>
      </c>
      <c r="J1094" s="5">
        <v>100</v>
      </c>
      <c r="K1094">
        <v>107.17166666667001</v>
      </c>
      <c r="L1094" s="14">
        <f t="shared" ref="L1094:L1099" si="82">IFERROR(IF(OR(J1094=0,K1094=""),"",IF(E1094="Positivo",MIN(MAX(K1094/J1094,0),1),MIN(MAX(J1094/K1094,0),1))),"")</f>
        <v>1</v>
      </c>
      <c r="M1094" s="14">
        <f t="shared" si="81"/>
        <v>1.0717166666667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2736</v>
      </c>
    </row>
    <row r="1095" spans="1:18" hidden="1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100</v>
      </c>
      <c r="K1095">
        <v>97.166666666666998</v>
      </c>
      <c r="L1095" s="14">
        <f t="shared" si="82"/>
        <v>0.97166666666667001</v>
      </c>
      <c r="M1095" s="14">
        <f t="shared" si="81"/>
        <v>0.97166666666667001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999</v>
      </c>
    </row>
    <row r="1096" spans="1:18" hidden="1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45473</v>
      </c>
      <c r="G1096" s="5">
        <v>2024</v>
      </c>
      <c r="H1096" s="5" t="s">
        <v>699</v>
      </c>
      <c r="I1096" s="6" t="s">
        <v>729</v>
      </c>
      <c r="J1096" s="5">
        <v>100</v>
      </c>
      <c r="K1096">
        <v>106.8</v>
      </c>
      <c r="L1096" s="14">
        <f t="shared" si="82"/>
        <v>1</v>
      </c>
      <c r="M1096" s="14">
        <f t="shared" si="81"/>
        <v>1.0680000000000001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hidden="1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100</v>
      </c>
      <c r="K1097">
        <v>98.67</v>
      </c>
      <c r="L1097" s="14">
        <f t="shared" si="82"/>
        <v>0.98670000000000002</v>
      </c>
      <c r="M1097" s="14">
        <f t="shared" si="81"/>
        <v>0.98670000000000002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1000</v>
      </c>
    </row>
    <row r="1098" spans="1:18" hidden="1" x14ac:dyDescent="0.3">
      <c r="A1098" s="5">
        <v>373</v>
      </c>
      <c r="B1098" s="5" t="s">
        <v>998</v>
      </c>
      <c r="C1098" s="5" t="s">
        <v>567</v>
      </c>
      <c r="D1098" s="5" t="s">
        <v>27</v>
      </c>
      <c r="E1098" s="5" t="s">
        <v>22</v>
      </c>
      <c r="F1098" s="71">
        <v>45838</v>
      </c>
      <c r="G1098" s="5">
        <v>2025</v>
      </c>
      <c r="H1098" s="5" t="s">
        <v>699</v>
      </c>
      <c r="I1098" s="6" t="s">
        <v>700</v>
      </c>
      <c r="J1098" s="5">
        <v>100</v>
      </c>
      <c r="K1098">
        <v>101.75</v>
      </c>
      <c r="L1098" s="14">
        <f t="shared" si="82"/>
        <v>1</v>
      </c>
      <c r="M1098" s="14">
        <f t="shared" si="81"/>
        <v>1.0175000000000001</v>
      </c>
      <c r="N1098" s="5" t="s">
        <v>25</v>
      </c>
      <c r="O1098" s="5" t="s">
        <v>25</v>
      </c>
      <c r="P1098" s="5">
        <v>0</v>
      </c>
      <c r="Q1098" s="5">
        <v>0</v>
      </c>
      <c r="R1098" s="5" t="s">
        <v>2742</v>
      </c>
    </row>
    <row r="1099" spans="1:18" hidden="1" x14ac:dyDescent="0.3">
      <c r="A1099" s="5">
        <v>373</v>
      </c>
      <c r="B1099" s="5" t="s">
        <v>998</v>
      </c>
      <c r="C1099" s="5" t="s">
        <v>567</v>
      </c>
      <c r="D1099" s="5" t="s">
        <v>27</v>
      </c>
      <c r="E1099" s="5" t="s">
        <v>22</v>
      </c>
      <c r="F1099" s="71">
        <v>46022</v>
      </c>
      <c r="G1099" s="5">
        <v>2025</v>
      </c>
      <c r="H1099" s="5" t="s">
        <v>23</v>
      </c>
      <c r="I1099" s="6" t="s">
        <v>32</v>
      </c>
      <c r="J1099" s="5">
        <v>100</v>
      </c>
      <c r="K1099">
        <v>99.33</v>
      </c>
      <c r="L1099" s="14">
        <f t="shared" si="82"/>
        <v>0.99329999999999996</v>
      </c>
      <c r="M1099" s="14">
        <f t="shared" si="81"/>
        <v>0.99329999999999996</v>
      </c>
      <c r="N1099" s="5" t="s">
        <v>25</v>
      </c>
      <c r="O1099" s="5" t="s">
        <v>25</v>
      </c>
      <c r="P1099" s="5">
        <v>0</v>
      </c>
      <c r="Q1099" s="5">
        <v>0</v>
      </c>
      <c r="R1099" s="5" t="s">
        <v>1001</v>
      </c>
    </row>
    <row r="1100" spans="1:18" hidden="1" x14ac:dyDescent="0.3">
      <c r="A1100" s="5">
        <v>374</v>
      </c>
      <c r="B1100" s="5" t="s">
        <v>1002</v>
      </c>
      <c r="C1100" s="5" t="s">
        <v>3254</v>
      </c>
      <c r="D1100" s="5" t="s">
        <v>27</v>
      </c>
      <c r="E1100" s="5" t="s">
        <v>22</v>
      </c>
      <c r="F1100" s="71">
        <v>45291</v>
      </c>
      <c r="G1100" s="5">
        <v>2023</v>
      </c>
      <c r="H1100" s="5" t="s">
        <v>23</v>
      </c>
      <c r="I1100" s="6" t="s">
        <v>28</v>
      </c>
      <c r="J1100" s="5">
        <v>100</v>
      </c>
      <c r="K1100" s="5">
        <v>100</v>
      </c>
      <c r="L1100" s="14">
        <f t="shared" ref="L1100:L1125" si="83">IFERROR(IF(OR(J1100=0,K1100=""),"",IF(E1100="Positivo",MIN(MAX(K1100/J1100,0),1.3),MIN(MAX(J1100/K1100,0),1.3))),"")</f>
        <v>1</v>
      </c>
      <c r="M1100" s="14">
        <f t="shared" si="81"/>
        <v>1</v>
      </c>
      <c r="N1100" s="5"/>
      <c r="O1100" s="5"/>
      <c r="P1100" s="5">
        <v>0</v>
      </c>
      <c r="Q1100" s="5">
        <v>0</v>
      </c>
      <c r="R1100" s="5" t="s">
        <v>1003</v>
      </c>
    </row>
    <row r="1101" spans="1:18" hidden="1" x14ac:dyDescent="0.3">
      <c r="A1101" s="5">
        <v>375</v>
      </c>
      <c r="B1101" s="5" t="s">
        <v>1004</v>
      </c>
      <c r="C1101" s="5" t="s">
        <v>956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699</v>
      </c>
      <c r="I1101" s="6" t="s">
        <v>1512</v>
      </c>
      <c r="J1101" s="5">
        <v>100</v>
      </c>
      <c r="K1101" s="5">
        <v>0</v>
      </c>
      <c r="L1101" s="14">
        <f t="shared" si="83"/>
        <v>0</v>
      </c>
      <c r="M1101" s="14">
        <f t="shared" si="81"/>
        <v>0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2745</v>
      </c>
    </row>
    <row r="1102" spans="1:18" hidden="1" x14ac:dyDescent="0.3">
      <c r="A1102" s="5">
        <v>375</v>
      </c>
      <c r="B1102" s="5" t="s">
        <v>1004</v>
      </c>
      <c r="C1102" s="5" t="s">
        <v>3253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si="83"/>
        <v>1</v>
      </c>
      <c r="M1102" s="14">
        <f t="shared" si="81"/>
        <v>1</v>
      </c>
      <c r="N1102" s="5" t="s">
        <v>25</v>
      </c>
      <c r="O1102" s="5" t="s">
        <v>25</v>
      </c>
      <c r="P1102" s="5">
        <v>0</v>
      </c>
      <c r="Q1102" s="5">
        <v>0</v>
      </c>
      <c r="R1102" s="5" t="s">
        <v>1005</v>
      </c>
    </row>
    <row r="1103" spans="1:18" hidden="1" x14ac:dyDescent="0.3">
      <c r="A1103" s="5">
        <v>375</v>
      </c>
      <c r="B1103" s="5" t="s">
        <v>1004</v>
      </c>
      <c r="C1103" s="5" t="s">
        <v>956</v>
      </c>
      <c r="D1103" s="5" t="s">
        <v>27</v>
      </c>
      <c r="E1103" s="5" t="s">
        <v>22</v>
      </c>
      <c r="F1103" s="71">
        <v>45473</v>
      </c>
      <c r="G1103" s="5">
        <v>2024</v>
      </c>
      <c r="H1103" s="5" t="s">
        <v>699</v>
      </c>
      <c r="I1103" s="6" t="s">
        <v>729</v>
      </c>
      <c r="J1103" s="5">
        <v>100</v>
      </c>
      <c r="K1103" s="5">
        <v>100</v>
      </c>
      <c r="L1103" s="14">
        <f t="shared" si="83"/>
        <v>1</v>
      </c>
      <c r="M1103" s="14">
        <f t="shared" si="81"/>
        <v>1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2746</v>
      </c>
    </row>
    <row r="1104" spans="1:18" hidden="1" x14ac:dyDescent="0.3">
      <c r="A1104" s="5">
        <v>375</v>
      </c>
      <c r="B1104" s="5" t="s">
        <v>1004</v>
      </c>
      <c r="C1104" s="5" t="s">
        <v>956</v>
      </c>
      <c r="D1104" s="5" t="s">
        <v>27</v>
      </c>
      <c r="E1104" s="5" t="s">
        <v>22</v>
      </c>
      <c r="F1104" s="71">
        <v>45657</v>
      </c>
      <c r="G1104" s="5">
        <v>2024</v>
      </c>
      <c r="H1104" s="5" t="s">
        <v>23</v>
      </c>
      <c r="I1104" s="6" t="s">
        <v>30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1006</v>
      </c>
    </row>
    <row r="1105" spans="1:18" hidden="1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45838</v>
      </c>
      <c r="G1105" s="5">
        <v>2025</v>
      </c>
      <c r="H1105" s="5" t="s">
        <v>699</v>
      </c>
      <c r="I1105" s="6" t="s">
        <v>700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2747</v>
      </c>
    </row>
    <row r="1106" spans="1:18" hidden="1" x14ac:dyDescent="0.3">
      <c r="A1106" s="5">
        <v>375</v>
      </c>
      <c r="B1106" s="5" t="s">
        <v>1004</v>
      </c>
      <c r="C1106" s="5" t="s">
        <v>956</v>
      </c>
      <c r="D1106" s="5" t="s">
        <v>21</v>
      </c>
      <c r="E1106" s="5" t="s">
        <v>22</v>
      </c>
      <c r="F1106" s="71">
        <v>46022</v>
      </c>
      <c r="G1106" s="5">
        <v>2025</v>
      </c>
      <c r="H1106" s="5" t="s">
        <v>23</v>
      </c>
      <c r="I1106" s="6" t="s">
        <v>32</v>
      </c>
      <c r="J1106" s="5">
        <v>100</v>
      </c>
      <c r="K1106" s="5">
        <v>100</v>
      </c>
      <c r="L1106" s="14">
        <f t="shared" si="83"/>
        <v>1</v>
      </c>
      <c r="M1106" s="14">
        <f t="shared" ref="M1106:M1131" si="84">IFERROR(IF(OR(J1106=0,K1106=""),"",IF(E1106="Positivo",MAX(K1106/J1106,0),MAX(J1106/K1106,0))),"")</f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1007</v>
      </c>
    </row>
    <row r="1107" spans="1:18" hidden="1" x14ac:dyDescent="0.3">
      <c r="A1107" s="5">
        <v>376</v>
      </c>
      <c r="B1107" s="5" t="s">
        <v>2748</v>
      </c>
      <c r="C1107" s="5" t="s">
        <v>159</v>
      </c>
      <c r="D1107" s="5" t="s">
        <v>27</v>
      </c>
      <c r="E1107" s="5" t="s">
        <v>22</v>
      </c>
      <c r="F1107" s="71">
        <v>45107</v>
      </c>
      <c r="G1107" s="5">
        <v>2023</v>
      </c>
      <c r="H1107" s="5" t="s">
        <v>699</v>
      </c>
      <c r="I1107" s="6" t="s">
        <v>1512</v>
      </c>
      <c r="J1107" s="5">
        <v>95</v>
      </c>
      <c r="K1107" s="5">
        <v>149.72237633949999</v>
      </c>
      <c r="L1107" s="14">
        <f t="shared" si="83"/>
        <v>1.3</v>
      </c>
      <c r="M1107" s="14">
        <f t="shared" si="84"/>
        <v>1.5760250140999998</v>
      </c>
      <c r="N1107" s="5" t="s">
        <v>205</v>
      </c>
      <c r="O1107" s="5" t="s">
        <v>205</v>
      </c>
      <c r="P1107" s="5">
        <v>0</v>
      </c>
      <c r="Q1107" s="5">
        <v>0</v>
      </c>
      <c r="R1107" s="5" t="s">
        <v>2749</v>
      </c>
    </row>
    <row r="1108" spans="1:18" hidden="1" x14ac:dyDescent="0.3">
      <c r="A1108" s="5">
        <v>376</v>
      </c>
      <c r="B1108" s="5" t="s">
        <v>2748</v>
      </c>
      <c r="C1108" s="5" t="s">
        <v>159</v>
      </c>
      <c r="D1108" s="5" t="s">
        <v>27</v>
      </c>
      <c r="E1108" s="5" t="s">
        <v>22</v>
      </c>
      <c r="F1108" s="71">
        <v>45291</v>
      </c>
      <c r="G1108" s="5">
        <v>2023</v>
      </c>
      <c r="H1108" s="5" t="s">
        <v>23</v>
      </c>
      <c r="I1108" s="6" t="s">
        <v>28</v>
      </c>
      <c r="J1108" s="5">
        <v>95</v>
      </c>
      <c r="K1108" s="5">
        <v>101.26</v>
      </c>
      <c r="L1108" s="14">
        <f t="shared" si="83"/>
        <v>1.0658947368421052</v>
      </c>
      <c r="M1108" s="14">
        <f t="shared" si="84"/>
        <v>1.0658947368421052</v>
      </c>
      <c r="N1108" s="5" t="s">
        <v>205</v>
      </c>
      <c r="O1108" s="5" t="s">
        <v>205</v>
      </c>
      <c r="P1108" s="5">
        <v>0</v>
      </c>
      <c r="Q1108" s="5">
        <v>0</v>
      </c>
      <c r="R1108" s="5" t="s">
        <v>1009</v>
      </c>
    </row>
    <row r="1109" spans="1:18" hidden="1" x14ac:dyDescent="0.3">
      <c r="A1109" s="5">
        <v>376</v>
      </c>
      <c r="B1109" s="5" t="s">
        <v>2748</v>
      </c>
      <c r="C1109" s="5" t="s">
        <v>159</v>
      </c>
      <c r="D1109" s="5" t="s">
        <v>27</v>
      </c>
      <c r="E1109" s="5" t="s">
        <v>22</v>
      </c>
      <c r="F1109" s="71">
        <v>45473</v>
      </c>
      <c r="G1109" s="5">
        <v>2024</v>
      </c>
      <c r="H1109" s="5" t="s">
        <v>699</v>
      </c>
      <c r="I1109" s="6" t="s">
        <v>729</v>
      </c>
      <c r="J1109" s="5">
        <v>95</v>
      </c>
      <c r="K1109" s="5">
        <v>104</v>
      </c>
      <c r="L1109" s="14">
        <f t="shared" si="83"/>
        <v>1.0947368421052632</v>
      </c>
      <c r="M1109" s="14">
        <f t="shared" si="84"/>
        <v>1.0947368421052632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2750</v>
      </c>
    </row>
    <row r="1110" spans="1:18" hidden="1" x14ac:dyDescent="0.3">
      <c r="A1110" s="5">
        <v>376</v>
      </c>
      <c r="B1110" s="5" t="s">
        <v>2748</v>
      </c>
      <c r="C1110" s="5" t="s">
        <v>159</v>
      </c>
      <c r="D1110" s="5" t="s">
        <v>27</v>
      </c>
      <c r="E1110" s="5" t="s">
        <v>22</v>
      </c>
      <c r="F1110" s="71">
        <v>45657</v>
      </c>
      <c r="G1110" s="5">
        <v>2024</v>
      </c>
      <c r="H1110" s="5" t="s">
        <v>23</v>
      </c>
      <c r="I1110" s="6" t="s">
        <v>30</v>
      </c>
      <c r="J1110" s="5">
        <v>95</v>
      </c>
      <c r="K1110" s="5">
        <v>109.1</v>
      </c>
      <c r="L1110" s="14">
        <f t="shared" si="83"/>
        <v>1.1484210526315788</v>
      </c>
      <c r="M1110" s="14">
        <f t="shared" si="84"/>
        <v>1.1484210526315788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1010</v>
      </c>
    </row>
    <row r="1111" spans="1:18" hidden="1" x14ac:dyDescent="0.3">
      <c r="A1111" s="5">
        <v>376</v>
      </c>
      <c r="B1111" s="5" t="s">
        <v>2748</v>
      </c>
      <c r="C1111" s="5" t="s">
        <v>159</v>
      </c>
      <c r="D1111" s="5" t="s">
        <v>27</v>
      </c>
      <c r="E1111" s="5" t="s">
        <v>22</v>
      </c>
      <c r="F1111" s="71">
        <v>45838</v>
      </c>
      <c r="G1111" s="5">
        <v>2025</v>
      </c>
      <c r="H1111" s="5" t="s">
        <v>699</v>
      </c>
      <c r="I1111" s="6" t="s">
        <v>700</v>
      </c>
      <c r="J1111" s="5">
        <v>95</v>
      </c>
      <c r="K1111" s="5">
        <v>117.87</v>
      </c>
      <c r="L1111" s="14">
        <f t="shared" si="83"/>
        <v>1.2407368421052631</v>
      </c>
      <c r="M1111" s="14">
        <f t="shared" si="84"/>
        <v>1.2407368421052631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2751</v>
      </c>
    </row>
    <row r="1112" spans="1:18" hidden="1" x14ac:dyDescent="0.3">
      <c r="A1112" s="5">
        <v>376</v>
      </c>
      <c r="B1112" s="5" t="s">
        <v>1008</v>
      </c>
      <c r="C1112" s="5" t="s">
        <v>159</v>
      </c>
      <c r="D1112" s="5" t="s">
        <v>21</v>
      </c>
      <c r="E1112" s="5" t="s">
        <v>22</v>
      </c>
      <c r="F1112" s="71">
        <v>46022</v>
      </c>
      <c r="G1112" s="5">
        <v>2025</v>
      </c>
      <c r="H1112" s="5" t="s">
        <v>23</v>
      </c>
      <c r="I1112" s="6" t="s">
        <v>32</v>
      </c>
      <c r="J1112" s="5">
        <v>95</v>
      </c>
      <c r="K1112" s="5">
        <v>117.51</v>
      </c>
      <c r="L1112" s="14">
        <f t="shared" si="83"/>
        <v>1.2369473684210528</v>
      </c>
      <c r="M1112" s="14">
        <f t="shared" si="84"/>
        <v>1.2369473684210528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1011</v>
      </c>
    </row>
    <row r="1113" spans="1:18" hidden="1" x14ac:dyDescent="0.3">
      <c r="A1113" s="5">
        <v>377</v>
      </c>
      <c r="B1113" s="5" t="s">
        <v>1012</v>
      </c>
      <c r="C1113" s="5" t="s">
        <v>159</v>
      </c>
      <c r="D1113" s="5" t="s">
        <v>27</v>
      </c>
      <c r="E1113" s="5" t="s">
        <v>41</v>
      </c>
      <c r="F1113" s="71">
        <v>45107</v>
      </c>
      <c r="G1113" s="5">
        <v>2023</v>
      </c>
      <c r="H1113" s="5" t="s">
        <v>699</v>
      </c>
      <c r="I1113" s="6" t="s">
        <v>1512</v>
      </c>
      <c r="J1113" s="5">
        <v>100</v>
      </c>
      <c r="K1113" s="5">
        <v>22.314798348501999</v>
      </c>
      <c r="L1113" s="14">
        <f t="shared" si="83"/>
        <v>1.3</v>
      </c>
      <c r="M1113" s="14">
        <f t="shared" si="84"/>
        <v>4.4813311076464668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2752</v>
      </c>
    </row>
    <row r="1114" spans="1:18" hidden="1" x14ac:dyDescent="0.3">
      <c r="A1114" s="5">
        <v>377</v>
      </c>
      <c r="B1114" s="5" t="s">
        <v>1012</v>
      </c>
      <c r="C1114" s="5" t="s">
        <v>159</v>
      </c>
      <c r="D1114" s="5" t="s">
        <v>27</v>
      </c>
      <c r="E1114" s="5" t="s">
        <v>41</v>
      </c>
      <c r="F1114" s="71">
        <v>45291</v>
      </c>
      <c r="G1114" s="5">
        <v>2023</v>
      </c>
      <c r="H1114" s="5" t="s">
        <v>23</v>
      </c>
      <c r="I1114" s="6" t="s">
        <v>28</v>
      </c>
      <c r="J1114" s="5">
        <v>100</v>
      </c>
      <c r="K1114" s="5">
        <v>60.77</v>
      </c>
      <c r="L1114" s="14">
        <f t="shared" si="83"/>
        <v>1.3</v>
      </c>
      <c r="M1114" s="14">
        <f t="shared" si="84"/>
        <v>1.6455487905216388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1013</v>
      </c>
    </row>
    <row r="1115" spans="1:18" hidden="1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45473</v>
      </c>
      <c r="G1115" s="5">
        <v>2024</v>
      </c>
      <c r="H1115" s="5" t="s">
        <v>699</v>
      </c>
      <c r="I1115" s="6" t="s">
        <v>729</v>
      </c>
      <c r="J1115" s="5">
        <v>100</v>
      </c>
      <c r="K1115" s="10">
        <v>48.24</v>
      </c>
      <c r="L1115" s="14">
        <f t="shared" si="83"/>
        <v>1.3</v>
      </c>
      <c r="M1115" s="14">
        <f t="shared" si="84"/>
        <v>2.0729684908789388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2753</v>
      </c>
    </row>
    <row r="1116" spans="1:18" hidden="1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45657</v>
      </c>
      <c r="G1116" s="5">
        <v>2024</v>
      </c>
      <c r="H1116" s="5" t="s">
        <v>23</v>
      </c>
      <c r="I1116" s="6" t="s">
        <v>30</v>
      </c>
      <c r="J1116" s="5">
        <v>100</v>
      </c>
      <c r="K1116" s="10">
        <v>125.01</v>
      </c>
      <c r="L1116" s="14">
        <f t="shared" si="83"/>
        <v>0.7999360051195904</v>
      </c>
      <c r="M1116" s="14">
        <f t="shared" si="84"/>
        <v>0.7999360051195904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1014</v>
      </c>
    </row>
    <row r="1117" spans="1:18" hidden="1" x14ac:dyDescent="0.3">
      <c r="A1117" s="26">
        <v>377</v>
      </c>
      <c r="B1117" s="5" t="s">
        <v>1012</v>
      </c>
      <c r="C1117" s="5" t="s">
        <v>159</v>
      </c>
      <c r="D1117" s="5" t="s">
        <v>71</v>
      </c>
      <c r="E1117" s="5" t="s">
        <v>22</v>
      </c>
      <c r="F1117" s="71">
        <v>46022</v>
      </c>
      <c r="G1117" s="15">
        <v>2025</v>
      </c>
      <c r="H1117" s="6" t="s">
        <v>23</v>
      </c>
      <c r="I1117" s="6" t="s">
        <v>32</v>
      </c>
      <c r="J1117" s="5">
        <v>100</v>
      </c>
      <c r="K1117" s="5">
        <v>107.11</v>
      </c>
      <c r="L1117" s="14">
        <f t="shared" si="83"/>
        <v>1.0710999999999999</v>
      </c>
      <c r="M1117" s="14">
        <f t="shared" si="84"/>
        <v>1.0710999999999999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1015</v>
      </c>
    </row>
    <row r="1118" spans="1:18" hidden="1" x14ac:dyDescent="0.3">
      <c r="A1118" s="26">
        <v>378</v>
      </c>
      <c r="B1118" s="5" t="s">
        <v>1016</v>
      </c>
      <c r="C1118" s="5" t="s">
        <v>53</v>
      </c>
      <c r="D1118" s="5" t="s">
        <v>54</v>
      </c>
      <c r="E1118" s="5" t="s">
        <v>22</v>
      </c>
      <c r="F1118" s="71">
        <v>45107</v>
      </c>
      <c r="G1118" s="15">
        <v>2023</v>
      </c>
      <c r="H1118" s="6" t="s">
        <v>699</v>
      </c>
      <c r="I1118" s="6" t="s">
        <v>1512</v>
      </c>
      <c r="J1118" s="5">
        <v>92</v>
      </c>
      <c r="K1118" s="5">
        <v>93.83</v>
      </c>
      <c r="L1118" s="14">
        <f t="shared" si="83"/>
        <v>1.0198913043478262</v>
      </c>
      <c r="M1118" s="14">
        <f t="shared" si="84"/>
        <v>1.0198913043478262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2759</v>
      </c>
    </row>
    <row r="1119" spans="1:18" hidden="1" x14ac:dyDescent="0.3">
      <c r="A1119" s="5">
        <v>378</v>
      </c>
      <c r="B1119" s="5" t="s">
        <v>1016</v>
      </c>
      <c r="C1119" s="5" t="s">
        <v>53</v>
      </c>
      <c r="D1119" s="5" t="s">
        <v>54</v>
      </c>
      <c r="E1119" s="5" t="s">
        <v>22</v>
      </c>
      <c r="F1119" s="71">
        <v>45291</v>
      </c>
      <c r="G1119" s="15">
        <v>2023</v>
      </c>
      <c r="H1119" s="6" t="s">
        <v>23</v>
      </c>
      <c r="I1119" s="6" t="s">
        <v>28</v>
      </c>
      <c r="J1119" s="5">
        <v>92</v>
      </c>
      <c r="K1119" s="5">
        <v>97.3</v>
      </c>
      <c r="L1119" s="14">
        <f t="shared" si="83"/>
        <v>1.057608695652174</v>
      </c>
      <c r="M1119" s="14">
        <f t="shared" si="84"/>
        <v>1.057608695652174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1017</v>
      </c>
    </row>
    <row r="1120" spans="1:18" hidden="1" x14ac:dyDescent="0.3">
      <c r="A1120" s="5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45473</v>
      </c>
      <c r="G1120" s="15">
        <v>2024</v>
      </c>
      <c r="H1120" s="6" t="s">
        <v>699</v>
      </c>
      <c r="I1120" s="6" t="s">
        <v>729</v>
      </c>
      <c r="J1120" s="5">
        <v>92</v>
      </c>
      <c r="K1120" s="5">
        <v>98.5</v>
      </c>
      <c r="L1120" s="14">
        <f t="shared" si="83"/>
        <v>1.0706521739130435</v>
      </c>
      <c r="M1120" s="14">
        <f t="shared" si="84"/>
        <v>1.0706521739130435</v>
      </c>
      <c r="N1120" s="5"/>
      <c r="O1120" s="5"/>
      <c r="P1120" s="5">
        <v>0</v>
      </c>
      <c r="Q1120" s="5">
        <v>0</v>
      </c>
      <c r="R1120" s="5" t="s">
        <v>2770</v>
      </c>
    </row>
    <row r="1121" spans="1:18" hidden="1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45657</v>
      </c>
      <c r="G1121" s="15">
        <v>2024</v>
      </c>
      <c r="H1121" s="6" t="s">
        <v>23</v>
      </c>
      <c r="I1121" s="6" t="s">
        <v>30</v>
      </c>
      <c r="J1121" s="5">
        <v>0</v>
      </c>
      <c r="K1121" s="5">
        <v>0</v>
      </c>
      <c r="L1121" s="14" t="str">
        <f t="shared" si="83"/>
        <v/>
      </c>
      <c r="M1121" s="14" t="str">
        <f t="shared" si="84"/>
        <v/>
      </c>
      <c r="N1121" s="5"/>
      <c r="O1121" s="5"/>
      <c r="P1121" s="5">
        <v>0</v>
      </c>
      <c r="Q1121" s="5">
        <v>0</v>
      </c>
      <c r="R1121" s="5" t="s">
        <v>1018</v>
      </c>
    </row>
    <row r="1122" spans="1:18" hidden="1" x14ac:dyDescent="0.3">
      <c r="A1122" s="5">
        <v>380</v>
      </c>
      <c r="B1122" s="5" t="s">
        <v>1024</v>
      </c>
      <c r="C1122" s="5" t="s">
        <v>1020</v>
      </c>
      <c r="D1122" s="5" t="s">
        <v>27</v>
      </c>
      <c r="E1122" s="5" t="s">
        <v>22</v>
      </c>
      <c r="F1122" s="71">
        <v>45107</v>
      </c>
      <c r="G1122" s="15">
        <v>2023</v>
      </c>
      <c r="H1122" s="6" t="s">
        <v>699</v>
      </c>
      <c r="I1122" s="6" t="s">
        <v>1512</v>
      </c>
      <c r="J1122" s="5">
        <v>24659.314309000001</v>
      </c>
      <c r="K1122" s="5">
        <v>25754.085545999998</v>
      </c>
      <c r="L1122" s="14">
        <f t="shared" si="83"/>
        <v>1.0443958507232471</v>
      </c>
      <c r="M1122" s="14">
        <f t="shared" si="84"/>
        <v>1.0443958507232471</v>
      </c>
      <c r="N1122" s="5" t="s">
        <v>205</v>
      </c>
      <c r="O1122" s="5" t="s">
        <v>205</v>
      </c>
      <c r="P1122" s="5">
        <v>0</v>
      </c>
      <c r="Q1122" s="5">
        <v>0</v>
      </c>
      <c r="R1122" s="5" t="s">
        <v>2779</v>
      </c>
    </row>
    <row r="1123" spans="1:18" hidden="1" x14ac:dyDescent="0.3">
      <c r="A1123" s="5">
        <v>380</v>
      </c>
      <c r="B1123" s="5" t="s">
        <v>1024</v>
      </c>
      <c r="C1123" s="5" t="s">
        <v>1020</v>
      </c>
      <c r="D1123" s="5" t="s">
        <v>27</v>
      </c>
      <c r="E1123" s="5" t="s">
        <v>22</v>
      </c>
      <c r="F1123" s="71">
        <v>45291</v>
      </c>
      <c r="G1123" s="15">
        <v>2023</v>
      </c>
      <c r="H1123" s="6" t="s">
        <v>23</v>
      </c>
      <c r="I1123" s="6" t="s">
        <v>28</v>
      </c>
      <c r="J1123" s="5">
        <v>24724.802793999999</v>
      </c>
      <c r="K1123" s="10">
        <v>25340.546505999999</v>
      </c>
      <c r="L1123" s="14">
        <f t="shared" si="83"/>
        <v>1.0249038876924601</v>
      </c>
      <c r="M1123" s="14">
        <f t="shared" si="84"/>
        <v>1.0249038876924601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1025</v>
      </c>
    </row>
    <row r="1124" spans="1:18" hidden="1" x14ac:dyDescent="0.3">
      <c r="A1124" s="26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0">
        <v>45473</v>
      </c>
      <c r="G1124" s="15">
        <v>2024</v>
      </c>
      <c r="H1124" s="6" t="s">
        <v>699</v>
      </c>
      <c r="I1124" s="6" t="s">
        <v>729</v>
      </c>
      <c r="J1124" s="5">
        <v>29596.26987</v>
      </c>
      <c r="K1124" s="5">
        <v>28449.632913000001</v>
      </c>
      <c r="L1124" s="14">
        <f t="shared" si="83"/>
        <v>0.96125738270273453</v>
      </c>
      <c r="M1124" s="14">
        <f t="shared" si="84"/>
        <v>0.96125738270273453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2780</v>
      </c>
    </row>
    <row r="1125" spans="1:18" hidden="1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45657</v>
      </c>
      <c r="G1125" s="15">
        <v>2024</v>
      </c>
      <c r="H1125" s="6" t="s">
        <v>23</v>
      </c>
      <c r="I1125" s="6" t="s">
        <v>30</v>
      </c>
      <c r="J1125" s="5">
        <v>100</v>
      </c>
      <c r="K1125" s="5">
        <v>78.92</v>
      </c>
      <c r="L1125" s="14">
        <f t="shared" si="83"/>
        <v>0.78920000000000001</v>
      </c>
      <c r="M1125" s="14">
        <f t="shared" si="84"/>
        <v>0.78920000000000001</v>
      </c>
      <c r="N1125" s="5"/>
      <c r="O1125" s="5"/>
      <c r="P1125" s="5">
        <v>0</v>
      </c>
      <c r="Q1125" s="5">
        <v>0</v>
      </c>
      <c r="R1125" s="5" t="s">
        <v>1026</v>
      </c>
    </row>
    <row r="1126" spans="1:18" hidden="1" x14ac:dyDescent="0.3">
      <c r="A1126" s="5">
        <v>381</v>
      </c>
      <c r="B1126" s="5" t="s">
        <v>1027</v>
      </c>
      <c r="C1126" s="5" t="s">
        <v>1020</v>
      </c>
      <c r="D1126" s="5" t="s">
        <v>27</v>
      </c>
      <c r="E1126" s="5" t="s">
        <v>22</v>
      </c>
      <c r="F1126" s="71">
        <v>45107</v>
      </c>
      <c r="G1126" s="15">
        <v>2023</v>
      </c>
      <c r="H1126" s="6" t="s">
        <v>699</v>
      </c>
      <c r="I1126" s="6" t="s">
        <v>1512</v>
      </c>
      <c r="J1126" s="5">
        <v>100</v>
      </c>
      <c r="K1126" s="10">
        <v>104.27170868347</v>
      </c>
      <c r="L1126" s="14">
        <f t="shared" ref="L1126:L1157" si="85">IFERROR(IF(OR(J1126=0,K1126=""),"",IF(E1126="Positivo",MIN(MAX(K1126/J1126,0),1.3),MIN(MAX(J1126/K1126,0),1.3))),"")</f>
        <v>1.0427170868347</v>
      </c>
      <c r="M1126" s="14">
        <f t="shared" si="84"/>
        <v>1.0427170868347</v>
      </c>
      <c r="N1126" s="5" t="s">
        <v>128</v>
      </c>
      <c r="O1126" s="5" t="s">
        <v>128</v>
      </c>
      <c r="P1126" s="5">
        <v>0</v>
      </c>
      <c r="Q1126" s="5">
        <v>0</v>
      </c>
      <c r="R1126" s="5" t="s">
        <v>2781</v>
      </c>
    </row>
    <row r="1127" spans="1:18" hidden="1" x14ac:dyDescent="0.3">
      <c r="A1127" s="5">
        <v>381</v>
      </c>
      <c r="B1127" s="5" t="s">
        <v>1027</v>
      </c>
      <c r="C1127" s="5" t="s">
        <v>1020</v>
      </c>
      <c r="D1127" s="5" t="s">
        <v>27</v>
      </c>
      <c r="E1127" s="5" t="s">
        <v>22</v>
      </c>
      <c r="F1127" s="71">
        <v>45291</v>
      </c>
      <c r="G1127" s="15">
        <v>2023</v>
      </c>
      <c r="H1127" s="6" t="s">
        <v>23</v>
      </c>
      <c r="I1127" s="6" t="s">
        <v>28</v>
      </c>
      <c r="J1127" s="5">
        <v>100</v>
      </c>
      <c r="K1127" s="15">
        <v>113.7</v>
      </c>
      <c r="L1127" s="14">
        <f t="shared" si="85"/>
        <v>1.137</v>
      </c>
      <c r="M1127" s="14">
        <f t="shared" si="84"/>
        <v>1.137</v>
      </c>
      <c r="N1127" s="5" t="s">
        <v>128</v>
      </c>
      <c r="O1127" s="5" t="s">
        <v>128</v>
      </c>
      <c r="P1127" s="5">
        <v>0</v>
      </c>
      <c r="Q1127" s="5">
        <v>0</v>
      </c>
      <c r="R1127" s="5" t="s">
        <v>1028</v>
      </c>
    </row>
    <row r="1128" spans="1:18" hidden="1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45473</v>
      </c>
      <c r="G1128" s="15">
        <v>2024</v>
      </c>
      <c r="H1128" s="6" t="s">
        <v>699</v>
      </c>
      <c r="I1128" s="6" t="s">
        <v>729</v>
      </c>
      <c r="J1128" s="5">
        <v>100</v>
      </c>
      <c r="K1128" s="5">
        <v>105.26</v>
      </c>
      <c r="L1128" s="14">
        <f t="shared" si="85"/>
        <v>1.0526</v>
      </c>
      <c r="M1128" s="14">
        <f t="shared" si="84"/>
        <v>1.0526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2782</v>
      </c>
    </row>
    <row r="1129" spans="1:18" hidden="1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45657</v>
      </c>
      <c r="G1129" s="15">
        <v>2024</v>
      </c>
      <c r="H1129" s="6" t="s">
        <v>23</v>
      </c>
      <c r="I1129" s="6" t="s">
        <v>30</v>
      </c>
      <c r="J1129" s="5">
        <v>100</v>
      </c>
      <c r="K1129" s="5">
        <v>89.19</v>
      </c>
      <c r="L1129" s="14">
        <f t="shared" si="85"/>
        <v>0.89190000000000003</v>
      </c>
      <c r="M1129" s="14">
        <f t="shared" si="84"/>
        <v>0.89190000000000003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1029</v>
      </c>
    </row>
    <row r="1130" spans="1:18" hidden="1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45838</v>
      </c>
      <c r="G1130" s="15">
        <v>2025</v>
      </c>
      <c r="H1130" s="6" t="s">
        <v>699</v>
      </c>
      <c r="I1130" s="6" t="s">
        <v>700</v>
      </c>
      <c r="J1130" s="5">
        <v>100</v>
      </c>
      <c r="K1130" s="5">
        <v>98.22</v>
      </c>
      <c r="L1130" s="14">
        <f t="shared" si="85"/>
        <v>0.98219999999999996</v>
      </c>
      <c r="M1130" s="14">
        <f t="shared" si="84"/>
        <v>0.98219999999999996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2783</v>
      </c>
    </row>
    <row r="1131" spans="1:18" hidden="1" x14ac:dyDescent="0.3">
      <c r="A1131" s="5">
        <v>381</v>
      </c>
      <c r="B1131" s="5" t="s">
        <v>1027</v>
      </c>
      <c r="C1131" s="5" t="s">
        <v>1020</v>
      </c>
      <c r="D1131" s="5" t="s">
        <v>21</v>
      </c>
      <c r="E1131" s="5" t="s">
        <v>22</v>
      </c>
      <c r="F1131" s="71">
        <v>46022</v>
      </c>
      <c r="G1131" s="15">
        <v>2025</v>
      </c>
      <c r="H1131" s="6" t="s">
        <v>23</v>
      </c>
      <c r="I1131" s="6" t="s">
        <v>32</v>
      </c>
      <c r="J1131" s="5">
        <v>100</v>
      </c>
      <c r="K1131" s="5">
        <v>113.66</v>
      </c>
      <c r="L1131" s="14">
        <f t="shared" si="85"/>
        <v>1.1366000000000001</v>
      </c>
      <c r="M1131" s="14">
        <f t="shared" si="84"/>
        <v>1.1366000000000001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1030</v>
      </c>
    </row>
    <row r="1132" spans="1:18" hidden="1" x14ac:dyDescent="0.3">
      <c r="A1132" s="5">
        <v>382</v>
      </c>
      <c r="B1132" s="5" t="s">
        <v>1031</v>
      </c>
      <c r="C1132" s="5" t="s">
        <v>1020</v>
      </c>
      <c r="D1132" s="5" t="s">
        <v>27</v>
      </c>
      <c r="E1132" s="5" t="s">
        <v>22</v>
      </c>
      <c r="F1132" s="71">
        <v>45107</v>
      </c>
      <c r="G1132" s="15">
        <v>2023</v>
      </c>
      <c r="H1132" s="6" t="s">
        <v>699</v>
      </c>
      <c r="I1132" s="6" t="s">
        <v>1512</v>
      </c>
      <c r="J1132" s="5">
        <v>100</v>
      </c>
      <c r="K1132" s="5">
        <v>101.25041131950999</v>
      </c>
      <c r="L1132" s="14">
        <f t="shared" si="85"/>
        <v>1.0125041131951</v>
      </c>
      <c r="M1132" s="14">
        <f t="shared" ref="M1132:M1162" si="86">IFERROR(IF(OR(J1132=0,K1132=""),"",IF(E1132="Positivo",MAX(K1132/J1132,0),MAX(J1132/K1132,0))),"")</f>
        <v>1.0125041131951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2784</v>
      </c>
    </row>
    <row r="1133" spans="1:18" hidden="1" x14ac:dyDescent="0.3">
      <c r="A1133" s="5">
        <v>382</v>
      </c>
      <c r="B1133" s="5" t="s">
        <v>1031</v>
      </c>
      <c r="C1133" s="5" t="s">
        <v>1020</v>
      </c>
      <c r="D1133" s="5" t="s">
        <v>27</v>
      </c>
      <c r="E1133" s="5" t="s">
        <v>22</v>
      </c>
      <c r="F1133" s="71">
        <v>45291</v>
      </c>
      <c r="G1133" s="15">
        <v>2023</v>
      </c>
      <c r="H1133" s="6" t="s">
        <v>23</v>
      </c>
      <c r="I1133" s="6" t="s">
        <v>28</v>
      </c>
      <c r="J1133" s="5">
        <v>100</v>
      </c>
      <c r="K1133" s="5">
        <v>103.01</v>
      </c>
      <c r="L1133" s="14">
        <f t="shared" si="85"/>
        <v>1.0301</v>
      </c>
      <c r="M1133" s="14">
        <f t="shared" si="86"/>
        <v>1.0301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1032</v>
      </c>
    </row>
    <row r="1134" spans="1:18" hidden="1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45473</v>
      </c>
      <c r="G1134" s="15">
        <v>2024</v>
      </c>
      <c r="H1134" s="6" t="s">
        <v>699</v>
      </c>
      <c r="I1134" s="6" t="s">
        <v>729</v>
      </c>
      <c r="J1134" s="5">
        <v>100</v>
      </c>
      <c r="K1134" s="5">
        <v>93.7</v>
      </c>
      <c r="L1134" s="14">
        <f t="shared" si="85"/>
        <v>0.93700000000000006</v>
      </c>
      <c r="M1134" s="14">
        <f t="shared" si="86"/>
        <v>0.93700000000000006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2785</v>
      </c>
    </row>
    <row r="1135" spans="1:18" hidden="1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45657</v>
      </c>
      <c r="G1135" s="15">
        <v>2024</v>
      </c>
      <c r="H1135" s="6" t="s">
        <v>23</v>
      </c>
      <c r="I1135" s="6" t="s">
        <v>30</v>
      </c>
      <c r="J1135" s="5">
        <v>100</v>
      </c>
      <c r="K1135" s="5">
        <v>98.13</v>
      </c>
      <c r="L1135" s="14">
        <f t="shared" si="85"/>
        <v>0.98129999999999995</v>
      </c>
      <c r="M1135" s="14">
        <f t="shared" si="86"/>
        <v>0.98129999999999995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1033</v>
      </c>
    </row>
    <row r="1136" spans="1:18" hidden="1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>
        <v>100</v>
      </c>
      <c r="K1136" s="10">
        <v>99.85</v>
      </c>
      <c r="L1136" s="14">
        <f t="shared" si="85"/>
        <v>0.99849999999999994</v>
      </c>
      <c r="M1136" s="14">
        <f t="shared" si="86"/>
        <v>0.99849999999999994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2786</v>
      </c>
    </row>
    <row r="1137" spans="1:18" hidden="1" x14ac:dyDescent="0.3">
      <c r="A1137" s="5">
        <v>382</v>
      </c>
      <c r="B1137" s="5" t="s">
        <v>1031</v>
      </c>
      <c r="C1137" s="5" t="s">
        <v>1020</v>
      </c>
      <c r="D1137" s="5" t="s">
        <v>21</v>
      </c>
      <c r="E1137" s="5" t="s">
        <v>22</v>
      </c>
      <c r="F1137" s="71">
        <v>46022</v>
      </c>
      <c r="G1137" s="5">
        <v>2025</v>
      </c>
      <c r="H1137" s="5" t="s">
        <v>23</v>
      </c>
      <c r="I1137" s="6" t="s">
        <v>32</v>
      </c>
      <c r="J1137" s="5">
        <v>100</v>
      </c>
      <c r="K1137" s="5">
        <v>97.21</v>
      </c>
      <c r="L1137" s="14">
        <f t="shared" si="85"/>
        <v>0.97209999999999996</v>
      </c>
      <c r="M1137" s="14">
        <f t="shared" si="86"/>
        <v>0.97209999999999996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1034</v>
      </c>
    </row>
    <row r="1138" spans="1:18" hidden="1" x14ac:dyDescent="0.3">
      <c r="A1138" s="5">
        <v>383</v>
      </c>
      <c r="B1138" s="5" t="s">
        <v>1035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1512</v>
      </c>
      <c r="J1138" s="5">
        <v>100</v>
      </c>
      <c r="K1138" s="5">
        <v>109.38232994527</v>
      </c>
      <c r="L1138" s="74">
        <f t="shared" si="85"/>
        <v>1.0938232994527</v>
      </c>
      <c r="M1138" s="14">
        <f t="shared" si="86"/>
        <v>1.0938232994527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hidden="1" x14ac:dyDescent="0.3">
      <c r="A1139" s="5">
        <v>383</v>
      </c>
      <c r="B1139" s="5" t="s">
        <v>1035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148.66</v>
      </c>
      <c r="L1139" s="14">
        <f t="shared" si="85"/>
        <v>1.3</v>
      </c>
      <c r="M1139" s="14">
        <f t="shared" si="86"/>
        <v>1.4865999999999999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1036</v>
      </c>
    </row>
    <row r="1140" spans="1:18" hidden="1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100.2</v>
      </c>
      <c r="L1140" s="14">
        <f t="shared" si="85"/>
        <v>1.002</v>
      </c>
      <c r="M1140" s="14">
        <f t="shared" si="86"/>
        <v>1.002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hidden="1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120.71</v>
      </c>
      <c r="L1141" s="14">
        <f t="shared" si="85"/>
        <v>1.2070999999999998</v>
      </c>
      <c r="M1141" s="14">
        <f t="shared" si="86"/>
        <v>1.2070999999999998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1037</v>
      </c>
    </row>
    <row r="1142" spans="1:18" hidden="1" x14ac:dyDescent="0.3">
      <c r="A1142" s="5">
        <v>383</v>
      </c>
      <c r="B1142" s="5" t="s">
        <v>1035</v>
      </c>
      <c r="C1142" s="5" t="s">
        <v>1020</v>
      </c>
      <c r="D1142" s="5" t="s">
        <v>21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136.96</v>
      </c>
      <c r="L1142" s="14">
        <f t="shared" si="85"/>
        <v>1.3</v>
      </c>
      <c r="M1142" s="14">
        <f t="shared" si="86"/>
        <v>1.3696000000000002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hidden="1" x14ac:dyDescent="0.3">
      <c r="A1143" s="5">
        <v>383</v>
      </c>
      <c r="B1143" s="5" t="s">
        <v>1035</v>
      </c>
      <c r="C1143" s="5" t="s">
        <v>1020</v>
      </c>
      <c r="D1143" s="5" t="s">
        <v>21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127.87</v>
      </c>
      <c r="L1143" s="14">
        <f t="shared" si="85"/>
        <v>1.2786999999999999</v>
      </c>
      <c r="M1143" s="14">
        <f t="shared" si="86"/>
        <v>1.2786999999999999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1038</v>
      </c>
    </row>
    <row r="1144" spans="1:18" hidden="1" x14ac:dyDescent="0.3">
      <c r="A1144" s="5">
        <v>384</v>
      </c>
      <c r="B1144" s="5" t="s">
        <v>1039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111.76470588235</v>
      </c>
      <c r="L1144" s="14">
        <f t="shared" si="85"/>
        <v>1.1176470588234999</v>
      </c>
      <c r="M1144" s="14">
        <f t="shared" si="86"/>
        <v>1.1176470588234999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2790</v>
      </c>
    </row>
    <row r="1145" spans="1:18" hidden="1" x14ac:dyDescent="0.3">
      <c r="A1145" s="5">
        <v>384</v>
      </c>
      <c r="B1145" s="5" t="s">
        <v>1039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100</v>
      </c>
      <c r="K1145" s="5">
        <v>115.38</v>
      </c>
      <c r="L1145" s="14">
        <f t="shared" si="85"/>
        <v>1.1537999999999999</v>
      </c>
      <c r="M1145" s="14">
        <f t="shared" si="86"/>
        <v>1.1537999999999999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1040</v>
      </c>
    </row>
    <row r="1146" spans="1:18" hidden="1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100</v>
      </c>
      <c r="K1146" s="5">
        <v>102.2</v>
      </c>
      <c r="L1146" s="14">
        <f t="shared" si="85"/>
        <v>1.022</v>
      </c>
      <c r="M1146" s="14">
        <f t="shared" si="86"/>
        <v>1.022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2791</v>
      </c>
    </row>
    <row r="1147" spans="1:18" hidden="1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87.9</v>
      </c>
      <c r="L1147" s="14">
        <f t="shared" si="85"/>
        <v>0.879</v>
      </c>
      <c r="M1147" s="14">
        <f t="shared" si="86"/>
        <v>0.879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1041</v>
      </c>
    </row>
    <row r="1148" spans="1:18" hidden="1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45838</v>
      </c>
      <c r="G1148" s="5">
        <v>2025</v>
      </c>
      <c r="H1148" s="5" t="s">
        <v>699</v>
      </c>
      <c r="I1148" s="6" t="s">
        <v>700</v>
      </c>
      <c r="J1148" s="5">
        <v>100</v>
      </c>
      <c r="K1148" s="5">
        <v>103.23</v>
      </c>
      <c r="L1148" s="14">
        <f t="shared" si="85"/>
        <v>1.0323</v>
      </c>
      <c r="M1148" s="14">
        <f t="shared" si="86"/>
        <v>1.0323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hidden="1" x14ac:dyDescent="0.3">
      <c r="A1149" s="5">
        <v>384</v>
      </c>
      <c r="B1149" s="5" t="s">
        <v>1039</v>
      </c>
      <c r="C1149" s="5" t="s">
        <v>1020</v>
      </c>
      <c r="D1149" s="5" t="s">
        <v>21</v>
      </c>
      <c r="E1149" s="5" t="s">
        <v>22</v>
      </c>
      <c r="F1149" s="71">
        <v>46022</v>
      </c>
      <c r="G1149" s="5">
        <v>2025</v>
      </c>
      <c r="H1149" s="5" t="s">
        <v>23</v>
      </c>
      <c r="I1149" s="6" t="s">
        <v>32</v>
      </c>
      <c r="J1149" s="5">
        <v>100</v>
      </c>
      <c r="K1149" s="10">
        <v>100.93</v>
      </c>
      <c r="L1149" s="14">
        <f t="shared" si="85"/>
        <v>1.0093000000000001</v>
      </c>
      <c r="M1149" s="14">
        <f t="shared" si="86"/>
        <v>1.0093000000000001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1042</v>
      </c>
    </row>
    <row r="1150" spans="1:18" hidden="1" x14ac:dyDescent="0.3">
      <c r="A1150" s="5">
        <v>385</v>
      </c>
      <c r="B1150" s="5" t="s">
        <v>1043</v>
      </c>
      <c r="C1150" s="5" t="s">
        <v>1044</v>
      </c>
      <c r="D1150" s="5" t="s">
        <v>27</v>
      </c>
      <c r="E1150" s="5" t="s">
        <v>22</v>
      </c>
      <c r="F1150" s="71">
        <v>45107</v>
      </c>
      <c r="G1150" s="5">
        <v>2023</v>
      </c>
      <c r="H1150" s="5" t="s">
        <v>699</v>
      </c>
      <c r="I1150" s="6" t="s">
        <v>1512</v>
      </c>
      <c r="J1150" s="5">
        <v>100</v>
      </c>
      <c r="K1150" s="5">
        <v>102.98486566654</v>
      </c>
      <c r="L1150" s="14">
        <f t="shared" si="85"/>
        <v>1.0298486566653999</v>
      </c>
      <c r="M1150" s="14">
        <f t="shared" si="86"/>
        <v>1.0298486566653999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2793</v>
      </c>
    </row>
    <row r="1151" spans="1:18" hidden="1" x14ac:dyDescent="0.3">
      <c r="A1151" s="5">
        <v>385</v>
      </c>
      <c r="B1151" s="5" t="s">
        <v>1043</v>
      </c>
      <c r="C1151" s="5" t="s">
        <v>1044</v>
      </c>
      <c r="D1151" s="5" t="s">
        <v>27</v>
      </c>
      <c r="E1151" s="5" t="s">
        <v>22</v>
      </c>
      <c r="F1151" s="71">
        <v>45291</v>
      </c>
      <c r="G1151" s="5">
        <v>2023</v>
      </c>
      <c r="H1151" s="5" t="s">
        <v>23</v>
      </c>
      <c r="I1151" s="6" t="s">
        <v>28</v>
      </c>
      <c r="J1151" s="76">
        <v>100</v>
      </c>
      <c r="K1151" s="10">
        <v>124.93</v>
      </c>
      <c r="L1151" s="14">
        <f t="shared" si="85"/>
        <v>1.2493000000000001</v>
      </c>
      <c r="M1151" s="14">
        <f t="shared" si="86"/>
        <v>1.2493000000000001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1045</v>
      </c>
    </row>
    <row r="1152" spans="1:18" hidden="1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45473</v>
      </c>
      <c r="G1152" s="5">
        <v>2024</v>
      </c>
      <c r="H1152" s="5" t="s">
        <v>699</v>
      </c>
      <c r="I1152" s="6" t="s">
        <v>729</v>
      </c>
      <c r="J1152" s="5">
        <v>100</v>
      </c>
      <c r="K1152" s="9">
        <v>113.63</v>
      </c>
      <c r="L1152" s="14">
        <f t="shared" si="85"/>
        <v>1.1362999999999999</v>
      </c>
      <c r="M1152" s="14">
        <f t="shared" si="86"/>
        <v>1.1362999999999999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2794</v>
      </c>
    </row>
    <row r="1153" spans="1:18" hidden="1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45657</v>
      </c>
      <c r="G1153" s="5">
        <v>2024</v>
      </c>
      <c r="H1153" s="5" t="s">
        <v>23</v>
      </c>
      <c r="I1153" s="6" t="s">
        <v>30</v>
      </c>
      <c r="J1153" s="5">
        <v>100</v>
      </c>
      <c r="K1153" s="10">
        <v>88.56</v>
      </c>
      <c r="L1153" s="14">
        <f t="shared" si="85"/>
        <v>0.88560000000000005</v>
      </c>
      <c r="M1153" s="14">
        <f t="shared" si="86"/>
        <v>0.88560000000000005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1046</v>
      </c>
    </row>
    <row r="1154" spans="1:18" hidden="1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45838</v>
      </c>
      <c r="G1154" s="5">
        <v>2025</v>
      </c>
      <c r="H1154" s="5" t="s">
        <v>699</v>
      </c>
      <c r="I1154" s="6" t="s">
        <v>700</v>
      </c>
      <c r="J1154" s="5">
        <v>100</v>
      </c>
      <c r="K1154" s="11">
        <v>118.92</v>
      </c>
      <c r="L1154" s="14">
        <f t="shared" si="85"/>
        <v>1.1892</v>
      </c>
      <c r="M1154" s="14">
        <f t="shared" si="86"/>
        <v>1.1892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2795</v>
      </c>
    </row>
    <row r="1155" spans="1:18" hidden="1" x14ac:dyDescent="0.3">
      <c r="A1155" s="5">
        <v>385</v>
      </c>
      <c r="B1155" s="5" t="s">
        <v>1043</v>
      </c>
      <c r="C1155" s="5" t="s">
        <v>1044</v>
      </c>
      <c r="D1155" s="5" t="s">
        <v>21</v>
      </c>
      <c r="E1155" s="5" t="s">
        <v>22</v>
      </c>
      <c r="F1155" s="71">
        <v>46022</v>
      </c>
      <c r="G1155" s="5">
        <v>2025</v>
      </c>
      <c r="H1155" s="5" t="s">
        <v>23</v>
      </c>
      <c r="I1155" s="6" t="s">
        <v>32</v>
      </c>
      <c r="J1155" s="5">
        <v>100</v>
      </c>
      <c r="K1155" s="5">
        <v>108.89</v>
      </c>
      <c r="L1155" s="14">
        <f t="shared" si="85"/>
        <v>1.0889</v>
      </c>
      <c r="M1155" s="14">
        <f t="shared" si="86"/>
        <v>1.0889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1047</v>
      </c>
    </row>
    <row r="1156" spans="1:18" hidden="1" x14ac:dyDescent="0.3">
      <c r="A1156" s="5">
        <v>386</v>
      </c>
      <c r="B1156" s="5" t="s">
        <v>1048</v>
      </c>
      <c r="C1156" s="5" t="s">
        <v>1044</v>
      </c>
      <c r="D1156" s="5" t="s">
        <v>27</v>
      </c>
      <c r="E1156" s="5" t="s">
        <v>22</v>
      </c>
      <c r="F1156" s="71">
        <v>45107</v>
      </c>
      <c r="G1156" s="5">
        <v>2023</v>
      </c>
      <c r="H1156" s="5" t="s">
        <v>699</v>
      </c>
      <c r="I1156" s="6" t="s">
        <v>1512</v>
      </c>
      <c r="J1156" s="5">
        <v>100</v>
      </c>
      <c r="K1156" s="5">
        <v>102.98486566654</v>
      </c>
      <c r="L1156" s="14">
        <f t="shared" si="85"/>
        <v>1.0298486566653999</v>
      </c>
      <c r="M1156" s="14">
        <f t="shared" si="86"/>
        <v>1.0298486566653999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2796</v>
      </c>
    </row>
    <row r="1157" spans="1:18" hidden="1" x14ac:dyDescent="0.3">
      <c r="A1157" s="5">
        <v>386</v>
      </c>
      <c r="B1157" s="5" t="s">
        <v>1048</v>
      </c>
      <c r="C1157" s="5" t="s">
        <v>1044</v>
      </c>
      <c r="D1157" s="5" t="s">
        <v>27</v>
      </c>
      <c r="E1157" s="5" t="s">
        <v>22</v>
      </c>
      <c r="F1157" s="71">
        <v>45291</v>
      </c>
      <c r="G1157" s="5">
        <v>2023</v>
      </c>
      <c r="H1157" s="5" t="s">
        <v>23</v>
      </c>
      <c r="I1157" s="6" t="s">
        <v>28</v>
      </c>
      <c r="J1157" s="5">
        <v>100</v>
      </c>
      <c r="K1157" s="5">
        <v>138.22</v>
      </c>
      <c r="L1157" s="14">
        <f t="shared" si="85"/>
        <v>1.3</v>
      </c>
      <c r="M1157" s="14">
        <f t="shared" si="86"/>
        <v>1.3822000000000001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1049</v>
      </c>
    </row>
    <row r="1158" spans="1:18" hidden="1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45473</v>
      </c>
      <c r="G1158" s="5">
        <v>2024</v>
      </c>
      <c r="H1158" s="5" t="s">
        <v>699</v>
      </c>
      <c r="I1158" s="6" t="s">
        <v>729</v>
      </c>
      <c r="J1158" s="5">
        <v>100</v>
      </c>
      <c r="K1158" s="5">
        <v>113.63</v>
      </c>
      <c r="L1158" s="14">
        <f t="shared" ref="L1158:L1162" si="87">IFERROR(IF(OR(J1158=0,K1158=""),"",IF(E1158="Positivo",MIN(MAX(K1158/J1158,0),1.3),MIN(MAX(J1158/K1158,0),1.3))),"")</f>
        <v>1.1362999999999999</v>
      </c>
      <c r="M1158" s="14">
        <f t="shared" si="86"/>
        <v>1.1362999999999999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2797</v>
      </c>
    </row>
    <row r="1159" spans="1:18" hidden="1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45657</v>
      </c>
      <c r="G1159" s="5">
        <v>2024</v>
      </c>
      <c r="H1159" s="5" t="s">
        <v>23</v>
      </c>
      <c r="I1159" s="6" t="s">
        <v>30</v>
      </c>
      <c r="J1159" s="5">
        <v>100</v>
      </c>
      <c r="K1159" s="5">
        <v>75.010000000000005</v>
      </c>
      <c r="L1159" s="14">
        <f t="shared" si="87"/>
        <v>0.7501000000000001</v>
      </c>
      <c r="M1159" s="14">
        <f t="shared" si="86"/>
        <v>0.7501000000000001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1050</v>
      </c>
    </row>
    <row r="1160" spans="1:18" hidden="1" x14ac:dyDescent="0.3">
      <c r="A1160" s="26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45838</v>
      </c>
      <c r="G1160" s="5">
        <v>2025</v>
      </c>
      <c r="H1160" s="5" t="s">
        <v>699</v>
      </c>
      <c r="I1160" s="6" t="s">
        <v>700</v>
      </c>
      <c r="J1160" s="5">
        <v>100</v>
      </c>
      <c r="K1160" s="5">
        <v>118.92</v>
      </c>
      <c r="L1160" s="14">
        <f t="shared" si="87"/>
        <v>1.1892</v>
      </c>
      <c r="M1160" s="14">
        <f t="shared" si="86"/>
        <v>1.1892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2798</v>
      </c>
    </row>
    <row r="1161" spans="1:18" hidden="1" x14ac:dyDescent="0.3">
      <c r="A1161" s="5">
        <v>386</v>
      </c>
      <c r="B1161" s="5" t="s">
        <v>1048</v>
      </c>
      <c r="C1161" s="5" t="s">
        <v>1044</v>
      </c>
      <c r="D1161" s="5" t="s">
        <v>21</v>
      </c>
      <c r="E1161" s="5" t="s">
        <v>22</v>
      </c>
      <c r="F1161" s="71">
        <v>46022</v>
      </c>
      <c r="G1161" s="5">
        <v>2025</v>
      </c>
      <c r="H1161" s="5" t="s">
        <v>23</v>
      </c>
      <c r="I1161" s="6" t="s">
        <v>32</v>
      </c>
      <c r="J1161" s="5">
        <v>100</v>
      </c>
      <c r="K1161" s="10">
        <v>106.54</v>
      </c>
      <c r="L1161" s="14">
        <f t="shared" si="87"/>
        <v>1.0654000000000001</v>
      </c>
      <c r="M1161" s="14">
        <f t="shared" si="86"/>
        <v>1.0654000000000001</v>
      </c>
      <c r="N1161" s="5" t="s">
        <v>25</v>
      </c>
      <c r="O1161" s="5" t="s">
        <v>25</v>
      </c>
      <c r="P1161" s="5">
        <v>0</v>
      </c>
      <c r="Q1161" s="5">
        <v>0</v>
      </c>
      <c r="R1161" s="5" t="s">
        <v>1051</v>
      </c>
    </row>
    <row r="1162" spans="1:18" hidden="1" x14ac:dyDescent="0.3">
      <c r="A1162" s="5">
        <v>387</v>
      </c>
      <c r="B1162" s="5" t="s">
        <v>1052</v>
      </c>
      <c r="C1162" s="5" t="s">
        <v>549</v>
      </c>
      <c r="D1162" s="5" t="s">
        <v>27</v>
      </c>
      <c r="E1162" s="5" t="s">
        <v>22</v>
      </c>
      <c r="F1162" s="71">
        <v>45107</v>
      </c>
      <c r="G1162" s="5">
        <v>2023</v>
      </c>
      <c r="H1162" s="5" t="s">
        <v>699</v>
      </c>
      <c r="I1162" s="6" t="s">
        <v>1512</v>
      </c>
      <c r="J1162" s="5">
        <v>38</v>
      </c>
      <c r="K1162" s="5">
        <v>38</v>
      </c>
      <c r="L1162" s="14">
        <f t="shared" si="87"/>
        <v>1</v>
      </c>
      <c r="M1162" s="14">
        <f t="shared" si="86"/>
        <v>1</v>
      </c>
      <c r="N1162" s="5"/>
      <c r="O1162" s="5"/>
      <c r="P1162" s="5">
        <v>0</v>
      </c>
      <c r="Q1162" s="5">
        <v>0</v>
      </c>
      <c r="R1162" s="5" t="s">
        <v>2799</v>
      </c>
    </row>
    <row r="1163" spans="1:18" hidden="1" x14ac:dyDescent="0.3">
      <c r="A1163" s="5">
        <v>387</v>
      </c>
      <c r="B1163" s="5" t="s">
        <v>1052</v>
      </c>
      <c r="C1163" s="5" t="s">
        <v>549</v>
      </c>
      <c r="D1163" s="5" t="s">
        <v>27</v>
      </c>
      <c r="E1163" s="5" t="s">
        <v>22</v>
      </c>
      <c r="F1163" s="71">
        <v>45291</v>
      </c>
      <c r="G1163" s="5">
        <v>2023</v>
      </c>
      <c r="H1163" s="5" t="s">
        <v>23</v>
      </c>
      <c r="I1163" s="6" t="s">
        <v>28</v>
      </c>
      <c r="J1163" s="5"/>
      <c r="K1163" s="10"/>
      <c r="L1163" s="14"/>
      <c r="M1163" s="14"/>
      <c r="N1163" s="5"/>
      <c r="O1163" s="5"/>
      <c r="P1163" s="5">
        <v>0</v>
      </c>
      <c r="Q1163" s="5">
        <v>0</v>
      </c>
      <c r="R1163" s="5" t="s">
        <v>1053</v>
      </c>
    </row>
    <row r="1164" spans="1:18" hidden="1" x14ac:dyDescent="0.3">
      <c r="A1164" s="5">
        <v>388</v>
      </c>
      <c r="B1164" s="5" t="s">
        <v>1054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77</v>
      </c>
      <c r="K1164" s="5">
        <v>77</v>
      </c>
      <c r="L1164" s="14">
        <f t="shared" ref="L1164:L1169" si="88">IFERROR(IF(OR(J1164=0,K1164=""),"",IF(E1164="Positivo",MIN(MAX(K1164/J1164,0),1.3),MIN(MAX(J1164/K1164,0),1.3))),"")</f>
        <v>1</v>
      </c>
      <c r="M1164" s="14">
        <f t="shared" ref="M1164:M1169" si="89">IFERROR(IF(OR(J1164=0,K1164=""),"",IF(E1164="Positivo",MAX(K1164/J1164,0),MAX(J1164/K1164,0))),"")</f>
        <v>1</v>
      </c>
      <c r="N1164" s="5"/>
      <c r="O1164" s="5"/>
      <c r="P1164" s="5">
        <v>0</v>
      </c>
      <c r="Q1164" s="5">
        <v>0</v>
      </c>
      <c r="R1164" s="5" t="s">
        <v>2800</v>
      </c>
    </row>
    <row r="1165" spans="1:18" hidden="1" x14ac:dyDescent="0.3">
      <c r="A1165" s="5">
        <v>388</v>
      </c>
      <c r="B1165" s="5" t="s">
        <v>1054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16</v>
      </c>
      <c r="K1165" s="5">
        <v>16</v>
      </c>
      <c r="L1165" s="14">
        <f t="shared" si="88"/>
        <v>1</v>
      </c>
      <c r="M1165" s="14">
        <f t="shared" si="89"/>
        <v>1</v>
      </c>
      <c r="N1165" s="5"/>
      <c r="O1165" s="5"/>
      <c r="P1165" s="5">
        <v>0</v>
      </c>
      <c r="Q1165" s="5">
        <v>0</v>
      </c>
      <c r="R1165" s="5" t="s">
        <v>1055</v>
      </c>
    </row>
    <row r="1166" spans="1:18" hidden="1" x14ac:dyDescent="0.3">
      <c r="A1166" s="5">
        <v>389</v>
      </c>
      <c r="B1166" s="5" t="s">
        <v>1056</v>
      </c>
      <c r="C1166" s="5" t="s">
        <v>536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91</v>
      </c>
      <c r="K1166" s="5">
        <v>0</v>
      </c>
      <c r="L1166" s="14">
        <f t="shared" si="88"/>
        <v>0</v>
      </c>
      <c r="M1166" s="14">
        <f t="shared" si="89"/>
        <v>0</v>
      </c>
      <c r="N1166" s="5" t="s">
        <v>25</v>
      </c>
      <c r="O1166" s="5" t="s">
        <v>25</v>
      </c>
      <c r="P1166" s="5">
        <v>0</v>
      </c>
      <c r="Q1166" s="5">
        <v>0</v>
      </c>
      <c r="R1166" s="5" t="s">
        <v>2801</v>
      </c>
    </row>
    <row r="1167" spans="1:18" hidden="1" x14ac:dyDescent="0.3">
      <c r="A1167" s="5">
        <v>389</v>
      </c>
      <c r="B1167" s="5" t="s">
        <v>1056</v>
      </c>
      <c r="C1167" s="5" t="s">
        <v>536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91</v>
      </c>
      <c r="K1167" s="5">
        <v>0</v>
      </c>
      <c r="L1167" s="14">
        <f t="shared" si="88"/>
        <v>0</v>
      </c>
      <c r="M1167" s="14">
        <f t="shared" si="89"/>
        <v>0</v>
      </c>
      <c r="N1167" s="5" t="s">
        <v>25</v>
      </c>
      <c r="O1167" s="5" t="s">
        <v>25</v>
      </c>
      <c r="P1167" s="5">
        <v>0</v>
      </c>
      <c r="Q1167" s="5">
        <v>0</v>
      </c>
      <c r="R1167" s="5" t="s">
        <v>1057</v>
      </c>
    </row>
    <row r="1168" spans="1:18" hidden="1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85</v>
      </c>
      <c r="K1168" s="5">
        <v>84.433333333333323</v>
      </c>
      <c r="L1168" s="14">
        <f t="shared" si="88"/>
        <v>0.99333333333333318</v>
      </c>
      <c r="M1168" s="14">
        <f t="shared" si="89"/>
        <v>0.99333333333333318</v>
      </c>
      <c r="N1168" s="5"/>
      <c r="O1168" s="5"/>
      <c r="P1168" s="5">
        <v>0</v>
      </c>
      <c r="Q1168" s="5">
        <v>0</v>
      </c>
      <c r="R1168" s="5" t="s">
        <v>2802</v>
      </c>
    </row>
    <row r="1169" spans="1:18" hidden="1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85</v>
      </c>
      <c r="K1169" s="51">
        <v>0</v>
      </c>
      <c r="L1169" s="14">
        <f t="shared" si="88"/>
        <v>0</v>
      </c>
      <c r="M1169" s="14">
        <f t="shared" si="89"/>
        <v>0</v>
      </c>
      <c r="N1169" s="5"/>
      <c r="O1169" s="5"/>
      <c r="P1169" s="5">
        <v>0</v>
      </c>
      <c r="Q1169" s="5">
        <v>0</v>
      </c>
      <c r="R1169" s="5" t="s">
        <v>1058</v>
      </c>
    </row>
    <row r="1170" spans="1:18" hidden="1" x14ac:dyDescent="0.3">
      <c r="A1170" s="26">
        <v>389</v>
      </c>
      <c r="B1170" s="5" t="s">
        <v>1056</v>
      </c>
      <c r="C1170" s="5" t="s">
        <v>1059</v>
      </c>
      <c r="D1170" s="5" t="s">
        <v>21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/>
      <c r="K1170" s="5">
        <v>0</v>
      </c>
      <c r="L1170" s="8"/>
      <c r="M1170" s="14"/>
      <c r="N1170" s="5" t="s">
        <v>25</v>
      </c>
      <c r="O1170" s="5" t="s">
        <v>25</v>
      </c>
      <c r="P1170" s="5">
        <v>0</v>
      </c>
      <c r="Q1170" s="5">
        <v>0</v>
      </c>
      <c r="R1170" s="5" t="s">
        <v>2803</v>
      </c>
    </row>
    <row r="1171" spans="1:18" hidden="1" x14ac:dyDescent="0.3">
      <c r="A1171" s="5">
        <v>390</v>
      </c>
      <c r="B1171" s="5" t="s">
        <v>1061</v>
      </c>
      <c r="C1171" s="5" t="s">
        <v>567</v>
      </c>
      <c r="D1171" s="5" t="s">
        <v>21</v>
      </c>
      <c r="E1171" s="5" t="s">
        <v>22</v>
      </c>
      <c r="F1171" s="71">
        <v>45016</v>
      </c>
      <c r="G1171" s="5">
        <v>2023</v>
      </c>
      <c r="H1171" s="5" t="s">
        <v>1516</v>
      </c>
      <c r="I1171" s="6" t="s">
        <v>1512</v>
      </c>
      <c r="J1171" s="5">
        <v>100</v>
      </c>
      <c r="K1171" s="5">
        <v>0</v>
      </c>
      <c r="L1171" s="14">
        <f t="shared" ref="L1171:L1178" si="90">IFERROR(IF(OR(J1171=0,K1171=""),"",IF(E1171="Positivo",MIN(MAX(K1171/J1171,0),1),MIN(MAX(J1171/K1171,0),1))),"")</f>
        <v>0</v>
      </c>
      <c r="M1171" s="14">
        <f t="shared" ref="M1171:M1189" si="91">IFERROR(IF(OR(J1171=0,K1171=""),"",IF(E1171="Positivo",MAX(K1171/J1171,0),MAX(J1171/K1171,0))),"")</f>
        <v>0</v>
      </c>
      <c r="N1171" s="11"/>
      <c r="O1171" s="11"/>
      <c r="P1171" s="5">
        <v>0</v>
      </c>
      <c r="Q1171" s="5">
        <v>0</v>
      </c>
      <c r="R1171" s="5" t="s">
        <v>2804</v>
      </c>
    </row>
    <row r="1172" spans="1:18" hidden="1" x14ac:dyDescent="0.3">
      <c r="A1172" s="5">
        <v>390</v>
      </c>
      <c r="B1172" s="5" t="s">
        <v>1061</v>
      </c>
      <c r="C1172" s="5" t="s">
        <v>567</v>
      </c>
      <c r="D1172" s="5" t="s">
        <v>21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1512</v>
      </c>
      <c r="J1172" s="5">
        <v>100</v>
      </c>
      <c r="K1172" s="5">
        <v>110.38416666667</v>
      </c>
      <c r="L1172" s="14">
        <f t="shared" si="90"/>
        <v>1</v>
      </c>
      <c r="M1172" s="14">
        <f t="shared" si="91"/>
        <v>1.1038416666666999</v>
      </c>
      <c r="N1172" s="5"/>
      <c r="O1172" s="5"/>
      <c r="P1172" s="5">
        <v>0</v>
      </c>
      <c r="Q1172" s="5">
        <v>0</v>
      </c>
      <c r="R1172" s="5" t="s">
        <v>2805</v>
      </c>
    </row>
    <row r="1173" spans="1:18" hidden="1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45199</v>
      </c>
      <c r="G1173" s="5">
        <v>2023</v>
      </c>
      <c r="H1173" s="5" t="s">
        <v>162</v>
      </c>
      <c r="I1173" s="6" t="s">
        <v>28</v>
      </c>
      <c r="J1173" s="5">
        <v>100</v>
      </c>
      <c r="K1173" s="5">
        <v>95.344166666666993</v>
      </c>
      <c r="L1173" s="14">
        <f t="shared" si="90"/>
        <v>0.95344166666666996</v>
      </c>
      <c r="M1173" s="14">
        <f t="shared" si="91"/>
        <v>0.95344166666666996</v>
      </c>
      <c r="N1173" s="5"/>
      <c r="O1173" s="5"/>
      <c r="P1173" s="5">
        <v>0</v>
      </c>
      <c r="Q1173" s="5">
        <v>0</v>
      </c>
      <c r="R1173" s="5" t="s">
        <v>2806</v>
      </c>
    </row>
    <row r="1174" spans="1:18" hidden="1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45291</v>
      </c>
      <c r="G1174" s="5">
        <v>2023</v>
      </c>
      <c r="H1174" s="5" t="s">
        <v>23</v>
      </c>
      <c r="I1174" s="6" t="s">
        <v>28</v>
      </c>
      <c r="J1174" s="5">
        <v>100</v>
      </c>
      <c r="K1174" s="10">
        <v>99.249166666666994</v>
      </c>
      <c r="L1174" s="14">
        <f t="shared" si="90"/>
        <v>0.99249166666666999</v>
      </c>
      <c r="M1174" s="14">
        <f t="shared" si="91"/>
        <v>0.99249166666666999</v>
      </c>
      <c r="N1174" s="5"/>
      <c r="O1174" s="5"/>
      <c r="P1174" s="5">
        <v>0</v>
      </c>
      <c r="Q1174" s="5">
        <v>0</v>
      </c>
      <c r="R1174" s="5" t="s">
        <v>1062</v>
      </c>
    </row>
    <row r="1175" spans="1:18" hidden="1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45473</v>
      </c>
      <c r="G1175" s="5">
        <v>2024</v>
      </c>
      <c r="H1175" s="5" t="s">
        <v>699</v>
      </c>
      <c r="I1175" s="6" t="s">
        <v>729</v>
      </c>
      <c r="J1175" s="5">
        <v>100</v>
      </c>
      <c r="K1175" s="5">
        <v>110.59</v>
      </c>
      <c r="L1175" s="14">
        <f t="shared" si="90"/>
        <v>1</v>
      </c>
      <c r="M1175" s="14">
        <f t="shared" si="91"/>
        <v>1.1059000000000001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hidden="1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45657</v>
      </c>
      <c r="G1176" s="5">
        <v>2024</v>
      </c>
      <c r="H1176" s="5" t="s">
        <v>23</v>
      </c>
      <c r="I1176" s="6" t="s">
        <v>30</v>
      </c>
      <c r="J1176" s="5">
        <v>100</v>
      </c>
      <c r="K1176" s="5">
        <v>99.92</v>
      </c>
      <c r="L1176" s="14">
        <f t="shared" si="90"/>
        <v>0.99919999999999998</v>
      </c>
      <c r="M1176" s="14">
        <f t="shared" si="91"/>
        <v>0.99919999999999998</v>
      </c>
      <c r="N1176" s="5"/>
      <c r="O1176" s="5"/>
      <c r="P1176" s="5">
        <v>0</v>
      </c>
      <c r="Q1176" s="5">
        <v>0</v>
      </c>
      <c r="R1176" s="5" t="s">
        <v>1063</v>
      </c>
    </row>
    <row r="1177" spans="1:18" hidden="1" x14ac:dyDescent="0.3">
      <c r="A1177" s="5">
        <v>390</v>
      </c>
      <c r="B1177" s="5" t="s">
        <v>1061</v>
      </c>
      <c r="C1177" s="5" t="s">
        <v>567</v>
      </c>
      <c r="D1177" s="5" t="s">
        <v>27</v>
      </c>
      <c r="E1177" s="5" t="s">
        <v>22</v>
      </c>
      <c r="F1177" s="71">
        <v>45838</v>
      </c>
      <c r="G1177" s="5">
        <v>2025</v>
      </c>
      <c r="H1177" s="5" t="s">
        <v>699</v>
      </c>
      <c r="I1177" s="6" t="s">
        <v>700</v>
      </c>
      <c r="J1177" s="5">
        <v>100</v>
      </c>
      <c r="K1177" s="5">
        <v>103.55</v>
      </c>
      <c r="L1177" s="14">
        <f t="shared" si="90"/>
        <v>1</v>
      </c>
      <c r="M1177" s="14">
        <f t="shared" si="91"/>
        <v>1.0354999999999999</v>
      </c>
      <c r="N1177" s="5" t="s">
        <v>25</v>
      </c>
      <c r="O1177" s="5" t="s">
        <v>25</v>
      </c>
      <c r="P1177" s="5">
        <v>0</v>
      </c>
      <c r="Q1177" s="5">
        <v>0</v>
      </c>
      <c r="R1177" s="5" t="s">
        <v>2811</v>
      </c>
    </row>
    <row r="1178" spans="1:18" hidden="1" x14ac:dyDescent="0.3">
      <c r="A1178" s="5">
        <v>390</v>
      </c>
      <c r="B1178" s="5" t="s">
        <v>1061</v>
      </c>
      <c r="C1178" s="5" t="s">
        <v>567</v>
      </c>
      <c r="D1178" s="5" t="s">
        <v>27</v>
      </c>
      <c r="E1178" s="5" t="s">
        <v>22</v>
      </c>
      <c r="F1178" s="71">
        <v>46022</v>
      </c>
      <c r="G1178" s="5">
        <v>2025</v>
      </c>
      <c r="H1178" s="5" t="s">
        <v>23</v>
      </c>
      <c r="I1178" s="6" t="s">
        <v>32</v>
      </c>
      <c r="J1178" s="5">
        <v>100</v>
      </c>
      <c r="K1178" s="5">
        <v>99.78</v>
      </c>
      <c r="L1178" s="14">
        <f t="shared" si="90"/>
        <v>0.99780000000000002</v>
      </c>
      <c r="M1178" s="14">
        <f t="shared" si="91"/>
        <v>0.99780000000000002</v>
      </c>
      <c r="N1178" s="5" t="s">
        <v>25</v>
      </c>
      <c r="O1178" s="5" t="s">
        <v>25</v>
      </c>
      <c r="P1178" s="5">
        <v>0</v>
      </c>
      <c r="Q1178" s="5">
        <v>0</v>
      </c>
      <c r="R1178" s="5" t="s">
        <v>1064</v>
      </c>
    </row>
    <row r="1179" spans="1:18" hidden="1" x14ac:dyDescent="0.3">
      <c r="A1179" s="5">
        <v>391</v>
      </c>
      <c r="B1179" s="5" t="s">
        <v>1065</v>
      </c>
      <c r="C1179" s="5" t="s">
        <v>1066</v>
      </c>
      <c r="D1179" s="5" t="s">
        <v>27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1512</v>
      </c>
      <c r="J1179" s="5">
        <v>100</v>
      </c>
      <c r="K1179" s="10">
        <v>100</v>
      </c>
      <c r="L1179" s="14">
        <f t="shared" ref="L1179:L1189" si="92">IFERROR(IF(OR(J1179=0,K1179=""),"",IF(E1179="Positivo",MIN(MAX(K1179/J1179,0),1.3),MIN(MAX(J1179/K1179,0),1.3))),"")</f>
        <v>1</v>
      </c>
      <c r="M1179" s="14">
        <f t="shared" si="91"/>
        <v>1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hidden="1" x14ac:dyDescent="0.3">
      <c r="A1180" s="5">
        <v>391</v>
      </c>
      <c r="B1180" s="5" t="s">
        <v>1065</v>
      </c>
      <c r="C1180" s="5" t="s">
        <v>1066</v>
      </c>
      <c r="D1180" s="5" t="s">
        <v>27</v>
      </c>
      <c r="E1180" s="5" t="s">
        <v>22</v>
      </c>
      <c r="F1180" s="71">
        <v>45291</v>
      </c>
      <c r="G1180" s="5">
        <v>2023</v>
      </c>
      <c r="H1180" s="5" t="s">
        <v>23</v>
      </c>
      <c r="I1180" s="6" t="s">
        <v>28</v>
      </c>
      <c r="J1180" s="5">
        <v>100</v>
      </c>
      <c r="K1180" s="5">
        <v>100</v>
      </c>
      <c r="L1180" s="14">
        <f t="shared" si="92"/>
        <v>1</v>
      </c>
      <c r="M1180" s="14">
        <f t="shared" si="91"/>
        <v>1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1067</v>
      </c>
    </row>
    <row r="1181" spans="1:18" hidden="1" x14ac:dyDescent="0.3">
      <c r="A1181" s="28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45473</v>
      </c>
      <c r="G1181" s="5">
        <v>2024</v>
      </c>
      <c r="H1181" s="5" t="s">
        <v>699</v>
      </c>
      <c r="I1181" s="6" t="s">
        <v>729</v>
      </c>
      <c r="J1181" s="5">
        <v>96</v>
      </c>
      <c r="K1181" s="5">
        <v>100</v>
      </c>
      <c r="L1181" s="74">
        <f t="shared" si="92"/>
        <v>1.0416666666666667</v>
      </c>
      <c r="M1181" s="14">
        <f t="shared" si="91"/>
        <v>1.0416666666666667</v>
      </c>
      <c r="N1181" s="5"/>
      <c r="O1181" s="5"/>
      <c r="P1181" s="5">
        <v>0</v>
      </c>
      <c r="Q1181" s="5">
        <v>0</v>
      </c>
      <c r="R1181" s="5" t="s">
        <v>2814</v>
      </c>
    </row>
    <row r="1182" spans="1:18" hidden="1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45657</v>
      </c>
      <c r="G1182" s="5">
        <v>2024</v>
      </c>
      <c r="H1182" s="5" t="s">
        <v>23</v>
      </c>
      <c r="I1182" s="6" t="s">
        <v>30</v>
      </c>
      <c r="J1182" s="73">
        <v>96</v>
      </c>
      <c r="K1182" s="9">
        <v>100</v>
      </c>
      <c r="L1182" s="14">
        <f t="shared" si="92"/>
        <v>1.0416666666666667</v>
      </c>
      <c r="M1182" s="14">
        <f t="shared" si="91"/>
        <v>1.0416666666666667</v>
      </c>
      <c r="N1182" s="5"/>
      <c r="O1182" s="5"/>
      <c r="P1182" s="5">
        <v>0</v>
      </c>
      <c r="Q1182" s="5">
        <v>0</v>
      </c>
      <c r="R1182" s="5" t="s">
        <v>1068</v>
      </c>
    </row>
    <row r="1183" spans="1:18" hidden="1" x14ac:dyDescent="0.3">
      <c r="A1183" s="5">
        <v>392</v>
      </c>
      <c r="B1183" s="5" t="s">
        <v>1069</v>
      </c>
      <c r="C1183" s="5" t="s">
        <v>1066</v>
      </c>
      <c r="D1183" s="5" t="s">
        <v>27</v>
      </c>
      <c r="E1183" s="5" t="s">
        <v>22</v>
      </c>
      <c r="F1183" s="71">
        <v>45107</v>
      </c>
      <c r="G1183" s="5">
        <v>2023</v>
      </c>
      <c r="H1183" s="5" t="s">
        <v>699</v>
      </c>
      <c r="I1183" s="6" t="s">
        <v>1512</v>
      </c>
      <c r="J1183" s="5">
        <v>100</v>
      </c>
      <c r="K1183" s="5">
        <v>110.09198322581</v>
      </c>
      <c r="L1183" s="14">
        <f t="shared" si="92"/>
        <v>1.1009198322581</v>
      </c>
      <c r="M1183" s="14">
        <f t="shared" si="91"/>
        <v>1.1009198322581</v>
      </c>
      <c r="N1183" s="5"/>
      <c r="O1183" s="5"/>
      <c r="P1183" s="5">
        <v>0</v>
      </c>
      <c r="Q1183" s="5">
        <v>0</v>
      </c>
      <c r="R1183" s="5" t="s">
        <v>2815</v>
      </c>
    </row>
    <row r="1184" spans="1:18" hidden="1" x14ac:dyDescent="0.3">
      <c r="A1184" s="5">
        <v>392</v>
      </c>
      <c r="B1184" s="5" t="s">
        <v>1069</v>
      </c>
      <c r="C1184" s="5" t="s">
        <v>1066</v>
      </c>
      <c r="D1184" s="5" t="s">
        <v>27</v>
      </c>
      <c r="E1184" s="5" t="s">
        <v>22</v>
      </c>
      <c r="F1184" s="71">
        <v>45291</v>
      </c>
      <c r="G1184" s="5">
        <v>2023</v>
      </c>
      <c r="H1184" s="5" t="s">
        <v>23</v>
      </c>
      <c r="I1184" s="6" t="s">
        <v>28</v>
      </c>
      <c r="J1184" s="5">
        <v>100</v>
      </c>
      <c r="K1184" s="5">
        <v>147.38</v>
      </c>
      <c r="L1184" s="14">
        <f t="shared" si="92"/>
        <v>1.3</v>
      </c>
      <c r="M1184" s="14">
        <f t="shared" si="91"/>
        <v>1.4738</v>
      </c>
      <c r="N1184" s="5"/>
      <c r="O1184" s="5"/>
      <c r="P1184" s="5">
        <v>0</v>
      </c>
      <c r="Q1184" s="5">
        <v>0</v>
      </c>
      <c r="R1184" s="5" t="s">
        <v>1070</v>
      </c>
    </row>
    <row r="1185" spans="1:18" hidden="1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45473</v>
      </c>
      <c r="G1185" s="5">
        <v>2024</v>
      </c>
      <c r="H1185" s="5" t="s">
        <v>699</v>
      </c>
      <c r="I1185" s="6" t="s">
        <v>729</v>
      </c>
      <c r="J1185" s="5">
        <v>100</v>
      </c>
      <c r="K1185" s="5">
        <v>98.11</v>
      </c>
      <c r="L1185" s="14">
        <f t="shared" si="92"/>
        <v>0.98109999999999997</v>
      </c>
      <c r="M1185" s="14">
        <f t="shared" si="91"/>
        <v>0.98109999999999997</v>
      </c>
      <c r="N1185" s="5"/>
      <c r="O1185" s="5"/>
      <c r="P1185" s="5">
        <v>0</v>
      </c>
      <c r="Q1185" s="5">
        <v>0</v>
      </c>
      <c r="R1185" s="5" t="s">
        <v>2816</v>
      </c>
    </row>
    <row r="1186" spans="1:18" hidden="1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45657</v>
      </c>
      <c r="G1186" s="5">
        <v>2024</v>
      </c>
      <c r="H1186" s="5" t="s">
        <v>23</v>
      </c>
      <c r="I1186" s="6" t="s">
        <v>30</v>
      </c>
      <c r="J1186" s="5">
        <v>100</v>
      </c>
      <c r="K1186" s="5">
        <v>145.21</v>
      </c>
      <c r="L1186" s="14">
        <f t="shared" si="92"/>
        <v>1.3</v>
      </c>
      <c r="M1186" s="14">
        <f t="shared" si="91"/>
        <v>1.4521000000000002</v>
      </c>
      <c r="N1186" s="5"/>
      <c r="O1186" s="5"/>
      <c r="P1186" s="5">
        <v>0</v>
      </c>
      <c r="Q1186" s="5">
        <v>0</v>
      </c>
      <c r="R1186" s="5" t="s">
        <v>1071</v>
      </c>
    </row>
    <row r="1187" spans="1:18" hidden="1" x14ac:dyDescent="0.3">
      <c r="A1187" s="5">
        <v>392</v>
      </c>
      <c r="B1187" s="5" t="s">
        <v>1069</v>
      </c>
      <c r="C1187" s="5" t="s">
        <v>1066</v>
      </c>
      <c r="D1187" s="5" t="s">
        <v>71</v>
      </c>
      <c r="E1187" s="5" t="s">
        <v>22</v>
      </c>
      <c r="F1187" s="71">
        <v>46022</v>
      </c>
      <c r="G1187" s="5">
        <v>2025</v>
      </c>
      <c r="H1187" s="5" t="s">
        <v>23</v>
      </c>
      <c r="I1187" s="6" t="s">
        <v>32</v>
      </c>
      <c r="J1187" s="5">
        <v>100</v>
      </c>
      <c r="K1187" s="5">
        <v>100.8</v>
      </c>
      <c r="L1187" s="14">
        <f t="shared" si="92"/>
        <v>1.008</v>
      </c>
      <c r="M1187" s="14">
        <f t="shared" si="91"/>
        <v>1.008</v>
      </c>
      <c r="N1187" s="5" t="s">
        <v>205</v>
      </c>
      <c r="O1187" s="5" t="s">
        <v>205</v>
      </c>
      <c r="P1187" s="5">
        <v>0</v>
      </c>
      <c r="Q1187" s="5">
        <v>0</v>
      </c>
      <c r="R1187" s="5" t="s">
        <v>1072</v>
      </c>
    </row>
    <row r="1188" spans="1:18" hidden="1" x14ac:dyDescent="0.3">
      <c r="A1188" s="5">
        <v>393</v>
      </c>
      <c r="B1188" s="5" t="s">
        <v>1073</v>
      </c>
      <c r="C1188" s="5" t="s">
        <v>1066</v>
      </c>
      <c r="D1188" s="5" t="s">
        <v>71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15</v>
      </c>
      <c r="K1188" s="5">
        <v>15.45</v>
      </c>
      <c r="L1188" s="14">
        <f t="shared" si="92"/>
        <v>1.03</v>
      </c>
      <c r="M1188" s="14">
        <f t="shared" si="91"/>
        <v>1.03</v>
      </c>
      <c r="N1188" s="5"/>
      <c r="O1188" s="5"/>
      <c r="P1188" s="5">
        <v>1</v>
      </c>
      <c r="Q1188" s="5">
        <v>1</v>
      </c>
      <c r="R1188" s="5" t="s">
        <v>1074</v>
      </c>
    </row>
    <row r="1189" spans="1:18" hidden="1" x14ac:dyDescent="0.3">
      <c r="A1189" s="5">
        <v>393</v>
      </c>
      <c r="B1189" s="5" t="s">
        <v>1073</v>
      </c>
      <c r="C1189" s="5" t="s">
        <v>1066</v>
      </c>
      <c r="D1189" s="5" t="s">
        <v>71</v>
      </c>
      <c r="E1189" s="5" t="s">
        <v>41</v>
      </c>
      <c r="F1189" s="71">
        <v>45657</v>
      </c>
      <c r="G1189" s="5">
        <v>2024</v>
      </c>
      <c r="H1189" s="5" t="s">
        <v>23</v>
      </c>
      <c r="I1189" s="6" t="s">
        <v>30</v>
      </c>
      <c r="J1189" s="5">
        <v>15</v>
      </c>
      <c r="K1189" s="5">
        <v>13</v>
      </c>
      <c r="L1189" s="14">
        <f t="shared" si="92"/>
        <v>1.1538461538461537</v>
      </c>
      <c r="M1189" s="14">
        <f t="shared" si="91"/>
        <v>1.1538461538461537</v>
      </c>
      <c r="N1189" s="5"/>
      <c r="O1189" s="5"/>
      <c r="P1189" s="5">
        <v>0</v>
      </c>
      <c r="Q1189" s="5">
        <v>0</v>
      </c>
      <c r="R1189" s="5" t="s">
        <v>1075</v>
      </c>
    </row>
    <row r="1190" spans="1:18" hidden="1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41</v>
      </c>
      <c r="F1190" s="71">
        <v>46022</v>
      </c>
      <c r="G1190" s="5">
        <v>2025</v>
      </c>
      <c r="H1190" s="5" t="s">
        <v>23</v>
      </c>
      <c r="I1190" s="6" t="s">
        <v>32</v>
      </c>
      <c r="J1190" s="5"/>
      <c r="K1190" s="5">
        <v>12</v>
      </c>
      <c r="L1190" s="14"/>
      <c r="M1190" s="14"/>
      <c r="N1190" s="5" t="s">
        <v>128</v>
      </c>
      <c r="O1190" s="5" t="s">
        <v>136</v>
      </c>
      <c r="P1190" s="5">
        <v>1</v>
      </c>
      <c r="Q1190" s="5">
        <v>1</v>
      </c>
      <c r="R1190" s="5" t="s">
        <v>1076</v>
      </c>
    </row>
    <row r="1191" spans="1:18" hidden="1" x14ac:dyDescent="0.3">
      <c r="A1191" s="5">
        <v>394</v>
      </c>
      <c r="B1191" s="5" t="s">
        <v>1077</v>
      </c>
      <c r="C1191" s="5" t="s">
        <v>1078</v>
      </c>
      <c r="D1191" s="5" t="s">
        <v>27</v>
      </c>
      <c r="E1191" s="5" t="s">
        <v>22</v>
      </c>
      <c r="F1191" s="71">
        <v>45107</v>
      </c>
      <c r="G1191" s="5">
        <v>2023</v>
      </c>
      <c r="H1191" s="5" t="s">
        <v>699</v>
      </c>
      <c r="I1191" s="6" t="s">
        <v>1512</v>
      </c>
      <c r="J1191" s="5">
        <v>100</v>
      </c>
      <c r="K1191" s="5">
        <v>275.42857142857002</v>
      </c>
      <c r="L1191" s="14">
        <f t="shared" ref="L1191:L1236" si="93">IFERROR(IF(OR(J1191=0,K1191=""),"",IF(E1191="Positivo",MIN(MAX(K1191/J1191,0),1.3),MIN(MAX(J1191/K1191,0),1.3))),"")</f>
        <v>1.3</v>
      </c>
      <c r="M1191" s="14">
        <f t="shared" ref="M1191:M1236" si="94">IFERROR(IF(OR(J1191=0,K1191=""),"",IF(E1191="Positivo",MAX(K1191/J1191,0),MAX(J1191/K1191,0))),"")</f>
        <v>2.7542857142857002</v>
      </c>
      <c r="N1191" s="5" t="s">
        <v>128</v>
      </c>
      <c r="O1191" s="5" t="s">
        <v>128</v>
      </c>
      <c r="P1191" s="5">
        <v>0</v>
      </c>
      <c r="Q1191" s="5">
        <v>0</v>
      </c>
      <c r="R1191" s="5" t="s">
        <v>2818</v>
      </c>
    </row>
    <row r="1192" spans="1:18" hidden="1" x14ac:dyDescent="0.3">
      <c r="A1192" s="5">
        <v>394</v>
      </c>
      <c r="B1192" s="5" t="s">
        <v>1077</v>
      </c>
      <c r="C1192" s="5" t="s">
        <v>1078</v>
      </c>
      <c r="D1192" s="5" t="s">
        <v>27</v>
      </c>
      <c r="E1192" s="5" t="s">
        <v>22</v>
      </c>
      <c r="F1192" s="71">
        <v>45291</v>
      </c>
      <c r="G1192" s="5">
        <v>2023</v>
      </c>
      <c r="H1192" s="5" t="s">
        <v>23</v>
      </c>
      <c r="I1192" s="6" t="s">
        <v>28</v>
      </c>
      <c r="J1192" s="5">
        <v>100</v>
      </c>
      <c r="K1192" s="5">
        <v>349.71</v>
      </c>
      <c r="L1192" s="14">
        <f t="shared" si="93"/>
        <v>1.3</v>
      </c>
      <c r="M1192" s="14">
        <f t="shared" si="94"/>
        <v>3.4970999999999997</v>
      </c>
      <c r="N1192" s="5" t="s">
        <v>128</v>
      </c>
      <c r="O1192" s="5" t="s">
        <v>128</v>
      </c>
      <c r="P1192" s="5">
        <v>0</v>
      </c>
      <c r="Q1192" s="5">
        <v>0</v>
      </c>
      <c r="R1192" s="5" t="s">
        <v>1079</v>
      </c>
    </row>
    <row r="1193" spans="1:18" hidden="1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45473</v>
      </c>
      <c r="G1193" s="5">
        <v>2024</v>
      </c>
      <c r="H1193" s="5" t="s">
        <v>699</v>
      </c>
      <c r="I1193" s="6" t="s">
        <v>729</v>
      </c>
      <c r="J1193" s="5">
        <v>100</v>
      </c>
      <c r="K1193" s="5">
        <v>118.6</v>
      </c>
      <c r="L1193" s="14">
        <f t="shared" si="93"/>
        <v>1.1859999999999999</v>
      </c>
      <c r="M1193" s="14">
        <f t="shared" si="94"/>
        <v>1.1859999999999999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2821</v>
      </c>
    </row>
    <row r="1194" spans="1:18" hidden="1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45657</v>
      </c>
      <c r="G1194" s="5">
        <v>2024</v>
      </c>
      <c r="H1194" s="5" t="s">
        <v>23</v>
      </c>
      <c r="I1194" s="6" t="s">
        <v>30</v>
      </c>
      <c r="J1194" s="5">
        <v>100</v>
      </c>
      <c r="K1194" s="10">
        <v>192</v>
      </c>
      <c r="L1194" s="14">
        <f t="shared" si="93"/>
        <v>1.3</v>
      </c>
      <c r="M1194" s="14">
        <f t="shared" si="94"/>
        <v>1.92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1080</v>
      </c>
    </row>
    <row r="1195" spans="1:18" hidden="1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45838</v>
      </c>
      <c r="G1195" s="5">
        <v>2025</v>
      </c>
      <c r="H1195" s="5" t="s">
        <v>699</v>
      </c>
      <c r="I1195" s="6" t="s">
        <v>700</v>
      </c>
      <c r="J1195" s="5">
        <v>100</v>
      </c>
      <c r="K1195" s="5">
        <v>162.18</v>
      </c>
      <c r="L1195" s="14">
        <f t="shared" si="93"/>
        <v>1.3</v>
      </c>
      <c r="M1195" s="14">
        <f t="shared" si="94"/>
        <v>1.6218000000000001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2824</v>
      </c>
    </row>
    <row r="1196" spans="1:18" hidden="1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46022</v>
      </c>
      <c r="G1196" s="5">
        <v>2025</v>
      </c>
      <c r="H1196" s="5" t="s">
        <v>23</v>
      </c>
      <c r="I1196" s="6" t="s">
        <v>32</v>
      </c>
      <c r="J1196" s="5">
        <v>100</v>
      </c>
      <c r="K1196" s="5">
        <v>114.605</v>
      </c>
      <c r="L1196" s="14">
        <f t="shared" si="93"/>
        <v>1.14605</v>
      </c>
      <c r="M1196" s="14">
        <f t="shared" si="94"/>
        <v>1.14605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1081</v>
      </c>
    </row>
    <row r="1197" spans="1:18" hidden="1" x14ac:dyDescent="0.3">
      <c r="A1197" s="5">
        <v>395</v>
      </c>
      <c r="B1197" s="5" t="s">
        <v>1082</v>
      </c>
      <c r="C1197" s="5" t="s">
        <v>1078</v>
      </c>
      <c r="D1197" s="5" t="s">
        <v>27</v>
      </c>
      <c r="E1197" s="5" t="s">
        <v>22</v>
      </c>
      <c r="F1197" s="71">
        <v>45107</v>
      </c>
      <c r="G1197" s="5">
        <v>2023</v>
      </c>
      <c r="H1197" s="5" t="s">
        <v>699</v>
      </c>
      <c r="I1197" s="6" t="s">
        <v>1512</v>
      </c>
      <c r="J1197" s="5">
        <v>100</v>
      </c>
      <c r="K1197" s="11">
        <v>294.11764705882001</v>
      </c>
      <c r="L1197" s="14">
        <f t="shared" si="93"/>
        <v>1.3</v>
      </c>
      <c r="M1197" s="14">
        <f t="shared" si="94"/>
        <v>2.9411764705882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2827</v>
      </c>
    </row>
    <row r="1198" spans="1:18" hidden="1" x14ac:dyDescent="0.3">
      <c r="A1198" s="5">
        <v>395</v>
      </c>
      <c r="B1198" s="5" t="s">
        <v>1082</v>
      </c>
      <c r="C1198" s="5" t="s">
        <v>1078</v>
      </c>
      <c r="D1198" s="5" t="s">
        <v>27</v>
      </c>
      <c r="E1198" s="5" t="s">
        <v>22</v>
      </c>
      <c r="F1198" s="71">
        <v>45291</v>
      </c>
      <c r="G1198" s="5">
        <v>2023</v>
      </c>
      <c r="H1198" s="5" t="s">
        <v>23</v>
      </c>
      <c r="I1198" s="6" t="s">
        <v>28</v>
      </c>
      <c r="J1198" s="5">
        <v>100</v>
      </c>
      <c r="K1198" s="5">
        <v>266.67</v>
      </c>
      <c r="L1198" s="14">
        <f t="shared" si="93"/>
        <v>1.3</v>
      </c>
      <c r="M1198" s="14">
        <f t="shared" si="94"/>
        <v>2.6667000000000001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1083</v>
      </c>
    </row>
    <row r="1199" spans="1:18" hidden="1" x14ac:dyDescent="0.3">
      <c r="A1199" s="26">
        <v>395</v>
      </c>
      <c r="B1199" s="5" t="s">
        <v>1084</v>
      </c>
      <c r="C1199" s="5" t="s">
        <v>1078</v>
      </c>
      <c r="D1199" s="5" t="s">
        <v>27</v>
      </c>
      <c r="E1199" s="5" t="s">
        <v>22</v>
      </c>
      <c r="F1199" s="71">
        <v>45473</v>
      </c>
      <c r="G1199" s="5">
        <v>2024</v>
      </c>
      <c r="H1199" s="5" t="s">
        <v>699</v>
      </c>
      <c r="I1199" s="6" t="s">
        <v>729</v>
      </c>
      <c r="J1199" s="5">
        <v>100</v>
      </c>
      <c r="K1199" s="5">
        <v>110</v>
      </c>
      <c r="L1199" s="74">
        <f t="shared" si="93"/>
        <v>1.1000000000000001</v>
      </c>
      <c r="M1199" s="14">
        <f t="shared" si="94"/>
        <v>1.1000000000000001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hidden="1" x14ac:dyDescent="0.3">
      <c r="A1200" s="26">
        <v>395</v>
      </c>
      <c r="B1200" s="5" t="s">
        <v>1084</v>
      </c>
      <c r="C1200" s="5" t="s">
        <v>1078</v>
      </c>
      <c r="D1200" s="5" t="s">
        <v>27</v>
      </c>
      <c r="E1200" s="5" t="s">
        <v>22</v>
      </c>
      <c r="F1200" s="71">
        <v>45657</v>
      </c>
      <c r="G1200" s="5">
        <v>2024</v>
      </c>
      <c r="H1200" s="5" t="s">
        <v>23</v>
      </c>
      <c r="I1200" s="6" t="s">
        <v>30</v>
      </c>
      <c r="J1200" s="5">
        <v>100</v>
      </c>
      <c r="K1200" s="9">
        <v>148.88999999999999</v>
      </c>
      <c r="L1200" s="74">
        <f t="shared" si="93"/>
        <v>1.3</v>
      </c>
      <c r="M1200" s="14">
        <f t="shared" si="94"/>
        <v>1.4888999999999999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1085</v>
      </c>
    </row>
    <row r="1201" spans="1:18" hidden="1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45838</v>
      </c>
      <c r="G1201" s="5">
        <v>2025</v>
      </c>
      <c r="H1201" s="5" t="s">
        <v>699</v>
      </c>
      <c r="I1201" s="6" t="s">
        <v>700</v>
      </c>
      <c r="J1201" s="5">
        <v>100</v>
      </c>
      <c r="K1201" s="10">
        <v>226.625</v>
      </c>
      <c r="L1201" s="14">
        <f t="shared" si="93"/>
        <v>1.3</v>
      </c>
      <c r="M1201" s="14">
        <f t="shared" si="94"/>
        <v>2.2662499999999999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2832</v>
      </c>
    </row>
    <row r="1202" spans="1:18" hidden="1" x14ac:dyDescent="0.3">
      <c r="A1202" s="5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46022</v>
      </c>
      <c r="G1202" s="5">
        <v>2025</v>
      </c>
      <c r="H1202" s="5" t="s">
        <v>23</v>
      </c>
      <c r="I1202" s="6" t="s">
        <v>32</v>
      </c>
      <c r="J1202" s="73">
        <v>100</v>
      </c>
      <c r="K1202" s="9">
        <v>182.20500000000001</v>
      </c>
      <c r="L1202" s="14">
        <f t="shared" si="93"/>
        <v>1.3</v>
      </c>
      <c r="M1202" s="14">
        <f t="shared" si="94"/>
        <v>1.8220500000000002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1086</v>
      </c>
    </row>
    <row r="1203" spans="1:18" hidden="1" x14ac:dyDescent="0.3">
      <c r="A1203" s="5">
        <v>396</v>
      </c>
      <c r="B1203" s="5" t="s">
        <v>1087</v>
      </c>
      <c r="C1203" s="5" t="s">
        <v>1066</v>
      </c>
      <c r="D1203" s="5" t="s">
        <v>27</v>
      </c>
      <c r="E1203" s="5" t="s">
        <v>22</v>
      </c>
      <c r="F1203" s="71">
        <v>45107</v>
      </c>
      <c r="G1203" s="5">
        <v>2023</v>
      </c>
      <c r="H1203" s="5" t="s">
        <v>699</v>
      </c>
      <c r="I1203" s="6" t="s">
        <v>1512</v>
      </c>
      <c r="J1203" s="5">
        <v>80</v>
      </c>
      <c r="K1203" s="10">
        <v>91.07</v>
      </c>
      <c r="L1203" s="14">
        <f t="shared" si="93"/>
        <v>1.1383749999999999</v>
      </c>
      <c r="M1203" s="14">
        <f t="shared" si="94"/>
        <v>1.1383749999999999</v>
      </c>
      <c r="N1203" s="5" t="s">
        <v>25</v>
      </c>
      <c r="O1203" s="5" t="s">
        <v>25</v>
      </c>
      <c r="P1203" s="5">
        <v>0</v>
      </c>
      <c r="Q1203" s="5">
        <v>1</v>
      </c>
      <c r="R1203" s="5" t="s">
        <v>3256</v>
      </c>
    </row>
    <row r="1204" spans="1:18" hidden="1" x14ac:dyDescent="0.3">
      <c r="A1204" s="5">
        <v>396</v>
      </c>
      <c r="B1204" s="5" t="s">
        <v>1087</v>
      </c>
      <c r="C1204" s="5" t="s">
        <v>1066</v>
      </c>
      <c r="D1204" s="5" t="s">
        <v>27</v>
      </c>
      <c r="E1204" s="5" t="s">
        <v>22</v>
      </c>
      <c r="F1204" s="71">
        <v>45291</v>
      </c>
      <c r="G1204" s="5">
        <v>2023</v>
      </c>
      <c r="H1204" s="5" t="s">
        <v>23</v>
      </c>
      <c r="I1204" s="6" t="s">
        <v>28</v>
      </c>
      <c r="J1204" s="5">
        <v>80</v>
      </c>
      <c r="K1204" s="5">
        <v>92.96</v>
      </c>
      <c r="L1204" s="14">
        <f t="shared" si="93"/>
        <v>1.1619999999999999</v>
      </c>
      <c r="M1204" s="14">
        <f t="shared" si="94"/>
        <v>1.1619999999999999</v>
      </c>
      <c r="N1204" s="5" t="s">
        <v>25</v>
      </c>
      <c r="O1204" s="5" t="s">
        <v>25</v>
      </c>
      <c r="P1204" s="5">
        <v>0</v>
      </c>
      <c r="Q1204" s="5">
        <v>1</v>
      </c>
      <c r="R1204" s="5" t="s">
        <v>1088</v>
      </c>
    </row>
    <row r="1205" spans="1:18" hidden="1" x14ac:dyDescent="0.3">
      <c r="A1205" s="26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45473</v>
      </c>
      <c r="G1205" s="5">
        <v>2024</v>
      </c>
      <c r="H1205" s="5" t="s">
        <v>699</v>
      </c>
      <c r="I1205" s="6" t="s">
        <v>729</v>
      </c>
      <c r="J1205" s="5">
        <v>80</v>
      </c>
      <c r="K1205" s="48">
        <v>88.08</v>
      </c>
      <c r="L1205" s="74">
        <f t="shared" si="93"/>
        <v>1.101</v>
      </c>
      <c r="M1205" s="14">
        <f t="shared" si="94"/>
        <v>1.101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1090</v>
      </c>
    </row>
    <row r="1206" spans="1:18" hidden="1" x14ac:dyDescent="0.3">
      <c r="A1206" s="26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45657</v>
      </c>
      <c r="G1206" s="5">
        <v>2024</v>
      </c>
      <c r="H1206" s="5" t="s">
        <v>23</v>
      </c>
      <c r="I1206" s="6" t="s">
        <v>30</v>
      </c>
      <c r="J1206" s="5">
        <v>80</v>
      </c>
      <c r="K1206" s="5">
        <v>94.88</v>
      </c>
      <c r="L1206" s="74">
        <f t="shared" si="93"/>
        <v>1.1859999999999999</v>
      </c>
      <c r="M1206" s="14">
        <f t="shared" si="94"/>
        <v>1.1859999999999999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3257</v>
      </c>
    </row>
    <row r="1207" spans="1:18" hidden="1" x14ac:dyDescent="0.3">
      <c r="A1207" s="26">
        <v>397</v>
      </c>
      <c r="B1207" s="5" t="s">
        <v>1094</v>
      </c>
      <c r="C1207" s="5" t="s">
        <v>1089</v>
      </c>
      <c r="D1207" s="5" t="s">
        <v>27</v>
      </c>
      <c r="E1207" s="5" t="s">
        <v>22</v>
      </c>
      <c r="F1207" s="71">
        <v>45107</v>
      </c>
      <c r="G1207" s="5">
        <v>2023</v>
      </c>
      <c r="H1207" s="5" t="s">
        <v>699</v>
      </c>
      <c r="I1207" s="6" t="s">
        <v>1512</v>
      </c>
      <c r="J1207" s="5">
        <v>80</v>
      </c>
      <c r="K1207" s="10">
        <v>91.071428571428996</v>
      </c>
      <c r="L1207" s="74">
        <f t="shared" si="93"/>
        <v>1.1383928571428625</v>
      </c>
      <c r="M1207" s="14">
        <f t="shared" si="94"/>
        <v>1.1383928571428625</v>
      </c>
      <c r="N1207" s="5" t="s">
        <v>25</v>
      </c>
      <c r="O1207" s="5" t="s">
        <v>25</v>
      </c>
      <c r="P1207" s="5">
        <v>1</v>
      </c>
      <c r="Q1207" s="5">
        <v>1</v>
      </c>
      <c r="R1207" s="5" t="s">
        <v>2834</v>
      </c>
    </row>
    <row r="1208" spans="1:18" hidden="1" x14ac:dyDescent="0.3">
      <c r="A1208" s="5">
        <v>397</v>
      </c>
      <c r="B1208" t="s">
        <v>1094</v>
      </c>
      <c r="C1208" s="5" t="s">
        <v>1089</v>
      </c>
      <c r="D1208" s="5" t="s">
        <v>27</v>
      </c>
      <c r="E1208" s="5" t="s">
        <v>22</v>
      </c>
      <c r="F1208" s="71">
        <v>45291</v>
      </c>
      <c r="G1208" s="5">
        <v>2023</v>
      </c>
      <c r="H1208" s="5" t="s">
        <v>23</v>
      </c>
      <c r="I1208" s="6" t="s">
        <v>28</v>
      </c>
      <c r="J1208" s="5">
        <v>80</v>
      </c>
      <c r="K1208" s="5">
        <v>92.96</v>
      </c>
      <c r="L1208" s="14">
        <f t="shared" si="93"/>
        <v>1.1619999999999999</v>
      </c>
      <c r="M1208" s="14">
        <f t="shared" si="94"/>
        <v>1.1619999999999999</v>
      </c>
      <c r="N1208" s="5" t="s">
        <v>25</v>
      </c>
      <c r="O1208" s="5" t="s">
        <v>25</v>
      </c>
      <c r="P1208" s="5">
        <v>1</v>
      </c>
      <c r="Q1208" s="5">
        <v>1</v>
      </c>
      <c r="R1208" s="5" t="s">
        <v>1092</v>
      </c>
    </row>
    <row r="1209" spans="1:18" hidden="1" x14ac:dyDescent="0.3">
      <c r="A1209" s="5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45473</v>
      </c>
      <c r="G1209" s="5">
        <v>2024</v>
      </c>
      <c r="H1209" s="5" t="s">
        <v>699</v>
      </c>
      <c r="I1209" s="6" t="s">
        <v>729</v>
      </c>
      <c r="J1209" s="5">
        <v>80</v>
      </c>
      <c r="K1209" s="5">
        <v>88.08</v>
      </c>
      <c r="L1209" s="14">
        <f t="shared" si="93"/>
        <v>1.101</v>
      </c>
      <c r="M1209" s="14">
        <f t="shared" si="94"/>
        <v>1.101</v>
      </c>
      <c r="N1209" s="5" t="s">
        <v>25</v>
      </c>
      <c r="O1209" s="5" t="s">
        <v>25</v>
      </c>
      <c r="P1209" s="5">
        <v>0</v>
      </c>
      <c r="Q1209" s="5">
        <v>0</v>
      </c>
      <c r="R1209" s="5" t="s">
        <v>2835</v>
      </c>
    </row>
    <row r="1210" spans="1:18" hidden="1" x14ac:dyDescent="0.3">
      <c r="A1210" s="5">
        <v>397</v>
      </c>
      <c r="B1210" s="5" t="s">
        <v>1094</v>
      </c>
      <c r="C1210" s="5" t="s">
        <v>1089</v>
      </c>
      <c r="D1210" s="5" t="s">
        <v>27</v>
      </c>
      <c r="E1210" s="5" t="s">
        <v>22</v>
      </c>
      <c r="F1210" s="71">
        <v>45657</v>
      </c>
      <c r="G1210" s="5">
        <v>2024</v>
      </c>
      <c r="H1210" s="5" t="s">
        <v>23</v>
      </c>
      <c r="I1210" s="6" t="s">
        <v>30</v>
      </c>
      <c r="J1210" s="5">
        <v>80</v>
      </c>
      <c r="K1210" s="5">
        <v>94.88</v>
      </c>
      <c r="L1210" s="14">
        <f t="shared" si="93"/>
        <v>1.1859999999999999</v>
      </c>
      <c r="M1210" s="14">
        <f t="shared" si="94"/>
        <v>1.1859999999999999</v>
      </c>
      <c r="N1210" s="5" t="s">
        <v>25</v>
      </c>
      <c r="O1210" s="5" t="s">
        <v>25</v>
      </c>
      <c r="P1210" s="5">
        <v>0</v>
      </c>
      <c r="Q1210" s="5">
        <v>0</v>
      </c>
      <c r="R1210" s="5" t="s">
        <v>1093</v>
      </c>
    </row>
    <row r="1211" spans="1:18" hidden="1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45838</v>
      </c>
      <c r="G1211" s="5">
        <v>2025</v>
      </c>
      <c r="H1211" s="5" t="s">
        <v>699</v>
      </c>
      <c r="I1211" s="6" t="s">
        <v>700</v>
      </c>
      <c r="J1211" s="5">
        <v>90</v>
      </c>
      <c r="K1211" s="10">
        <v>95.26</v>
      </c>
      <c r="L1211" s="14">
        <f t="shared" si="93"/>
        <v>1.0584444444444445</v>
      </c>
      <c r="M1211" s="14">
        <f t="shared" si="94"/>
        <v>1.0584444444444445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2836</v>
      </c>
    </row>
    <row r="1212" spans="1:18" hidden="1" x14ac:dyDescent="0.3">
      <c r="A1212" s="5">
        <v>397</v>
      </c>
      <c r="B1212" s="5" t="s">
        <v>1094</v>
      </c>
      <c r="C1212" s="5" t="s">
        <v>1089</v>
      </c>
      <c r="D1212" s="5" t="s">
        <v>21</v>
      </c>
      <c r="E1212" s="5" t="s">
        <v>22</v>
      </c>
      <c r="F1212" s="71">
        <v>46022</v>
      </c>
      <c r="G1212" s="5">
        <v>2025</v>
      </c>
      <c r="H1212" s="5" t="s">
        <v>23</v>
      </c>
      <c r="I1212" s="6" t="s">
        <v>32</v>
      </c>
      <c r="J1212" s="5">
        <v>90</v>
      </c>
      <c r="K1212" s="5">
        <v>96.14</v>
      </c>
      <c r="L1212" s="14">
        <f t="shared" si="93"/>
        <v>1.0682222222222222</v>
      </c>
      <c r="M1212" s="14">
        <f t="shared" si="94"/>
        <v>1.0682222222222222</v>
      </c>
      <c r="N1212" s="5" t="s">
        <v>25</v>
      </c>
      <c r="O1212" s="5" t="s">
        <v>25</v>
      </c>
      <c r="P1212" s="5">
        <v>0</v>
      </c>
      <c r="Q1212" s="5">
        <v>1</v>
      </c>
      <c r="R1212" s="5" t="s">
        <v>1095</v>
      </c>
    </row>
    <row r="1213" spans="1:18" hidden="1" x14ac:dyDescent="0.3">
      <c r="A1213" s="5">
        <v>398</v>
      </c>
      <c r="B1213" s="5" t="s">
        <v>1096</v>
      </c>
      <c r="C1213" s="5" t="s">
        <v>1097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1512</v>
      </c>
      <c r="J1213" s="5">
        <v>100</v>
      </c>
      <c r="K1213" s="5">
        <v>256.8</v>
      </c>
      <c r="L1213" s="14">
        <f t="shared" si="93"/>
        <v>1.3</v>
      </c>
      <c r="M1213" s="14">
        <f t="shared" si="94"/>
        <v>2.5680000000000001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2837</v>
      </c>
    </row>
    <row r="1214" spans="1:18" hidden="1" x14ac:dyDescent="0.3">
      <c r="A1214" s="5">
        <v>398</v>
      </c>
      <c r="B1214" s="5" t="s">
        <v>1096</v>
      </c>
      <c r="C1214" s="5" t="s">
        <v>1097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234.4</v>
      </c>
      <c r="L1214" s="14">
        <f t="shared" si="93"/>
        <v>1.3</v>
      </c>
      <c r="M1214" s="14">
        <f t="shared" si="94"/>
        <v>2.3439999999999999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1098</v>
      </c>
    </row>
    <row r="1215" spans="1:18" hidden="1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283.92</v>
      </c>
      <c r="L1215" s="14">
        <f t="shared" si="93"/>
        <v>1.3</v>
      </c>
      <c r="M1215" s="14">
        <f t="shared" si="94"/>
        <v>2.8391999999999999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2838</v>
      </c>
    </row>
    <row r="1216" spans="1:18" hidden="1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160</v>
      </c>
      <c r="L1216" s="14">
        <f t="shared" si="93"/>
        <v>1.3</v>
      </c>
      <c r="M1216" s="14">
        <f t="shared" si="94"/>
        <v>1.6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1099</v>
      </c>
    </row>
    <row r="1217" spans="1:18" hidden="1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159.5</v>
      </c>
      <c r="L1217" s="14">
        <f t="shared" si="93"/>
        <v>1.3</v>
      </c>
      <c r="M1217" s="14">
        <f t="shared" si="94"/>
        <v>1.595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2839</v>
      </c>
    </row>
    <row r="1218" spans="1:18" hidden="1" x14ac:dyDescent="0.3">
      <c r="A1218" s="5">
        <v>398</v>
      </c>
      <c r="B1218" s="5" t="s">
        <v>1096</v>
      </c>
      <c r="C1218" s="5" t="s">
        <v>1097</v>
      </c>
      <c r="D1218" s="5" t="s">
        <v>21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168.71</v>
      </c>
      <c r="L1218" s="14">
        <f t="shared" si="93"/>
        <v>1.3</v>
      </c>
      <c r="M1218" s="14">
        <f t="shared" si="94"/>
        <v>1.6871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1100</v>
      </c>
    </row>
    <row r="1219" spans="1:18" hidden="1" x14ac:dyDescent="0.3">
      <c r="A1219" s="5">
        <v>399</v>
      </c>
      <c r="B1219" s="5" t="s">
        <v>2840</v>
      </c>
      <c r="C1219" s="5" t="s">
        <v>1097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1512</v>
      </c>
      <c r="J1219" s="5">
        <v>100</v>
      </c>
      <c r="K1219" s="5">
        <v>117.8</v>
      </c>
      <c r="L1219" s="14">
        <f t="shared" si="93"/>
        <v>1.1779999999999999</v>
      </c>
      <c r="M1219" s="14">
        <f t="shared" si="94"/>
        <v>1.1779999999999999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hidden="1" x14ac:dyDescent="0.3">
      <c r="A1220">
        <v>399</v>
      </c>
      <c r="B1220" t="s">
        <v>2840</v>
      </c>
      <c r="C1220" t="s">
        <v>1097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149</v>
      </c>
      <c r="L1220" s="39">
        <f t="shared" si="93"/>
        <v>1.3</v>
      </c>
      <c r="M1220" s="39">
        <f t="shared" si="94"/>
        <v>1.49</v>
      </c>
      <c r="N1220" t="s">
        <v>128</v>
      </c>
      <c r="O1220" t="s">
        <v>128</v>
      </c>
      <c r="P1220">
        <v>0</v>
      </c>
      <c r="Q1220">
        <v>0</v>
      </c>
      <c r="R1220" t="s">
        <v>1102</v>
      </c>
    </row>
    <row r="1221" spans="1:18" hidden="1" x14ac:dyDescent="0.3">
      <c r="A1221">
        <v>399</v>
      </c>
      <c r="B1221" t="s">
        <v>1101</v>
      </c>
      <c r="C1221" t="s">
        <v>1097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111.36</v>
      </c>
      <c r="L1221" s="39">
        <f t="shared" si="93"/>
        <v>1.1135999999999999</v>
      </c>
      <c r="M1221" s="39">
        <f t="shared" si="94"/>
        <v>1.1135999999999999</v>
      </c>
      <c r="N1221" t="s">
        <v>128</v>
      </c>
      <c r="O1221" t="s">
        <v>128</v>
      </c>
      <c r="P1221">
        <v>0</v>
      </c>
      <c r="Q1221">
        <v>0</v>
      </c>
      <c r="R1221" t="s">
        <v>2842</v>
      </c>
    </row>
    <row r="1222" spans="1:18" hidden="1" x14ac:dyDescent="0.3">
      <c r="A1222">
        <v>399</v>
      </c>
      <c r="B1222" t="s">
        <v>1101</v>
      </c>
      <c r="C1222" t="s">
        <v>1097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111.36</v>
      </c>
      <c r="L1222" s="39">
        <f t="shared" si="93"/>
        <v>1.1135999999999999</v>
      </c>
      <c r="M1222" s="39">
        <f t="shared" si="94"/>
        <v>1.1135999999999999</v>
      </c>
      <c r="N1222" t="s">
        <v>128</v>
      </c>
      <c r="O1222" t="s">
        <v>128</v>
      </c>
      <c r="P1222">
        <v>0</v>
      </c>
      <c r="Q1222">
        <v>0</v>
      </c>
      <c r="R1222" t="s">
        <v>1103</v>
      </c>
    </row>
    <row r="1223" spans="1:18" hidden="1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102.93</v>
      </c>
      <c r="L1223" s="39">
        <f t="shared" si="93"/>
        <v>1.0293000000000001</v>
      </c>
      <c r="M1223" s="39">
        <f t="shared" si="94"/>
        <v>1.0293000000000001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hidden="1" x14ac:dyDescent="0.3">
      <c r="A1224">
        <v>399</v>
      </c>
      <c r="B1224" t="s">
        <v>1101</v>
      </c>
      <c r="C1224" t="s">
        <v>1097</v>
      </c>
      <c r="D1224" t="s">
        <v>21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106.13</v>
      </c>
      <c r="L1224" s="39">
        <f t="shared" si="93"/>
        <v>1.0612999999999999</v>
      </c>
      <c r="M1224" s="39">
        <f t="shared" si="94"/>
        <v>1.0612999999999999</v>
      </c>
      <c r="N1224" t="s">
        <v>128</v>
      </c>
      <c r="O1224" t="s">
        <v>128</v>
      </c>
      <c r="P1224">
        <v>0</v>
      </c>
      <c r="Q1224">
        <v>0</v>
      </c>
      <c r="R1224" t="s">
        <v>1104</v>
      </c>
    </row>
    <row r="1225" spans="1:18" hidden="1" x14ac:dyDescent="0.3">
      <c r="A1225">
        <v>400</v>
      </c>
      <c r="B1225" t="s">
        <v>1105</v>
      </c>
      <c r="C1225" t="s">
        <v>1097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1512</v>
      </c>
      <c r="J1225">
        <v>100</v>
      </c>
      <c r="K1225">
        <v>220</v>
      </c>
      <c r="L1225" s="39">
        <f t="shared" si="93"/>
        <v>1.3</v>
      </c>
      <c r="M1225" s="39">
        <f t="shared" si="94"/>
        <v>2.2000000000000002</v>
      </c>
      <c r="N1225" t="s">
        <v>128</v>
      </c>
      <c r="O1225" t="s">
        <v>128</v>
      </c>
      <c r="P1225">
        <v>0</v>
      </c>
      <c r="Q1225">
        <v>0</v>
      </c>
      <c r="R1225" t="s">
        <v>2844</v>
      </c>
    </row>
    <row r="1226" spans="1:18" hidden="1" x14ac:dyDescent="0.3">
      <c r="A1226">
        <v>400</v>
      </c>
      <c r="B1226" t="s">
        <v>1105</v>
      </c>
      <c r="C1226" t="s">
        <v>1097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100</v>
      </c>
      <c r="K1226">
        <v>282.86</v>
      </c>
      <c r="L1226" s="39">
        <f t="shared" si="93"/>
        <v>1.3</v>
      </c>
      <c r="M1226" s="39">
        <f t="shared" si="94"/>
        <v>2.8286000000000002</v>
      </c>
      <c r="N1226" t="s">
        <v>128</v>
      </c>
      <c r="O1226" t="s">
        <v>128</v>
      </c>
      <c r="P1226">
        <v>0</v>
      </c>
      <c r="Q1226">
        <v>0</v>
      </c>
      <c r="R1226" t="s">
        <v>1106</v>
      </c>
    </row>
    <row r="1227" spans="1:18" hidden="1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100</v>
      </c>
      <c r="K1227">
        <v>270.45</v>
      </c>
      <c r="L1227" s="39">
        <f t="shared" si="93"/>
        <v>1.3</v>
      </c>
      <c r="M1227" s="39">
        <f t="shared" si="94"/>
        <v>2.7044999999999999</v>
      </c>
      <c r="N1227" t="s">
        <v>128</v>
      </c>
      <c r="O1227" t="s">
        <v>128</v>
      </c>
      <c r="P1227">
        <v>0</v>
      </c>
      <c r="Q1227">
        <v>0</v>
      </c>
      <c r="R1227" t="s">
        <v>2845</v>
      </c>
    </row>
    <row r="1228" spans="1:18" hidden="1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100</v>
      </c>
      <c r="K1228">
        <v>397.73</v>
      </c>
      <c r="L1228" s="39">
        <f t="shared" si="93"/>
        <v>1.3</v>
      </c>
      <c r="M1228" s="39">
        <f t="shared" si="94"/>
        <v>3.9773000000000001</v>
      </c>
      <c r="N1228" t="s">
        <v>128</v>
      </c>
      <c r="O1228" t="s">
        <v>128</v>
      </c>
      <c r="P1228">
        <v>0</v>
      </c>
      <c r="Q1228">
        <v>0</v>
      </c>
      <c r="R1228" t="s">
        <v>1107</v>
      </c>
    </row>
    <row r="1229" spans="1:18" hidden="1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45838</v>
      </c>
      <c r="G1229">
        <v>2025</v>
      </c>
      <c r="H1229" t="s">
        <v>699</v>
      </c>
      <c r="I1229" t="s">
        <v>700</v>
      </c>
      <c r="J1229">
        <v>100</v>
      </c>
      <c r="K1229">
        <v>123</v>
      </c>
      <c r="L1229" s="39">
        <f t="shared" si="93"/>
        <v>1.23</v>
      </c>
      <c r="M1229" s="39">
        <f t="shared" si="94"/>
        <v>1.23</v>
      </c>
      <c r="N1229" t="s">
        <v>128</v>
      </c>
      <c r="O1229" t="s">
        <v>128</v>
      </c>
      <c r="P1229">
        <v>0</v>
      </c>
      <c r="Q1229">
        <v>0</v>
      </c>
      <c r="R1229" t="s">
        <v>2846</v>
      </c>
    </row>
    <row r="1230" spans="1:18" hidden="1" x14ac:dyDescent="0.3">
      <c r="A1230">
        <v>400</v>
      </c>
      <c r="B1230" t="s">
        <v>1105</v>
      </c>
      <c r="C1230" t="s">
        <v>1097</v>
      </c>
      <c r="D1230" t="s">
        <v>21</v>
      </c>
      <c r="E1230" t="s">
        <v>22</v>
      </c>
      <c r="F1230" s="79">
        <v>46022</v>
      </c>
      <c r="G1230">
        <v>2025</v>
      </c>
      <c r="H1230" t="s">
        <v>23</v>
      </c>
      <c r="I1230" t="s">
        <v>32</v>
      </c>
      <c r="J1230">
        <v>100</v>
      </c>
      <c r="K1230">
        <v>127.14</v>
      </c>
      <c r="L1230" s="39">
        <f t="shared" si="93"/>
        <v>1.2714000000000001</v>
      </c>
      <c r="M1230" s="39">
        <f t="shared" si="94"/>
        <v>1.2714000000000001</v>
      </c>
      <c r="N1230" t="s">
        <v>128</v>
      </c>
      <c r="O1230" t="s">
        <v>128</v>
      </c>
      <c r="P1230">
        <v>0</v>
      </c>
      <c r="Q1230">
        <v>0</v>
      </c>
      <c r="R1230" t="s">
        <v>1108</v>
      </c>
    </row>
    <row r="1231" spans="1:18" hidden="1" x14ac:dyDescent="0.3">
      <c r="A1231">
        <v>401</v>
      </c>
      <c r="B1231" t="s">
        <v>1109</v>
      </c>
      <c r="C1231" t="s">
        <v>1110</v>
      </c>
      <c r="D1231" t="s">
        <v>27</v>
      </c>
      <c r="E1231" t="s">
        <v>22</v>
      </c>
      <c r="F1231" s="79">
        <v>45107</v>
      </c>
      <c r="G1231">
        <v>2023</v>
      </c>
      <c r="H1231" t="s">
        <v>699</v>
      </c>
      <c r="I1231" t="s">
        <v>1512</v>
      </c>
      <c r="J1231">
        <v>90</v>
      </c>
      <c r="K1231">
        <v>87.5</v>
      </c>
      <c r="L1231" s="39">
        <f t="shared" si="93"/>
        <v>0.97222222222222221</v>
      </c>
      <c r="M1231" s="39">
        <f t="shared" si="94"/>
        <v>0.97222222222222221</v>
      </c>
      <c r="N1231" t="s">
        <v>128</v>
      </c>
      <c r="O1231" t="s">
        <v>128</v>
      </c>
      <c r="P1231">
        <v>0</v>
      </c>
      <c r="Q1231">
        <v>0</v>
      </c>
      <c r="R1231" t="s">
        <v>2847</v>
      </c>
    </row>
    <row r="1232" spans="1:18" hidden="1" x14ac:dyDescent="0.3">
      <c r="A1232">
        <v>401</v>
      </c>
      <c r="B1232" t="s">
        <v>1109</v>
      </c>
      <c r="C1232" t="s">
        <v>1110</v>
      </c>
      <c r="D1232" t="s">
        <v>27</v>
      </c>
      <c r="E1232" t="s">
        <v>22</v>
      </c>
      <c r="F1232" s="79">
        <v>45291</v>
      </c>
      <c r="G1232">
        <v>2023</v>
      </c>
      <c r="H1232" t="s">
        <v>23</v>
      </c>
      <c r="I1232" t="s">
        <v>28</v>
      </c>
      <c r="J1232">
        <v>90</v>
      </c>
      <c r="K1232">
        <v>125</v>
      </c>
      <c r="L1232" s="39">
        <f t="shared" si="93"/>
        <v>1.3</v>
      </c>
      <c r="M1232" s="39">
        <f t="shared" si="94"/>
        <v>1.3888888888888888</v>
      </c>
      <c r="N1232" t="s">
        <v>128</v>
      </c>
      <c r="O1232" t="s">
        <v>128</v>
      </c>
      <c r="P1232">
        <v>0</v>
      </c>
      <c r="Q1232">
        <v>0</v>
      </c>
      <c r="R1232" t="s">
        <v>1111</v>
      </c>
    </row>
    <row r="1233" spans="1:19" hidden="1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45473</v>
      </c>
      <c r="G1233">
        <v>2024</v>
      </c>
      <c r="H1233" t="s">
        <v>699</v>
      </c>
      <c r="I1233" t="s">
        <v>729</v>
      </c>
      <c r="J1233">
        <v>90</v>
      </c>
      <c r="K1233">
        <v>112.5</v>
      </c>
      <c r="L1233" s="39">
        <f t="shared" si="93"/>
        <v>1.25</v>
      </c>
      <c r="M1233" s="39">
        <f t="shared" si="94"/>
        <v>1.25</v>
      </c>
      <c r="N1233" t="s">
        <v>128</v>
      </c>
      <c r="O1233" t="s">
        <v>128</v>
      </c>
      <c r="P1233">
        <v>0</v>
      </c>
      <c r="Q1233">
        <v>0</v>
      </c>
      <c r="R1233" t="s">
        <v>2848</v>
      </c>
    </row>
    <row r="1234" spans="1:19" hidden="1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45657</v>
      </c>
      <c r="G1234">
        <v>2024</v>
      </c>
      <c r="H1234" t="s">
        <v>23</v>
      </c>
      <c r="I1234" t="s">
        <v>30</v>
      </c>
      <c r="J1234">
        <v>90</v>
      </c>
      <c r="K1234">
        <v>100</v>
      </c>
      <c r="L1234" s="39">
        <f t="shared" si="93"/>
        <v>1.1111111111111112</v>
      </c>
      <c r="M1234" s="39">
        <f t="shared" si="94"/>
        <v>1.1111111111111112</v>
      </c>
      <c r="N1234" t="s">
        <v>128</v>
      </c>
      <c r="O1234" t="s">
        <v>128</v>
      </c>
      <c r="P1234">
        <v>0</v>
      </c>
      <c r="Q1234">
        <v>0</v>
      </c>
      <c r="R1234" t="s">
        <v>1112</v>
      </c>
    </row>
    <row r="1235" spans="1:19" hidden="1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45838</v>
      </c>
      <c r="G1235">
        <v>2025</v>
      </c>
      <c r="H1235" t="s">
        <v>699</v>
      </c>
      <c r="I1235" t="s">
        <v>700</v>
      </c>
      <c r="J1235">
        <v>100</v>
      </c>
      <c r="K1235">
        <v>100</v>
      </c>
      <c r="L1235" s="39">
        <f t="shared" si="93"/>
        <v>1</v>
      </c>
      <c r="M1235" s="39">
        <f t="shared" si="94"/>
        <v>1</v>
      </c>
      <c r="N1235" t="s">
        <v>128</v>
      </c>
      <c r="O1235" t="s">
        <v>128</v>
      </c>
      <c r="P1235">
        <v>0</v>
      </c>
      <c r="Q1235">
        <v>0</v>
      </c>
      <c r="R1235" t="s">
        <v>2849</v>
      </c>
    </row>
    <row r="1236" spans="1:19" hidden="1" x14ac:dyDescent="0.3">
      <c r="A1236">
        <v>401</v>
      </c>
      <c r="B1236" t="s">
        <v>1109</v>
      </c>
      <c r="C1236" t="s">
        <v>1110</v>
      </c>
      <c r="D1236" t="s">
        <v>21</v>
      </c>
      <c r="E1236" t="s">
        <v>22</v>
      </c>
      <c r="F1236" s="79">
        <v>46022</v>
      </c>
      <c r="G1236">
        <v>2025</v>
      </c>
      <c r="H1236" t="s">
        <v>23</v>
      </c>
      <c r="I1236" t="s">
        <v>32</v>
      </c>
      <c r="J1236">
        <v>100</v>
      </c>
      <c r="K1236">
        <v>100</v>
      </c>
      <c r="L1236" s="39">
        <f t="shared" si="93"/>
        <v>1</v>
      </c>
      <c r="M1236" s="39">
        <f t="shared" si="94"/>
        <v>1</v>
      </c>
      <c r="N1236" t="s">
        <v>128</v>
      </c>
      <c r="O1236" t="s">
        <v>128</v>
      </c>
      <c r="P1236">
        <v>0</v>
      </c>
      <c r="Q1236">
        <v>0</v>
      </c>
      <c r="R1236" t="s">
        <v>1113</v>
      </c>
    </row>
    <row r="1237" spans="1:19" hidden="1" x14ac:dyDescent="0.3">
      <c r="A1237">
        <v>402</v>
      </c>
      <c r="B1237" t="s">
        <v>1114</v>
      </c>
      <c r="C1237" t="s">
        <v>1110</v>
      </c>
      <c r="D1237" t="s">
        <v>71</v>
      </c>
      <c r="E1237" t="s">
        <v>22</v>
      </c>
      <c r="F1237" s="79">
        <v>45291</v>
      </c>
      <c r="G1237">
        <v>2023</v>
      </c>
      <c r="H1237" t="s">
        <v>23</v>
      </c>
      <c r="I1237" t="s">
        <v>28</v>
      </c>
      <c r="K1237">
        <v>21000</v>
      </c>
      <c r="L1237" s="39"/>
      <c r="M1237" s="39"/>
      <c r="P1237">
        <v>0</v>
      </c>
      <c r="Q1237">
        <v>0</v>
      </c>
      <c r="R1237" t="s">
        <v>1115</v>
      </c>
    </row>
    <row r="1238" spans="1:19" hidden="1" x14ac:dyDescent="0.3">
      <c r="A1238">
        <v>402</v>
      </c>
      <c r="B1238" t="s">
        <v>1114</v>
      </c>
      <c r="C1238" t="s">
        <v>1110</v>
      </c>
      <c r="D1238" t="s">
        <v>71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3</v>
      </c>
      <c r="K1238">
        <v>4.76</v>
      </c>
      <c r="L1238" s="39">
        <f>IFERROR(IF(OR(J1238=0,K1238=""),"",IF(E1238="Positivo",MIN(MAX(K1238/J1238,0),1.3),MIN(MAX(J1238/K1238,0),1.3))),"")</f>
        <v>1.3</v>
      </c>
      <c r="M1238" s="39">
        <f>IFERROR(IF(OR(J1238=0,K1238=""),"",IF(E1238="Positivo",MAX(K1238/J1238,0),MAX(J1238/K1238,0))),"")</f>
        <v>1.5866666666666667</v>
      </c>
      <c r="P1238">
        <v>0</v>
      </c>
      <c r="Q1238">
        <v>0</v>
      </c>
      <c r="R1238" t="s">
        <v>1116</v>
      </c>
    </row>
    <row r="1239" spans="1:19" hidden="1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46022</v>
      </c>
      <c r="G1239">
        <v>2025</v>
      </c>
      <c r="H1239" t="s">
        <v>23</v>
      </c>
      <c r="I1239" t="s">
        <v>32</v>
      </c>
      <c r="K1239">
        <v>22.73</v>
      </c>
      <c r="L1239" s="39"/>
      <c r="M1239" s="39"/>
      <c r="N1239" t="s">
        <v>128</v>
      </c>
      <c r="O1239" t="s">
        <v>128</v>
      </c>
      <c r="P1239">
        <v>0</v>
      </c>
      <c r="Q1239">
        <v>0</v>
      </c>
      <c r="R1239" t="s">
        <v>1117</v>
      </c>
    </row>
    <row r="1240" spans="1:19" hidden="1" x14ac:dyDescent="0.3">
      <c r="A1240">
        <v>403</v>
      </c>
      <c r="B1240" t="s">
        <v>1118</v>
      </c>
      <c r="C1240" t="s">
        <v>1110</v>
      </c>
      <c r="D1240" t="s">
        <v>27</v>
      </c>
      <c r="E1240" t="s">
        <v>22</v>
      </c>
      <c r="F1240" s="79">
        <v>45107</v>
      </c>
      <c r="G1240">
        <v>2023</v>
      </c>
      <c r="H1240" t="s">
        <v>699</v>
      </c>
      <c r="I1240" t="s">
        <v>1512</v>
      </c>
      <c r="K1240">
        <v>14370</v>
      </c>
      <c r="L1240" s="39"/>
      <c r="M1240" s="39"/>
      <c r="N1240" t="s">
        <v>263</v>
      </c>
      <c r="P1240">
        <v>0</v>
      </c>
      <c r="Q1240">
        <v>0</v>
      </c>
      <c r="R1240" t="s">
        <v>2850</v>
      </c>
    </row>
    <row r="1241" spans="1:19" hidden="1" x14ac:dyDescent="0.3">
      <c r="A1241">
        <v>403</v>
      </c>
      <c r="B1241" t="s">
        <v>1118</v>
      </c>
      <c r="C1241" t="s">
        <v>1110</v>
      </c>
      <c r="D1241" t="s">
        <v>27</v>
      </c>
      <c r="E1241" t="s">
        <v>22</v>
      </c>
      <c r="F1241" s="79">
        <v>45291</v>
      </c>
      <c r="G1241">
        <v>2023</v>
      </c>
      <c r="H1241" t="s">
        <v>23</v>
      </c>
      <c r="I1241" t="s">
        <v>28</v>
      </c>
      <c r="K1241">
        <v>28639</v>
      </c>
      <c r="L1241" s="39"/>
      <c r="M1241" s="39"/>
      <c r="N1241" t="s">
        <v>263</v>
      </c>
      <c r="P1241">
        <v>0</v>
      </c>
      <c r="Q1241">
        <v>0</v>
      </c>
      <c r="R1241" t="s">
        <v>1119</v>
      </c>
    </row>
    <row r="1242" spans="1:19" hidden="1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45473</v>
      </c>
      <c r="G1242">
        <v>2024</v>
      </c>
      <c r="H1242" t="s">
        <v>699</v>
      </c>
      <c r="I1242" t="s">
        <v>729</v>
      </c>
      <c r="K1242">
        <v>14923</v>
      </c>
      <c r="L1242" s="39"/>
      <c r="M1242" s="39"/>
      <c r="N1242" t="s">
        <v>263</v>
      </c>
      <c r="P1242">
        <v>0</v>
      </c>
      <c r="Q1242">
        <v>0</v>
      </c>
      <c r="R1242" t="s">
        <v>2851</v>
      </c>
    </row>
    <row r="1243" spans="1:19" hidden="1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45657</v>
      </c>
      <c r="G1243">
        <v>2024</v>
      </c>
      <c r="H1243" t="s">
        <v>23</v>
      </c>
      <c r="I1243" t="s">
        <v>30</v>
      </c>
      <c r="K1243">
        <v>14495</v>
      </c>
      <c r="L1243" s="39"/>
      <c r="M1243" s="39"/>
      <c r="N1243" t="s">
        <v>263</v>
      </c>
      <c r="P1243">
        <v>0</v>
      </c>
      <c r="Q1243">
        <v>0</v>
      </c>
      <c r="R1243" t="s">
        <v>1120</v>
      </c>
    </row>
    <row r="1244" spans="1:19" hidden="1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45838</v>
      </c>
      <c r="G1244">
        <v>2025</v>
      </c>
      <c r="H1244" t="s">
        <v>699</v>
      </c>
      <c r="I1244" t="s">
        <v>700</v>
      </c>
      <c r="K1244">
        <v>14410</v>
      </c>
      <c r="L1244" s="39"/>
      <c r="M1244" s="39"/>
      <c r="N1244" t="s">
        <v>263</v>
      </c>
      <c r="P1244">
        <v>0</v>
      </c>
      <c r="Q1244">
        <v>0</v>
      </c>
      <c r="R1244" t="s">
        <v>2852</v>
      </c>
    </row>
    <row r="1245" spans="1:19" hidden="1" x14ac:dyDescent="0.3">
      <c r="A1245">
        <v>403</v>
      </c>
      <c r="B1245" t="s">
        <v>1121</v>
      </c>
      <c r="C1245" t="s">
        <v>1110</v>
      </c>
      <c r="D1245" t="s">
        <v>21</v>
      </c>
      <c r="E1245" t="s">
        <v>22</v>
      </c>
      <c r="F1245" s="79">
        <v>46022</v>
      </c>
      <c r="G1245">
        <v>2025</v>
      </c>
      <c r="H1245" t="s">
        <v>23</v>
      </c>
      <c r="I1245" t="s">
        <v>32</v>
      </c>
      <c r="K1245">
        <v>12510</v>
      </c>
      <c r="L1245" s="39"/>
      <c r="M1245" s="39"/>
      <c r="N1245" t="s">
        <v>263</v>
      </c>
      <c r="O1245" t="s">
        <v>128</v>
      </c>
      <c r="P1245">
        <v>0</v>
      </c>
      <c r="Q1245">
        <v>0</v>
      </c>
      <c r="R1245" t="s">
        <v>1122</v>
      </c>
      <c r="S1245" t="s">
        <v>263</v>
      </c>
    </row>
    <row r="1246" spans="1:19" hidden="1" x14ac:dyDescent="0.3">
      <c r="A1246">
        <v>404</v>
      </c>
      <c r="B1246" t="s">
        <v>1123</v>
      </c>
      <c r="C1246" t="s">
        <v>1110</v>
      </c>
      <c r="D1246" t="s">
        <v>27</v>
      </c>
      <c r="E1246" t="s">
        <v>41</v>
      </c>
      <c r="F1246" s="79">
        <v>45107</v>
      </c>
      <c r="G1246">
        <v>2023</v>
      </c>
      <c r="H1246" t="s">
        <v>699</v>
      </c>
      <c r="I1246" t="s">
        <v>1512</v>
      </c>
      <c r="J1246">
        <v>20</v>
      </c>
      <c r="K1246">
        <v>2</v>
      </c>
      <c r="L1246" s="39">
        <f t="shared" ref="L1246:L1255" si="95">IFERROR(IF(OR(J1246=0,K1246=""),"",IF(E1246="Positivo",MIN(MAX(K1246/J1246,0),1.3),MIN(MAX(J1246/K1246,0),1.3))),"")</f>
        <v>1.3</v>
      </c>
      <c r="M1246" s="39">
        <f t="shared" ref="M1246:M1255" si="96">IFERROR(IF(OR(J1246=0,K1246=""),"",IF(E1246="Positivo",MAX(K1246/J1246,0),MAX(J1246/K1246,0))),"")</f>
        <v>10</v>
      </c>
      <c r="N1246" t="s">
        <v>25</v>
      </c>
      <c r="O1246" t="s">
        <v>25</v>
      </c>
      <c r="P1246">
        <v>0</v>
      </c>
      <c r="Q1246">
        <v>0</v>
      </c>
      <c r="R1246" t="s">
        <v>2853</v>
      </c>
    </row>
    <row r="1247" spans="1:19" hidden="1" x14ac:dyDescent="0.3">
      <c r="A1247">
        <v>404</v>
      </c>
      <c r="B1247" t="s">
        <v>1123</v>
      </c>
      <c r="C1247" t="s">
        <v>1110</v>
      </c>
      <c r="D1247" t="s">
        <v>27</v>
      </c>
      <c r="E1247" t="s">
        <v>41</v>
      </c>
      <c r="F1247" s="79">
        <v>45291</v>
      </c>
      <c r="G1247">
        <v>2023</v>
      </c>
      <c r="H1247" t="s">
        <v>23</v>
      </c>
      <c r="I1247" t="s">
        <v>28</v>
      </c>
      <c r="J1247">
        <v>20</v>
      </c>
      <c r="K1247">
        <v>1.31</v>
      </c>
      <c r="L1247" s="39">
        <f t="shared" si="95"/>
        <v>1.3</v>
      </c>
      <c r="M1247" s="39">
        <f t="shared" si="96"/>
        <v>15.267175572519083</v>
      </c>
      <c r="N1247" t="s">
        <v>25</v>
      </c>
      <c r="O1247" t="s">
        <v>25</v>
      </c>
      <c r="P1247">
        <v>0</v>
      </c>
      <c r="Q1247">
        <v>0</v>
      </c>
      <c r="R1247" t="s">
        <v>1124</v>
      </c>
    </row>
    <row r="1248" spans="1:19" hidden="1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45473</v>
      </c>
      <c r="G1248">
        <v>2024</v>
      </c>
      <c r="H1248" t="s">
        <v>699</v>
      </c>
      <c r="I1248" t="s">
        <v>729</v>
      </c>
      <c r="J1248">
        <v>10</v>
      </c>
      <c r="K1248">
        <v>5.85</v>
      </c>
      <c r="L1248" s="39">
        <f t="shared" si="95"/>
        <v>1.3</v>
      </c>
      <c r="M1248" s="39">
        <f t="shared" si="96"/>
        <v>1.7094017094017095</v>
      </c>
      <c r="P1248">
        <v>0</v>
      </c>
      <c r="Q1248">
        <v>0</v>
      </c>
      <c r="R1248" t="s">
        <v>2854</v>
      </c>
    </row>
    <row r="1249" spans="1:18" hidden="1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45657</v>
      </c>
      <c r="G1249">
        <v>2024</v>
      </c>
      <c r="H1249" t="s">
        <v>23</v>
      </c>
      <c r="I1249" t="s">
        <v>30</v>
      </c>
      <c r="J1249">
        <v>10</v>
      </c>
      <c r="K1249">
        <v>6.02</v>
      </c>
      <c r="L1249" s="39">
        <f t="shared" si="95"/>
        <v>1.3</v>
      </c>
      <c r="M1249" s="39">
        <f t="shared" si="96"/>
        <v>1.6611295681063125</v>
      </c>
      <c r="P1249">
        <v>0</v>
      </c>
      <c r="Q1249">
        <v>0</v>
      </c>
      <c r="R1249" t="s">
        <v>1125</v>
      </c>
    </row>
    <row r="1250" spans="1:18" hidden="1" x14ac:dyDescent="0.3">
      <c r="A1250">
        <v>405</v>
      </c>
      <c r="B1250" t="s">
        <v>1126</v>
      </c>
      <c r="C1250" t="s">
        <v>1110</v>
      </c>
      <c r="D1250" t="s">
        <v>27</v>
      </c>
      <c r="E1250" t="s">
        <v>22</v>
      </c>
      <c r="F1250" s="79">
        <v>45107</v>
      </c>
      <c r="G1250">
        <v>2023</v>
      </c>
      <c r="H1250" t="s">
        <v>699</v>
      </c>
      <c r="I1250" t="s">
        <v>1512</v>
      </c>
      <c r="J1250">
        <v>25</v>
      </c>
      <c r="K1250">
        <v>30</v>
      </c>
      <c r="L1250" s="39">
        <f t="shared" si="95"/>
        <v>1.2</v>
      </c>
      <c r="M1250" s="39">
        <f t="shared" si="96"/>
        <v>1.2</v>
      </c>
      <c r="N1250" t="s">
        <v>25</v>
      </c>
      <c r="O1250" t="s">
        <v>25</v>
      </c>
      <c r="P1250">
        <v>0</v>
      </c>
      <c r="Q1250">
        <v>0</v>
      </c>
      <c r="R1250" t="s">
        <v>2856</v>
      </c>
    </row>
    <row r="1251" spans="1:18" hidden="1" x14ac:dyDescent="0.3">
      <c r="A1251">
        <v>405</v>
      </c>
      <c r="B1251" t="s">
        <v>1126</v>
      </c>
      <c r="C1251" t="s">
        <v>1110</v>
      </c>
      <c r="D1251" t="s">
        <v>27</v>
      </c>
      <c r="E1251" t="s">
        <v>22</v>
      </c>
      <c r="F1251" s="79">
        <v>45291</v>
      </c>
      <c r="G1251">
        <v>2023</v>
      </c>
      <c r="H1251" t="s">
        <v>23</v>
      </c>
      <c r="I1251" t="s">
        <v>28</v>
      </c>
      <c r="J1251">
        <v>50</v>
      </c>
      <c r="K1251">
        <v>62</v>
      </c>
      <c r="L1251" s="39">
        <f t="shared" si="95"/>
        <v>1.24</v>
      </c>
      <c r="M1251" s="39">
        <f t="shared" si="96"/>
        <v>1.24</v>
      </c>
      <c r="N1251" t="s">
        <v>25</v>
      </c>
      <c r="O1251" t="s">
        <v>25</v>
      </c>
      <c r="P1251">
        <v>0</v>
      </c>
      <c r="Q1251">
        <v>0</v>
      </c>
      <c r="R1251" t="s">
        <v>1127</v>
      </c>
    </row>
    <row r="1252" spans="1:18" hidden="1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45473</v>
      </c>
      <c r="G1252">
        <v>2024</v>
      </c>
      <c r="H1252" t="s">
        <v>699</v>
      </c>
      <c r="I1252" t="s">
        <v>729</v>
      </c>
      <c r="J1252">
        <v>100</v>
      </c>
      <c r="K1252">
        <v>97.39</v>
      </c>
      <c r="L1252" s="39">
        <f t="shared" si="95"/>
        <v>0.97389999999999999</v>
      </c>
      <c r="M1252" s="39">
        <f t="shared" si="96"/>
        <v>0.97389999999999999</v>
      </c>
      <c r="P1252">
        <v>0</v>
      </c>
      <c r="Q1252">
        <v>0</v>
      </c>
      <c r="R1252" t="s">
        <v>2857</v>
      </c>
    </row>
    <row r="1253" spans="1:18" hidden="1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45657</v>
      </c>
      <c r="G1253">
        <v>2024</v>
      </c>
      <c r="H1253" t="s">
        <v>23</v>
      </c>
      <c r="I1253" t="s">
        <v>30</v>
      </c>
      <c r="J1253">
        <v>100</v>
      </c>
      <c r="K1253">
        <v>98</v>
      </c>
      <c r="L1253" s="39">
        <f t="shared" si="95"/>
        <v>0.98</v>
      </c>
      <c r="M1253" s="39">
        <f t="shared" si="96"/>
        <v>0.98</v>
      </c>
      <c r="P1253">
        <v>0</v>
      </c>
      <c r="Q1253">
        <v>0</v>
      </c>
      <c r="R1253" t="s">
        <v>1128</v>
      </c>
    </row>
    <row r="1254" spans="1:18" hidden="1" x14ac:dyDescent="0.3">
      <c r="A1254">
        <v>406</v>
      </c>
      <c r="B1254" t="s">
        <v>1129</v>
      </c>
      <c r="C1254" t="s">
        <v>819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5</v>
      </c>
      <c r="K1254">
        <v>5</v>
      </c>
      <c r="L1254" s="39">
        <f t="shared" si="95"/>
        <v>1</v>
      </c>
      <c r="M1254" s="39">
        <f t="shared" si="96"/>
        <v>1</v>
      </c>
      <c r="P1254">
        <v>0</v>
      </c>
      <c r="Q1254">
        <v>0</v>
      </c>
      <c r="R1254" t="s">
        <v>1130</v>
      </c>
    </row>
    <row r="1255" spans="1:18" hidden="1" x14ac:dyDescent="0.3">
      <c r="A1255">
        <v>406</v>
      </c>
      <c r="B1255" t="s">
        <v>1129</v>
      </c>
      <c r="C1255" t="s">
        <v>644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0</v>
      </c>
      <c r="K1255">
        <v>3</v>
      </c>
      <c r="L1255" s="39" t="str">
        <f t="shared" si="95"/>
        <v/>
      </c>
      <c r="M1255" s="39" t="str">
        <f t="shared" si="96"/>
        <v/>
      </c>
      <c r="P1255">
        <v>0</v>
      </c>
      <c r="Q1255">
        <v>0</v>
      </c>
      <c r="R1255" t="s">
        <v>2858</v>
      </c>
    </row>
    <row r="1256" spans="1:18" hidden="1" x14ac:dyDescent="0.3">
      <c r="A1256">
        <v>406</v>
      </c>
      <c r="B1256" t="s">
        <v>1129</v>
      </c>
      <c r="C1256" t="s">
        <v>644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0</v>
      </c>
      <c r="L1256" s="39"/>
      <c r="M1256" s="39"/>
      <c r="N1256" t="s">
        <v>128</v>
      </c>
      <c r="O1256" t="s">
        <v>1949</v>
      </c>
      <c r="P1256">
        <v>0</v>
      </c>
      <c r="Q1256">
        <v>0</v>
      </c>
      <c r="R1256" t="s">
        <v>1131</v>
      </c>
    </row>
    <row r="1257" spans="1:18" hidden="1" x14ac:dyDescent="0.3">
      <c r="A1257">
        <v>407</v>
      </c>
      <c r="B1257" t="s">
        <v>1132</v>
      </c>
      <c r="C1257" t="s">
        <v>819</v>
      </c>
      <c r="D1257" t="s">
        <v>27</v>
      </c>
      <c r="E1257" t="s">
        <v>22</v>
      </c>
      <c r="F1257" s="79">
        <v>45291</v>
      </c>
      <c r="G1257">
        <v>2023</v>
      </c>
      <c r="H1257" t="s">
        <v>23</v>
      </c>
      <c r="I1257" t="s">
        <v>28</v>
      </c>
      <c r="J1257">
        <v>3</v>
      </c>
      <c r="K1257">
        <v>3</v>
      </c>
      <c r="L1257" s="39">
        <f>IFERROR(IF(OR(J1257=0,K1257=""),"",IF(E1257="Positivo",MIN(MAX(K1257/J1257,0),1.3),MIN(MAX(J1257/K1257,0),1.3))),"")</f>
        <v>1</v>
      </c>
      <c r="M1257" s="39">
        <f>IFERROR(IF(OR(J1257=0,K1257=""),"",IF(E1257="Positivo",MAX(K1257/J1257,0),MAX(J1257/K1257,0))),"")</f>
        <v>1</v>
      </c>
      <c r="P1257">
        <v>0</v>
      </c>
      <c r="Q1257">
        <v>0</v>
      </c>
      <c r="R1257" t="s">
        <v>1133</v>
      </c>
    </row>
    <row r="1258" spans="1:18" hidden="1" x14ac:dyDescent="0.3">
      <c r="A1258">
        <v>407</v>
      </c>
      <c r="B1258" t="s">
        <v>1132</v>
      </c>
      <c r="C1258" t="s">
        <v>644</v>
      </c>
      <c r="D1258" t="s">
        <v>27</v>
      </c>
      <c r="E1258" t="s">
        <v>22</v>
      </c>
      <c r="F1258" s="79">
        <v>45473</v>
      </c>
      <c r="G1258">
        <v>2024</v>
      </c>
      <c r="H1258" t="s">
        <v>699</v>
      </c>
      <c r="I1258" t="s">
        <v>729</v>
      </c>
      <c r="L1258" s="39"/>
      <c r="M1258" s="39"/>
      <c r="P1258">
        <v>0</v>
      </c>
      <c r="Q1258">
        <v>0</v>
      </c>
      <c r="R1258" t="s">
        <v>3258</v>
      </c>
    </row>
    <row r="1259" spans="1:18" hidden="1" x14ac:dyDescent="0.3">
      <c r="A1259">
        <v>407</v>
      </c>
      <c r="B1259" t="s">
        <v>1132</v>
      </c>
      <c r="C1259" t="s">
        <v>644</v>
      </c>
      <c r="D1259" t="s">
        <v>27</v>
      </c>
      <c r="E1259" t="s">
        <v>22</v>
      </c>
      <c r="F1259" s="79">
        <v>45657</v>
      </c>
      <c r="G1259">
        <v>2024</v>
      </c>
      <c r="H1259" t="s">
        <v>23</v>
      </c>
      <c r="I1259" t="s">
        <v>30</v>
      </c>
      <c r="J1259">
        <v>100</v>
      </c>
      <c r="L1259" s="39"/>
      <c r="M1259" s="39"/>
      <c r="N1259" t="s">
        <v>128</v>
      </c>
      <c r="O1259" t="s">
        <v>1949</v>
      </c>
      <c r="P1259">
        <v>0</v>
      </c>
      <c r="Q1259">
        <v>0</v>
      </c>
      <c r="R1259" t="s">
        <v>1134</v>
      </c>
    </row>
    <row r="1260" spans="1:18" hidden="1" x14ac:dyDescent="0.3">
      <c r="A1260">
        <v>408</v>
      </c>
      <c r="B1260" t="s">
        <v>1135</v>
      </c>
      <c r="C1260" t="s">
        <v>819</v>
      </c>
      <c r="D1260" t="s">
        <v>27</v>
      </c>
      <c r="E1260" t="s">
        <v>22</v>
      </c>
      <c r="F1260" s="79">
        <v>45291</v>
      </c>
      <c r="G1260">
        <v>2023</v>
      </c>
      <c r="H1260" t="s">
        <v>23</v>
      </c>
      <c r="I1260" t="s">
        <v>28</v>
      </c>
      <c r="J1260">
        <v>100</v>
      </c>
      <c r="K1260">
        <v>100</v>
      </c>
      <c r="L1260" s="39">
        <f>IFERROR(IF(OR(J1260=0,K1260=""),"",IF(E1260="Positivo",MIN(MAX(K1260/J1260,0),1.3),MIN(MAX(J1260/K1260,0),1.3))),"")</f>
        <v>1</v>
      </c>
      <c r="M1260" s="39">
        <f>IFERROR(IF(OR(J1260=0,K1260=""),"",IF(E1260="Positivo",MAX(K1260/J1260,0),MAX(J1260/K1260,0))),"")</f>
        <v>1</v>
      </c>
      <c r="P1260">
        <v>0</v>
      </c>
      <c r="Q1260">
        <v>0</v>
      </c>
      <c r="R1260" t="s">
        <v>1136</v>
      </c>
    </row>
    <row r="1261" spans="1:18" hidden="1" x14ac:dyDescent="0.3">
      <c r="A1261">
        <v>408</v>
      </c>
      <c r="B1261" t="s">
        <v>1135</v>
      </c>
      <c r="C1261" t="s">
        <v>819</v>
      </c>
      <c r="D1261" t="s">
        <v>27</v>
      </c>
      <c r="E1261" t="s">
        <v>22</v>
      </c>
      <c r="F1261" s="79">
        <v>45473</v>
      </c>
      <c r="G1261">
        <v>2024</v>
      </c>
      <c r="H1261" t="s">
        <v>699</v>
      </c>
      <c r="I1261" t="s">
        <v>729</v>
      </c>
      <c r="J1261">
        <v>100</v>
      </c>
      <c r="L1261" s="39"/>
      <c r="M1261" s="39"/>
      <c r="P1261">
        <v>0</v>
      </c>
      <c r="Q1261">
        <v>0</v>
      </c>
      <c r="R1261" t="s">
        <v>2860</v>
      </c>
    </row>
    <row r="1262" spans="1:18" hidden="1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45657</v>
      </c>
      <c r="G1262">
        <v>2024</v>
      </c>
      <c r="H1262" t="s">
        <v>23</v>
      </c>
      <c r="I1262" t="s">
        <v>30</v>
      </c>
      <c r="J1262">
        <v>100</v>
      </c>
      <c r="K1262">
        <v>100</v>
      </c>
      <c r="L1262" s="39">
        <f t="shared" ref="L1262:L1270" si="97">IFERROR(IF(OR(J1262=0,K1262=""),"",IF(E1262="Positivo",MIN(MAX(K1262/J1262,0),1.3),MIN(MAX(J1262/K1262,0),1.3))),"")</f>
        <v>1</v>
      </c>
      <c r="M1262" s="39">
        <f t="shared" ref="M1262:M1270" si="98">IFERROR(IF(OR(J1262=0,K1262=""),"",IF(E1262="Positivo",MAX(K1262/J1262,0),MAX(J1262/K1262,0))),"")</f>
        <v>1</v>
      </c>
      <c r="P1262">
        <v>0</v>
      </c>
      <c r="Q1262">
        <v>0</v>
      </c>
      <c r="R1262" t="s">
        <v>1137</v>
      </c>
    </row>
    <row r="1263" spans="1:18" hidden="1" x14ac:dyDescent="0.3">
      <c r="A1263">
        <v>408</v>
      </c>
      <c r="B1263" t="s">
        <v>1135</v>
      </c>
      <c r="C1263" t="s">
        <v>819</v>
      </c>
      <c r="D1263" t="s">
        <v>21</v>
      </c>
      <c r="E1263" t="s">
        <v>22</v>
      </c>
      <c r="F1263" s="79">
        <v>45838</v>
      </c>
      <c r="G1263">
        <v>2025</v>
      </c>
      <c r="H1263" t="s">
        <v>699</v>
      </c>
      <c r="I1263" t="s">
        <v>700</v>
      </c>
      <c r="J1263">
        <v>100</v>
      </c>
      <c r="K1263">
        <v>100</v>
      </c>
      <c r="L1263" s="39">
        <f t="shared" si="97"/>
        <v>1</v>
      </c>
      <c r="M1263" s="39">
        <f t="shared" si="98"/>
        <v>1</v>
      </c>
      <c r="N1263" t="s">
        <v>128</v>
      </c>
      <c r="O1263" t="s">
        <v>128</v>
      </c>
      <c r="P1263">
        <v>0</v>
      </c>
      <c r="Q1263">
        <v>0</v>
      </c>
      <c r="R1263" t="s">
        <v>2861</v>
      </c>
    </row>
    <row r="1264" spans="1:18" hidden="1" x14ac:dyDescent="0.3">
      <c r="A1264">
        <v>408</v>
      </c>
      <c r="B1264" t="s">
        <v>1135</v>
      </c>
      <c r="C1264" t="s">
        <v>819</v>
      </c>
      <c r="D1264" t="s">
        <v>21</v>
      </c>
      <c r="E1264" t="s">
        <v>22</v>
      </c>
      <c r="F1264" s="79">
        <v>46022</v>
      </c>
      <c r="G1264">
        <v>2025</v>
      </c>
      <c r="H1264" t="s">
        <v>23</v>
      </c>
      <c r="I1264" t="s">
        <v>32</v>
      </c>
      <c r="J1264">
        <v>100</v>
      </c>
      <c r="K1264">
        <v>100</v>
      </c>
      <c r="L1264" s="39">
        <f t="shared" si="97"/>
        <v>1</v>
      </c>
      <c r="M1264" s="39">
        <f t="shared" si="98"/>
        <v>1</v>
      </c>
      <c r="N1264" t="s">
        <v>128</v>
      </c>
      <c r="O1264" t="s">
        <v>128</v>
      </c>
      <c r="P1264">
        <v>0</v>
      </c>
      <c r="Q1264">
        <v>0</v>
      </c>
      <c r="R1264" t="s">
        <v>1138</v>
      </c>
    </row>
    <row r="1265" spans="1:18" hidden="1" x14ac:dyDescent="0.3">
      <c r="A1265">
        <v>409</v>
      </c>
      <c r="B1265" t="s">
        <v>1139</v>
      </c>
      <c r="C1265" t="s">
        <v>595</v>
      </c>
      <c r="D1265" t="s">
        <v>21</v>
      </c>
      <c r="E1265" t="s">
        <v>22</v>
      </c>
      <c r="F1265" s="79">
        <v>45107</v>
      </c>
      <c r="G1265">
        <v>2023</v>
      </c>
      <c r="H1265" t="s">
        <v>699</v>
      </c>
      <c r="I1265" t="s">
        <v>1512</v>
      </c>
      <c r="J1265">
        <v>80</v>
      </c>
      <c r="K1265">
        <v>103.71885459278499</v>
      </c>
      <c r="L1265" s="39">
        <f t="shared" si="97"/>
        <v>1.2964856824098123</v>
      </c>
      <c r="M1265" s="39">
        <f t="shared" si="98"/>
        <v>1.2964856824098123</v>
      </c>
      <c r="N1265" t="s">
        <v>25</v>
      </c>
      <c r="O1265" t="s">
        <v>25</v>
      </c>
      <c r="P1265">
        <v>0</v>
      </c>
      <c r="Q1265">
        <v>0</v>
      </c>
      <c r="R1265" t="s">
        <v>2862</v>
      </c>
    </row>
    <row r="1266" spans="1:18" hidden="1" x14ac:dyDescent="0.3">
      <c r="A1266">
        <v>409</v>
      </c>
      <c r="B1266" t="s">
        <v>1139</v>
      </c>
      <c r="C1266" t="s">
        <v>595</v>
      </c>
      <c r="D1266" t="s">
        <v>21</v>
      </c>
      <c r="E1266" t="s">
        <v>22</v>
      </c>
      <c r="F1266" s="79">
        <v>45291</v>
      </c>
      <c r="G1266">
        <v>2023</v>
      </c>
      <c r="H1266" t="s">
        <v>23</v>
      </c>
      <c r="I1266" t="s">
        <v>28</v>
      </c>
      <c r="J1266">
        <v>160</v>
      </c>
      <c r="K1266">
        <v>203.71885459278539</v>
      </c>
      <c r="L1266" s="39">
        <f t="shared" si="97"/>
        <v>1.2732428412049086</v>
      </c>
      <c r="M1266" s="39">
        <f t="shared" si="98"/>
        <v>1.2732428412049086</v>
      </c>
      <c r="N1266" t="s">
        <v>25</v>
      </c>
      <c r="O1266" t="s">
        <v>25</v>
      </c>
      <c r="P1266">
        <v>0</v>
      </c>
      <c r="Q1266">
        <v>0</v>
      </c>
      <c r="R1266" t="s">
        <v>1140</v>
      </c>
    </row>
    <row r="1267" spans="1:18" hidden="1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45473</v>
      </c>
      <c r="G1267">
        <v>2024</v>
      </c>
      <c r="H1267" t="s">
        <v>699</v>
      </c>
      <c r="I1267" t="s">
        <v>729</v>
      </c>
      <c r="J1267">
        <v>190</v>
      </c>
      <c r="K1267">
        <v>196.51883947156031</v>
      </c>
      <c r="L1267" s="39">
        <f t="shared" si="97"/>
        <v>1.0343096814292647</v>
      </c>
      <c r="M1267" s="39">
        <f t="shared" si="98"/>
        <v>1.0343096814292647</v>
      </c>
      <c r="P1267">
        <v>0</v>
      </c>
      <c r="Q1267">
        <v>0</v>
      </c>
      <c r="R1267" t="s">
        <v>2865</v>
      </c>
    </row>
    <row r="1268" spans="1:18" hidden="1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45657</v>
      </c>
      <c r="G1268">
        <v>2024</v>
      </c>
      <c r="H1268" t="s">
        <v>23</v>
      </c>
      <c r="I1268" t="s">
        <v>30</v>
      </c>
      <c r="J1268">
        <v>190</v>
      </c>
      <c r="K1268">
        <v>193.57962905038281</v>
      </c>
      <c r="L1268" s="39">
        <f t="shared" si="97"/>
        <v>1.0188401528967517</v>
      </c>
      <c r="M1268" s="39">
        <f t="shared" si="98"/>
        <v>1.0188401528967517</v>
      </c>
      <c r="P1268">
        <v>0</v>
      </c>
      <c r="Q1268">
        <v>0</v>
      </c>
      <c r="R1268" t="s">
        <v>1141</v>
      </c>
    </row>
    <row r="1269" spans="1:18" hidden="1" x14ac:dyDescent="0.3">
      <c r="A1269">
        <v>409</v>
      </c>
      <c r="B1269" t="s">
        <v>1139</v>
      </c>
      <c r="C1269" t="s">
        <v>595</v>
      </c>
      <c r="D1269" t="s">
        <v>27</v>
      </c>
      <c r="E1269" t="s">
        <v>22</v>
      </c>
      <c r="F1269" s="79">
        <v>45838</v>
      </c>
      <c r="G1269">
        <v>2025</v>
      </c>
      <c r="H1269" t="s">
        <v>699</v>
      </c>
      <c r="I1269" t="s">
        <v>700</v>
      </c>
      <c r="J1269">
        <v>95</v>
      </c>
      <c r="K1269">
        <v>100</v>
      </c>
      <c r="L1269" s="39">
        <f t="shared" si="97"/>
        <v>1.0526315789473684</v>
      </c>
      <c r="M1269" s="39">
        <f t="shared" si="98"/>
        <v>1.0526315789473684</v>
      </c>
      <c r="N1269" t="s">
        <v>25</v>
      </c>
      <c r="O1269" t="s">
        <v>25</v>
      </c>
      <c r="P1269">
        <v>0</v>
      </c>
      <c r="Q1269">
        <v>0</v>
      </c>
      <c r="R1269" t="s">
        <v>1142</v>
      </c>
    </row>
    <row r="1270" spans="1:18" hidden="1" x14ac:dyDescent="0.3">
      <c r="A1270">
        <v>410</v>
      </c>
      <c r="B1270" t="s">
        <v>1143</v>
      </c>
      <c r="C1270" t="s">
        <v>595</v>
      </c>
      <c r="D1270" t="s">
        <v>21</v>
      </c>
      <c r="E1270" t="s">
        <v>22</v>
      </c>
      <c r="F1270" s="79">
        <v>45291</v>
      </c>
      <c r="G1270">
        <v>2023</v>
      </c>
      <c r="H1270" t="s">
        <v>23</v>
      </c>
      <c r="I1270" t="s">
        <v>28</v>
      </c>
      <c r="J1270">
        <v>90</v>
      </c>
      <c r="K1270">
        <v>100</v>
      </c>
      <c r="L1270" s="39">
        <f t="shared" si="97"/>
        <v>1.1111111111111112</v>
      </c>
      <c r="M1270" s="39">
        <f t="shared" si="98"/>
        <v>1.1111111111111112</v>
      </c>
      <c r="N1270" t="s">
        <v>25</v>
      </c>
      <c r="O1270" t="s">
        <v>25</v>
      </c>
      <c r="P1270">
        <v>0</v>
      </c>
      <c r="Q1270">
        <v>0</v>
      </c>
      <c r="R1270" t="s">
        <v>1144</v>
      </c>
    </row>
    <row r="1271" spans="1:18" hidden="1" x14ac:dyDescent="0.3">
      <c r="A1271">
        <v>411</v>
      </c>
      <c r="B1271" t="s">
        <v>1145</v>
      </c>
      <c r="C1271" t="s">
        <v>1078</v>
      </c>
      <c r="D1271" t="s">
        <v>27</v>
      </c>
      <c r="E1271" t="s">
        <v>22</v>
      </c>
      <c r="F1271" s="79">
        <v>45107</v>
      </c>
      <c r="G1271">
        <v>2023</v>
      </c>
      <c r="H1271" t="s">
        <v>699</v>
      </c>
      <c r="I1271" t="s">
        <v>1512</v>
      </c>
      <c r="P1271">
        <v>0</v>
      </c>
      <c r="Q1271">
        <v>0</v>
      </c>
      <c r="R1271" t="s">
        <v>3259</v>
      </c>
    </row>
    <row r="1272" spans="1:18" hidden="1" x14ac:dyDescent="0.3">
      <c r="A1272">
        <v>411</v>
      </c>
      <c r="B1272" t="s">
        <v>1145</v>
      </c>
      <c r="C1272" t="s">
        <v>1078</v>
      </c>
      <c r="D1272" t="s">
        <v>27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100</v>
      </c>
      <c r="K1272">
        <v>100</v>
      </c>
      <c r="L1272" s="39">
        <f>IFERROR(IF(OR(J1272=0,K1272=""),"",IF(E1272="Positivo",MIN(MAX(K1272/J1272,0),1.3),MIN(MAX(J1272/K1272,0),1.3))),"")</f>
        <v>1</v>
      </c>
      <c r="M1272" s="39">
        <f>IFERROR(IF(OR(J1272=0,K1272=""),"",IF(E1272="Positivo",MAX(K1272/J1272,0),MAX(J1272/K1272,0))),"")</f>
        <v>1</v>
      </c>
      <c r="N1272" t="s">
        <v>25</v>
      </c>
      <c r="O1272" t="s">
        <v>25</v>
      </c>
      <c r="P1272">
        <v>0</v>
      </c>
      <c r="Q1272">
        <v>0</v>
      </c>
      <c r="R1272" t="s">
        <v>1146</v>
      </c>
    </row>
    <row r="1273" spans="1:18" hidden="1" x14ac:dyDescent="0.3">
      <c r="A1273">
        <v>412</v>
      </c>
      <c r="B1273" t="s">
        <v>1147</v>
      </c>
      <c r="C1273" t="s">
        <v>1078</v>
      </c>
      <c r="D1273" t="s">
        <v>71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100</v>
      </c>
      <c r="K1273">
        <v>100</v>
      </c>
      <c r="L1273" s="39">
        <f>IFERROR(IF(OR(J1273=0,K1273=""),"",IF(E1273="Positivo",MIN(MAX(K1273/J1273,0),1.3),MIN(MAX(J1273/K1273,0),1.3))),"")</f>
        <v>1</v>
      </c>
      <c r="M1273" s="39">
        <f>IFERROR(IF(OR(J1273=0,K1273=""),"",IF(E1273="Positivo",MAX(K1273/J1273,0),MAX(J1273/K1273,0))),"")</f>
        <v>1</v>
      </c>
      <c r="N1273" t="s">
        <v>25</v>
      </c>
      <c r="O1273" t="s">
        <v>25</v>
      </c>
      <c r="P1273">
        <v>0</v>
      </c>
      <c r="Q1273">
        <v>0</v>
      </c>
      <c r="R1273" t="s">
        <v>1148</v>
      </c>
    </row>
    <row r="1274" spans="1:18" hidden="1" x14ac:dyDescent="0.3">
      <c r="A1274">
        <v>412</v>
      </c>
      <c r="B1274" t="s">
        <v>1149</v>
      </c>
      <c r="C1274" t="s">
        <v>1078</v>
      </c>
      <c r="D1274" t="s">
        <v>71</v>
      </c>
      <c r="E1274" t="s">
        <v>22</v>
      </c>
      <c r="F1274" s="79">
        <v>45657</v>
      </c>
      <c r="G1274">
        <v>2024</v>
      </c>
      <c r="H1274" t="s">
        <v>23</v>
      </c>
      <c r="I1274" t="s">
        <v>30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P1274">
        <v>0</v>
      </c>
      <c r="Q1274">
        <v>0</v>
      </c>
      <c r="R1274" t="s">
        <v>1150</v>
      </c>
    </row>
    <row r="1275" spans="1:18" hidden="1" x14ac:dyDescent="0.3">
      <c r="A1275">
        <v>413</v>
      </c>
      <c r="B1275" t="s">
        <v>1151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K1275">
        <v>100</v>
      </c>
      <c r="L1275" s="39"/>
      <c r="M1275" s="39"/>
      <c r="N1275" t="s">
        <v>3244</v>
      </c>
      <c r="P1275">
        <v>0</v>
      </c>
      <c r="Q1275">
        <v>0</v>
      </c>
      <c r="R1275" t="s">
        <v>1152</v>
      </c>
    </row>
    <row r="1276" spans="1:18" hidden="1" x14ac:dyDescent="0.3">
      <c r="A1276">
        <v>413</v>
      </c>
      <c r="B1276" t="s">
        <v>1153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 t="shared" ref="M1276:M1317" si="99">IFERROR(IF(OR(J1276=0,K1276=""),"",IF(E1276="Positivo",MAX(K1276/J1276,0),MAX(J1276/K1276,0))),"")</f>
        <v>1</v>
      </c>
      <c r="P1276">
        <v>0</v>
      </c>
      <c r="Q1276">
        <v>0</v>
      </c>
      <c r="R1276" t="s">
        <v>1154</v>
      </c>
    </row>
    <row r="1277" spans="1:18" hidden="1" x14ac:dyDescent="0.3">
      <c r="A1277">
        <v>413</v>
      </c>
      <c r="B1277" t="s">
        <v>1153</v>
      </c>
      <c r="C1277" t="s">
        <v>1078</v>
      </c>
      <c r="D1277" t="s">
        <v>71</v>
      </c>
      <c r="E1277" t="s">
        <v>22</v>
      </c>
      <c r="F1277" s="79">
        <v>46022</v>
      </c>
      <c r="G1277">
        <v>2025</v>
      </c>
      <c r="H1277" t="s">
        <v>23</v>
      </c>
      <c r="I1277" t="s">
        <v>32</v>
      </c>
      <c r="J1277">
        <v>100</v>
      </c>
      <c r="K1277">
        <v>100</v>
      </c>
      <c r="L1277" s="39">
        <f>IFERROR(IF(OR(J1277=0,K1277=""),"",IF(E1277="Positivo",MIN(MAX(K1277/J1277,0),1.3),MIN(MAX(J1277/K1277,0),1.3))),"")</f>
        <v>1</v>
      </c>
      <c r="M1277" s="39">
        <f t="shared" si="99"/>
        <v>1</v>
      </c>
      <c r="N1277" t="s">
        <v>355</v>
      </c>
      <c r="O1277" t="s">
        <v>128</v>
      </c>
      <c r="P1277">
        <v>0</v>
      </c>
      <c r="Q1277">
        <v>0</v>
      </c>
      <c r="R1277" t="s">
        <v>1155</v>
      </c>
    </row>
    <row r="1278" spans="1:18" hidden="1" x14ac:dyDescent="0.3">
      <c r="A1278">
        <v>414</v>
      </c>
      <c r="B1278" t="s">
        <v>1156</v>
      </c>
      <c r="C1278" t="s">
        <v>567</v>
      </c>
      <c r="D1278" t="s">
        <v>21</v>
      </c>
      <c r="E1278" t="s">
        <v>22</v>
      </c>
      <c r="F1278" s="79">
        <v>45016</v>
      </c>
      <c r="G1278">
        <v>2023</v>
      </c>
      <c r="H1278" t="s">
        <v>1516</v>
      </c>
      <c r="I1278" t="s">
        <v>1512</v>
      </c>
      <c r="J1278">
        <v>100</v>
      </c>
      <c r="K1278">
        <v>0</v>
      </c>
      <c r="L1278" s="39">
        <f t="shared" ref="L1278:L1317" si="100">IFERROR(IF(OR(J1278=0,K1278=""),"",IF(E1278="Positivo",MIN(MAX(K1278/J1278,0),1),MIN(MAX(J1278/K1278,0),1))),"")</f>
        <v>0</v>
      </c>
      <c r="M1278" s="39">
        <f t="shared" si="99"/>
        <v>0</v>
      </c>
      <c r="P1278">
        <v>0</v>
      </c>
      <c r="Q1278">
        <v>0</v>
      </c>
      <c r="R1278" t="s">
        <v>2869</v>
      </c>
    </row>
    <row r="1279" spans="1:18" hidden="1" x14ac:dyDescent="0.3">
      <c r="A1279">
        <v>414</v>
      </c>
      <c r="B1279" t="s">
        <v>1156</v>
      </c>
      <c r="C1279" t="s">
        <v>567</v>
      </c>
      <c r="D1279" t="s">
        <v>21</v>
      </c>
      <c r="E1279" t="s">
        <v>22</v>
      </c>
      <c r="F1279" s="79">
        <v>45107</v>
      </c>
      <c r="G1279">
        <v>2023</v>
      </c>
      <c r="H1279" t="s">
        <v>699</v>
      </c>
      <c r="I1279" t="s">
        <v>1512</v>
      </c>
      <c r="J1279">
        <v>100</v>
      </c>
      <c r="K1279">
        <v>110.01</v>
      </c>
      <c r="L1279" s="39">
        <f t="shared" si="100"/>
        <v>1</v>
      </c>
      <c r="M1279" s="39">
        <f t="shared" si="99"/>
        <v>1.1001000000000001</v>
      </c>
      <c r="P1279">
        <v>0</v>
      </c>
      <c r="Q1279">
        <v>0</v>
      </c>
      <c r="R1279" t="s">
        <v>2870</v>
      </c>
    </row>
    <row r="1280" spans="1:18" hidden="1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45199</v>
      </c>
      <c r="G1280">
        <v>2023</v>
      </c>
      <c r="H1280" t="s">
        <v>162</v>
      </c>
      <c r="I1280" t="s">
        <v>28</v>
      </c>
      <c r="J1280">
        <v>100</v>
      </c>
      <c r="K1280">
        <v>93.54</v>
      </c>
      <c r="L1280" s="39">
        <f t="shared" si="100"/>
        <v>0.93540000000000001</v>
      </c>
      <c r="M1280" s="39">
        <f t="shared" si="99"/>
        <v>0.93540000000000001</v>
      </c>
      <c r="P1280">
        <v>0</v>
      </c>
      <c r="Q1280">
        <v>0</v>
      </c>
      <c r="R1280" t="s">
        <v>2871</v>
      </c>
    </row>
    <row r="1281" spans="1:18" hidden="1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45291</v>
      </c>
      <c r="G1281">
        <v>2023</v>
      </c>
      <c r="H1281" t="s">
        <v>23</v>
      </c>
      <c r="I1281" t="s">
        <v>28</v>
      </c>
      <c r="J1281">
        <v>100</v>
      </c>
      <c r="K1281">
        <v>96.28</v>
      </c>
      <c r="L1281" s="39">
        <f t="shared" si="100"/>
        <v>0.96279999999999999</v>
      </c>
      <c r="M1281" s="39">
        <f t="shared" si="99"/>
        <v>0.96279999999999999</v>
      </c>
      <c r="P1281">
        <v>0</v>
      </c>
      <c r="Q1281">
        <v>0</v>
      </c>
      <c r="R1281" t="s">
        <v>1157</v>
      </c>
    </row>
    <row r="1282" spans="1:18" hidden="1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45473</v>
      </c>
      <c r="G1282">
        <v>2024</v>
      </c>
      <c r="H1282" t="s">
        <v>699</v>
      </c>
      <c r="I1282" t="s">
        <v>729</v>
      </c>
      <c r="J1282">
        <v>100</v>
      </c>
      <c r="K1282">
        <v>100.06</v>
      </c>
      <c r="L1282" s="39">
        <f t="shared" si="100"/>
        <v>1</v>
      </c>
      <c r="M1282" s="39">
        <f t="shared" si="99"/>
        <v>1.0005999999999999</v>
      </c>
      <c r="P1282">
        <v>0</v>
      </c>
      <c r="Q1282">
        <v>0</v>
      </c>
      <c r="R1282" t="s">
        <v>2873</v>
      </c>
    </row>
    <row r="1283" spans="1:18" hidden="1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45657</v>
      </c>
      <c r="G1283">
        <v>2024</v>
      </c>
      <c r="H1283" t="s">
        <v>23</v>
      </c>
      <c r="I1283" t="s">
        <v>30</v>
      </c>
      <c r="J1283">
        <v>100</v>
      </c>
      <c r="K1283">
        <v>98.78</v>
      </c>
      <c r="L1283" s="39">
        <f t="shared" si="100"/>
        <v>0.98780000000000001</v>
      </c>
      <c r="M1283" s="39">
        <f t="shared" si="99"/>
        <v>0.98780000000000001</v>
      </c>
      <c r="P1283">
        <v>0</v>
      </c>
      <c r="Q1283">
        <v>0</v>
      </c>
      <c r="R1283" t="s">
        <v>1158</v>
      </c>
    </row>
    <row r="1284" spans="1:18" hidden="1" x14ac:dyDescent="0.3">
      <c r="A1284">
        <v>414</v>
      </c>
      <c r="B1284" t="s">
        <v>1156</v>
      </c>
      <c r="C1284" t="s">
        <v>567</v>
      </c>
      <c r="D1284" t="s">
        <v>27</v>
      </c>
      <c r="E1284" t="s">
        <v>22</v>
      </c>
      <c r="F1284" s="79">
        <v>45838</v>
      </c>
      <c r="G1284">
        <v>2025</v>
      </c>
      <c r="H1284" t="s">
        <v>699</v>
      </c>
      <c r="I1284" t="s">
        <v>700</v>
      </c>
      <c r="J1284">
        <v>100</v>
      </c>
      <c r="K1284">
        <v>108.55</v>
      </c>
      <c r="L1284" s="39">
        <f t="shared" si="100"/>
        <v>1</v>
      </c>
      <c r="M1284" s="39">
        <f t="shared" si="99"/>
        <v>1.0854999999999999</v>
      </c>
      <c r="N1284" t="s">
        <v>25</v>
      </c>
      <c r="O1284" t="s">
        <v>25</v>
      </c>
      <c r="P1284">
        <v>0</v>
      </c>
      <c r="Q1284">
        <v>0</v>
      </c>
      <c r="R1284" t="s">
        <v>2876</v>
      </c>
    </row>
    <row r="1285" spans="1:18" hidden="1" x14ac:dyDescent="0.3">
      <c r="A1285">
        <v>414</v>
      </c>
      <c r="B1285" t="s">
        <v>1156</v>
      </c>
      <c r="C1285" t="s">
        <v>567</v>
      </c>
      <c r="D1285" t="s">
        <v>27</v>
      </c>
      <c r="E1285" t="s">
        <v>22</v>
      </c>
      <c r="F1285" s="79">
        <v>46022</v>
      </c>
      <c r="G1285">
        <v>2025</v>
      </c>
      <c r="H1285" t="s">
        <v>23</v>
      </c>
      <c r="I1285" t="s">
        <v>32</v>
      </c>
      <c r="J1285">
        <v>100</v>
      </c>
      <c r="K1285">
        <v>98.87</v>
      </c>
      <c r="L1285" s="39">
        <f t="shared" si="100"/>
        <v>0.98870000000000002</v>
      </c>
      <c r="M1285" s="39">
        <f t="shared" si="99"/>
        <v>0.98870000000000002</v>
      </c>
      <c r="N1285" t="s">
        <v>25</v>
      </c>
      <c r="O1285" t="s">
        <v>25</v>
      </c>
      <c r="P1285">
        <v>0</v>
      </c>
      <c r="Q1285">
        <v>0</v>
      </c>
      <c r="R1285" t="s">
        <v>1159</v>
      </c>
    </row>
    <row r="1286" spans="1:18" hidden="1" x14ac:dyDescent="0.3">
      <c r="A1286">
        <v>415</v>
      </c>
      <c r="B1286" t="s">
        <v>1160</v>
      </c>
      <c r="C1286" t="s">
        <v>567</v>
      </c>
      <c r="D1286" t="s">
        <v>21</v>
      </c>
      <c r="E1286" t="s">
        <v>22</v>
      </c>
      <c r="F1286" s="79">
        <v>45016</v>
      </c>
      <c r="G1286">
        <v>2023</v>
      </c>
      <c r="H1286" t="s">
        <v>1516</v>
      </c>
      <c r="I1286" t="s">
        <v>1512</v>
      </c>
      <c r="J1286">
        <v>100</v>
      </c>
      <c r="K1286">
        <v>0</v>
      </c>
      <c r="L1286" s="39">
        <f t="shared" si="100"/>
        <v>0</v>
      </c>
      <c r="M1286" s="39">
        <f t="shared" si="99"/>
        <v>0</v>
      </c>
      <c r="P1286">
        <v>0</v>
      </c>
      <c r="Q1286">
        <v>0</v>
      </c>
      <c r="R1286" t="s">
        <v>2878</v>
      </c>
    </row>
    <row r="1287" spans="1:18" hidden="1" x14ac:dyDescent="0.3">
      <c r="A1287">
        <v>415</v>
      </c>
      <c r="B1287" t="s">
        <v>1160</v>
      </c>
      <c r="C1287" t="s">
        <v>567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1512</v>
      </c>
      <c r="J1287">
        <v>100</v>
      </c>
      <c r="K1287">
        <v>94.04</v>
      </c>
      <c r="L1287" s="39">
        <f t="shared" si="100"/>
        <v>0.94040000000000001</v>
      </c>
      <c r="M1287" s="39">
        <f t="shared" si="99"/>
        <v>0.94040000000000001</v>
      </c>
      <c r="P1287">
        <v>0</v>
      </c>
      <c r="Q1287">
        <v>0</v>
      </c>
      <c r="R1287" t="s">
        <v>2879</v>
      </c>
    </row>
    <row r="1288" spans="1:18" hidden="1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45199</v>
      </c>
      <c r="G1288">
        <v>2023</v>
      </c>
      <c r="H1288" t="s">
        <v>162</v>
      </c>
      <c r="I1288" t="s">
        <v>28</v>
      </c>
      <c r="J1288">
        <v>100</v>
      </c>
      <c r="K1288">
        <v>93.94</v>
      </c>
      <c r="L1288" s="39">
        <f t="shared" si="100"/>
        <v>0.93940000000000001</v>
      </c>
      <c r="M1288" s="39">
        <f t="shared" si="99"/>
        <v>0.93940000000000001</v>
      </c>
      <c r="P1288">
        <v>0</v>
      </c>
      <c r="Q1288">
        <v>0</v>
      </c>
      <c r="R1288" t="s">
        <v>2880</v>
      </c>
    </row>
    <row r="1289" spans="1:18" hidden="1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J1289">
        <v>100</v>
      </c>
      <c r="K1289">
        <v>96</v>
      </c>
      <c r="L1289" s="39">
        <f t="shared" si="100"/>
        <v>0.96</v>
      </c>
      <c r="M1289" s="39">
        <f t="shared" si="99"/>
        <v>0.96</v>
      </c>
      <c r="P1289">
        <v>0</v>
      </c>
      <c r="Q1289">
        <v>0</v>
      </c>
      <c r="R1289" t="s">
        <v>1161</v>
      </c>
    </row>
    <row r="1290" spans="1:18" hidden="1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45473</v>
      </c>
      <c r="G1290">
        <v>2024</v>
      </c>
      <c r="H1290" t="s">
        <v>699</v>
      </c>
      <c r="I1290" t="s">
        <v>729</v>
      </c>
      <c r="J1290">
        <v>100</v>
      </c>
      <c r="K1290">
        <v>93.04</v>
      </c>
      <c r="L1290" s="39">
        <f t="shared" si="100"/>
        <v>0.93040000000000012</v>
      </c>
      <c r="M1290" s="39">
        <f t="shared" si="99"/>
        <v>0.93040000000000012</v>
      </c>
      <c r="P1290">
        <v>0</v>
      </c>
      <c r="Q1290">
        <v>0</v>
      </c>
      <c r="R1290" t="s">
        <v>2882</v>
      </c>
    </row>
    <row r="1291" spans="1:18" hidden="1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45657</v>
      </c>
      <c r="G1291">
        <v>2024</v>
      </c>
      <c r="H1291" t="s">
        <v>23</v>
      </c>
      <c r="I1291" t="s">
        <v>30</v>
      </c>
      <c r="J1291">
        <v>100</v>
      </c>
      <c r="K1291">
        <v>98.36</v>
      </c>
      <c r="L1291" s="39">
        <f t="shared" si="100"/>
        <v>0.98360000000000003</v>
      </c>
      <c r="M1291" s="39">
        <f t="shared" si="99"/>
        <v>0.98360000000000003</v>
      </c>
      <c r="P1291">
        <v>0</v>
      </c>
      <c r="Q1291">
        <v>0</v>
      </c>
      <c r="R1291" t="s">
        <v>1162</v>
      </c>
    </row>
    <row r="1292" spans="1:18" hidden="1" x14ac:dyDescent="0.3">
      <c r="A1292">
        <v>415</v>
      </c>
      <c r="B1292" t="s">
        <v>1160</v>
      </c>
      <c r="C1292" t="s">
        <v>567</v>
      </c>
      <c r="D1292" t="s">
        <v>27</v>
      </c>
      <c r="E1292" t="s">
        <v>22</v>
      </c>
      <c r="F1292" s="79">
        <v>45838</v>
      </c>
      <c r="G1292">
        <v>2025</v>
      </c>
      <c r="H1292" t="s">
        <v>699</v>
      </c>
      <c r="I1292" t="s">
        <v>700</v>
      </c>
      <c r="J1292">
        <v>100</v>
      </c>
      <c r="K1292">
        <v>96.44</v>
      </c>
      <c r="L1292" s="39">
        <f t="shared" si="100"/>
        <v>0.96439999999999992</v>
      </c>
      <c r="M1292" s="39">
        <f t="shared" si="99"/>
        <v>0.96439999999999992</v>
      </c>
      <c r="N1292" t="s">
        <v>25</v>
      </c>
      <c r="O1292" t="s">
        <v>25</v>
      </c>
      <c r="P1292">
        <v>0</v>
      </c>
      <c r="Q1292">
        <v>0</v>
      </c>
      <c r="R1292" t="s">
        <v>2885</v>
      </c>
    </row>
    <row r="1293" spans="1:18" hidden="1" x14ac:dyDescent="0.3">
      <c r="A1293">
        <v>415</v>
      </c>
      <c r="B1293" t="s">
        <v>1160</v>
      </c>
      <c r="C1293" t="s">
        <v>567</v>
      </c>
      <c r="D1293" t="s">
        <v>27</v>
      </c>
      <c r="E1293" t="s">
        <v>22</v>
      </c>
      <c r="F1293" s="79">
        <v>46022</v>
      </c>
      <c r="G1293">
        <v>2025</v>
      </c>
      <c r="H1293" t="s">
        <v>23</v>
      </c>
      <c r="I1293" t="s">
        <v>32</v>
      </c>
      <c r="J1293">
        <v>100</v>
      </c>
      <c r="K1293">
        <v>99.3</v>
      </c>
      <c r="L1293" s="39">
        <f t="shared" si="100"/>
        <v>0.99299999999999999</v>
      </c>
      <c r="M1293" s="39">
        <f t="shared" si="99"/>
        <v>0.99299999999999999</v>
      </c>
      <c r="N1293" t="s">
        <v>25</v>
      </c>
      <c r="O1293" t="s">
        <v>25</v>
      </c>
      <c r="P1293">
        <v>0</v>
      </c>
      <c r="Q1293">
        <v>0</v>
      </c>
      <c r="R1293" t="s">
        <v>1163</v>
      </c>
    </row>
    <row r="1294" spans="1:18" hidden="1" x14ac:dyDescent="0.3">
      <c r="A1294">
        <v>416</v>
      </c>
      <c r="B1294" t="s">
        <v>1164</v>
      </c>
      <c r="C1294" t="s">
        <v>567</v>
      </c>
      <c r="D1294" t="s">
        <v>21</v>
      </c>
      <c r="E1294" t="s">
        <v>22</v>
      </c>
      <c r="F1294" s="79">
        <v>45016</v>
      </c>
      <c r="G1294">
        <v>2023</v>
      </c>
      <c r="H1294" t="s">
        <v>1516</v>
      </c>
      <c r="I1294" t="s">
        <v>1512</v>
      </c>
      <c r="J1294">
        <v>100</v>
      </c>
      <c r="K1294">
        <v>0</v>
      </c>
      <c r="L1294" s="39">
        <f t="shared" si="100"/>
        <v>0</v>
      </c>
      <c r="M1294" s="39">
        <f t="shared" si="99"/>
        <v>0</v>
      </c>
      <c r="P1294">
        <v>0</v>
      </c>
      <c r="Q1294">
        <v>0</v>
      </c>
      <c r="R1294" t="s">
        <v>2887</v>
      </c>
    </row>
    <row r="1295" spans="1:18" hidden="1" x14ac:dyDescent="0.3">
      <c r="A1295">
        <v>416</v>
      </c>
      <c r="B1295" t="s">
        <v>1164</v>
      </c>
      <c r="C1295" t="s">
        <v>567</v>
      </c>
      <c r="D1295" t="s">
        <v>21</v>
      </c>
      <c r="E1295" t="s">
        <v>22</v>
      </c>
      <c r="F1295" s="79">
        <v>45107</v>
      </c>
      <c r="G1295">
        <v>2023</v>
      </c>
      <c r="H1295" t="s">
        <v>699</v>
      </c>
      <c r="I1295" t="s">
        <v>1512</v>
      </c>
      <c r="J1295">
        <v>100</v>
      </c>
      <c r="K1295">
        <v>95.74</v>
      </c>
      <c r="L1295" s="39">
        <f t="shared" si="100"/>
        <v>0.95739999999999992</v>
      </c>
      <c r="M1295" s="39">
        <f t="shared" si="99"/>
        <v>0.95739999999999992</v>
      </c>
      <c r="P1295">
        <v>0</v>
      </c>
      <c r="Q1295">
        <v>0</v>
      </c>
      <c r="R1295" t="s">
        <v>2888</v>
      </c>
    </row>
    <row r="1296" spans="1:18" hidden="1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45199</v>
      </c>
      <c r="G1296">
        <v>2023</v>
      </c>
      <c r="H1296" t="s">
        <v>162</v>
      </c>
      <c r="I1296" t="s">
        <v>28</v>
      </c>
      <c r="J1296">
        <v>100</v>
      </c>
      <c r="K1296">
        <v>87.94</v>
      </c>
      <c r="L1296" s="39">
        <f t="shared" si="100"/>
        <v>0.87939999999999996</v>
      </c>
      <c r="M1296" s="39">
        <f t="shared" si="99"/>
        <v>0.87939999999999996</v>
      </c>
      <c r="P1296">
        <v>0</v>
      </c>
      <c r="Q1296">
        <v>0</v>
      </c>
      <c r="R1296" t="s">
        <v>2889</v>
      </c>
    </row>
    <row r="1297" spans="1:18" hidden="1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J1297">
        <v>100</v>
      </c>
      <c r="K1297">
        <v>98</v>
      </c>
      <c r="L1297" s="39">
        <f t="shared" si="100"/>
        <v>0.98</v>
      </c>
      <c r="M1297" s="39">
        <f t="shared" si="99"/>
        <v>0.98</v>
      </c>
      <c r="P1297">
        <v>0</v>
      </c>
      <c r="Q1297">
        <v>0</v>
      </c>
      <c r="R1297" t="s">
        <v>1165</v>
      </c>
    </row>
    <row r="1298" spans="1:18" hidden="1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45473</v>
      </c>
      <c r="G1298">
        <v>2024</v>
      </c>
      <c r="H1298" t="s">
        <v>699</v>
      </c>
      <c r="I1298" t="s">
        <v>729</v>
      </c>
      <c r="J1298">
        <v>100</v>
      </c>
      <c r="K1298">
        <v>117.1</v>
      </c>
      <c r="L1298" s="39">
        <f t="shared" si="100"/>
        <v>1</v>
      </c>
      <c r="M1298" s="39">
        <f t="shared" si="99"/>
        <v>1.171</v>
      </c>
      <c r="P1298">
        <v>0</v>
      </c>
      <c r="Q1298">
        <v>0</v>
      </c>
      <c r="R1298" t="s">
        <v>2891</v>
      </c>
    </row>
    <row r="1299" spans="1:18" hidden="1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45657</v>
      </c>
      <c r="G1299">
        <v>2024</v>
      </c>
      <c r="H1299" t="s">
        <v>23</v>
      </c>
      <c r="I1299" t="s">
        <v>30</v>
      </c>
      <c r="J1299">
        <v>100</v>
      </c>
      <c r="K1299">
        <v>100</v>
      </c>
      <c r="L1299" s="39">
        <f t="shared" si="100"/>
        <v>1</v>
      </c>
      <c r="M1299" s="39">
        <f t="shared" si="99"/>
        <v>1</v>
      </c>
      <c r="P1299">
        <v>0</v>
      </c>
      <c r="Q1299">
        <v>0</v>
      </c>
      <c r="R1299" t="s">
        <v>1166</v>
      </c>
    </row>
    <row r="1300" spans="1:18" hidden="1" x14ac:dyDescent="0.3">
      <c r="A1300">
        <v>416</v>
      </c>
      <c r="B1300" t="s">
        <v>1164</v>
      </c>
      <c r="C1300" t="s">
        <v>567</v>
      </c>
      <c r="D1300" t="s">
        <v>27</v>
      </c>
      <c r="E1300" t="s">
        <v>22</v>
      </c>
      <c r="F1300" s="79">
        <v>45838</v>
      </c>
      <c r="G1300">
        <v>2025</v>
      </c>
      <c r="H1300" t="s">
        <v>699</v>
      </c>
      <c r="I1300" t="s">
        <v>700</v>
      </c>
      <c r="J1300">
        <v>100</v>
      </c>
      <c r="K1300">
        <v>109.24</v>
      </c>
      <c r="L1300" s="39">
        <f t="shared" si="100"/>
        <v>1</v>
      </c>
      <c r="M1300" s="39">
        <f t="shared" si="99"/>
        <v>1.0924</v>
      </c>
      <c r="N1300" t="s">
        <v>25</v>
      </c>
      <c r="O1300" t="s">
        <v>25</v>
      </c>
      <c r="P1300">
        <v>0</v>
      </c>
      <c r="Q1300">
        <v>0</v>
      </c>
      <c r="R1300" t="s">
        <v>2894</v>
      </c>
    </row>
    <row r="1301" spans="1:18" hidden="1" x14ac:dyDescent="0.3">
      <c r="A1301">
        <v>416</v>
      </c>
      <c r="B1301" t="s">
        <v>1164</v>
      </c>
      <c r="C1301" t="s">
        <v>567</v>
      </c>
      <c r="D1301" t="s">
        <v>27</v>
      </c>
      <c r="E1301" t="s">
        <v>22</v>
      </c>
      <c r="F1301" s="79">
        <v>46022</v>
      </c>
      <c r="G1301">
        <v>2025</v>
      </c>
      <c r="H1301" t="s">
        <v>23</v>
      </c>
      <c r="I1301" t="s">
        <v>32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N1301" t="s">
        <v>25</v>
      </c>
      <c r="O1301" t="s">
        <v>25</v>
      </c>
      <c r="P1301">
        <v>0</v>
      </c>
      <c r="Q1301">
        <v>0</v>
      </c>
      <c r="R1301" t="s">
        <v>1167</v>
      </c>
    </row>
    <row r="1302" spans="1:18" hidden="1" x14ac:dyDescent="0.3">
      <c r="A1302">
        <v>417</v>
      </c>
      <c r="B1302" t="s">
        <v>1168</v>
      </c>
      <c r="C1302" t="s">
        <v>567</v>
      </c>
      <c r="D1302" t="s">
        <v>21</v>
      </c>
      <c r="E1302" t="s">
        <v>22</v>
      </c>
      <c r="F1302" s="79">
        <v>45016</v>
      </c>
      <c r="G1302">
        <v>2023</v>
      </c>
      <c r="H1302" t="s">
        <v>1516</v>
      </c>
      <c r="I1302" t="s">
        <v>1512</v>
      </c>
      <c r="J1302">
        <v>100</v>
      </c>
      <c r="K1302">
        <v>0</v>
      </c>
      <c r="L1302" s="39">
        <f t="shared" si="100"/>
        <v>0</v>
      </c>
      <c r="M1302" s="39">
        <f t="shared" si="99"/>
        <v>0</v>
      </c>
      <c r="P1302">
        <v>0</v>
      </c>
      <c r="Q1302">
        <v>0</v>
      </c>
      <c r="R1302" t="s">
        <v>2896</v>
      </c>
    </row>
    <row r="1303" spans="1:18" hidden="1" x14ac:dyDescent="0.3">
      <c r="A1303">
        <v>417</v>
      </c>
      <c r="B1303" t="s">
        <v>1168</v>
      </c>
      <c r="C1303" t="s">
        <v>567</v>
      </c>
      <c r="D1303" t="s">
        <v>21</v>
      </c>
      <c r="E1303" t="s">
        <v>22</v>
      </c>
      <c r="F1303" s="79">
        <v>45107</v>
      </c>
      <c r="G1303">
        <v>2023</v>
      </c>
      <c r="H1303" t="s">
        <v>699</v>
      </c>
      <c r="I1303" t="s">
        <v>1512</v>
      </c>
      <c r="J1303">
        <v>100</v>
      </c>
      <c r="K1303">
        <v>110.66833333333</v>
      </c>
      <c r="L1303" s="39">
        <f t="shared" si="100"/>
        <v>1</v>
      </c>
      <c r="M1303" s="39">
        <f t="shared" si="99"/>
        <v>1.1066833333332999</v>
      </c>
      <c r="P1303">
        <v>0</v>
      </c>
      <c r="Q1303">
        <v>0</v>
      </c>
      <c r="R1303" t="s">
        <v>2897</v>
      </c>
    </row>
    <row r="1304" spans="1:18" hidden="1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45199</v>
      </c>
      <c r="G1304">
        <v>2023</v>
      </c>
      <c r="H1304" t="s">
        <v>162</v>
      </c>
      <c r="I1304" t="s">
        <v>28</v>
      </c>
      <c r="J1304">
        <v>100</v>
      </c>
      <c r="K1304">
        <v>93.756666666667002</v>
      </c>
      <c r="L1304" s="39">
        <f t="shared" si="100"/>
        <v>0.93756666666666999</v>
      </c>
      <c r="M1304" s="39">
        <f t="shared" si="99"/>
        <v>0.93756666666666999</v>
      </c>
      <c r="P1304">
        <v>0</v>
      </c>
      <c r="Q1304">
        <v>0</v>
      </c>
      <c r="R1304" t="s">
        <v>2898</v>
      </c>
    </row>
    <row r="1305" spans="1:18" hidden="1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45291</v>
      </c>
      <c r="G1305">
        <v>2023</v>
      </c>
      <c r="H1305" t="s">
        <v>23</v>
      </c>
      <c r="I1305" t="s">
        <v>28</v>
      </c>
      <c r="J1305">
        <v>100</v>
      </c>
      <c r="K1305">
        <v>94.39</v>
      </c>
      <c r="L1305" s="39">
        <f t="shared" si="100"/>
        <v>0.94389999999999996</v>
      </c>
      <c r="M1305" s="39">
        <f t="shared" si="99"/>
        <v>0.94389999999999996</v>
      </c>
      <c r="P1305">
        <v>0</v>
      </c>
      <c r="Q1305">
        <v>0</v>
      </c>
      <c r="R1305" t="s">
        <v>1169</v>
      </c>
    </row>
    <row r="1306" spans="1:18" hidden="1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45473</v>
      </c>
      <c r="G1306">
        <v>2024</v>
      </c>
      <c r="H1306" t="s">
        <v>699</v>
      </c>
      <c r="I1306" t="s">
        <v>729</v>
      </c>
      <c r="J1306">
        <v>100</v>
      </c>
      <c r="K1306">
        <v>112.12</v>
      </c>
      <c r="L1306" s="39">
        <f t="shared" si="100"/>
        <v>1</v>
      </c>
      <c r="M1306" s="39">
        <f t="shared" si="99"/>
        <v>1.1212</v>
      </c>
      <c r="P1306">
        <v>0</v>
      </c>
      <c r="Q1306">
        <v>0</v>
      </c>
      <c r="R1306" t="s">
        <v>2900</v>
      </c>
    </row>
    <row r="1307" spans="1:18" hidden="1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45657</v>
      </c>
      <c r="G1307">
        <v>2024</v>
      </c>
      <c r="H1307" t="s">
        <v>23</v>
      </c>
      <c r="I1307" t="s">
        <v>30</v>
      </c>
      <c r="J1307">
        <v>100</v>
      </c>
      <c r="K1307">
        <v>98.83</v>
      </c>
      <c r="L1307" s="39">
        <f t="shared" si="100"/>
        <v>0.98829999999999996</v>
      </c>
      <c r="M1307" s="39">
        <f t="shared" si="99"/>
        <v>0.98829999999999996</v>
      </c>
      <c r="P1307">
        <v>0</v>
      </c>
      <c r="Q1307">
        <v>0</v>
      </c>
      <c r="R1307" t="s">
        <v>1170</v>
      </c>
    </row>
    <row r="1308" spans="1:18" hidden="1" x14ac:dyDescent="0.3">
      <c r="A1308">
        <v>417</v>
      </c>
      <c r="B1308" t="s">
        <v>1168</v>
      </c>
      <c r="C1308" t="s">
        <v>567</v>
      </c>
      <c r="D1308" t="s">
        <v>27</v>
      </c>
      <c r="E1308" t="s">
        <v>22</v>
      </c>
      <c r="F1308" s="79">
        <v>45838</v>
      </c>
      <c r="G1308">
        <v>2025</v>
      </c>
      <c r="H1308" t="s">
        <v>699</v>
      </c>
      <c r="I1308" t="s">
        <v>700</v>
      </c>
      <c r="J1308">
        <v>100</v>
      </c>
      <c r="K1308">
        <v>101.28</v>
      </c>
      <c r="L1308" s="39">
        <f t="shared" si="100"/>
        <v>1</v>
      </c>
      <c r="M1308" s="39">
        <f t="shared" si="99"/>
        <v>1.0127999999999999</v>
      </c>
      <c r="N1308" t="s">
        <v>25</v>
      </c>
      <c r="O1308" t="s">
        <v>25</v>
      </c>
      <c r="P1308">
        <v>0</v>
      </c>
      <c r="Q1308">
        <v>0</v>
      </c>
      <c r="R1308" t="s">
        <v>2903</v>
      </c>
    </row>
    <row r="1309" spans="1:18" hidden="1" x14ac:dyDescent="0.3">
      <c r="A1309">
        <v>417</v>
      </c>
      <c r="B1309" t="s">
        <v>1168</v>
      </c>
      <c r="C1309" t="s">
        <v>567</v>
      </c>
      <c r="D1309" t="s">
        <v>27</v>
      </c>
      <c r="E1309" t="s">
        <v>22</v>
      </c>
      <c r="F1309" s="79">
        <v>46022</v>
      </c>
      <c r="G1309">
        <v>2025</v>
      </c>
      <c r="H1309" t="s">
        <v>23</v>
      </c>
      <c r="I1309" t="s">
        <v>32</v>
      </c>
      <c r="J1309">
        <v>100</v>
      </c>
      <c r="K1309">
        <v>97.99</v>
      </c>
      <c r="L1309" s="39">
        <f t="shared" si="100"/>
        <v>0.97989999999999999</v>
      </c>
      <c r="M1309" s="39">
        <f t="shared" si="99"/>
        <v>0.97989999999999999</v>
      </c>
      <c r="N1309" t="s">
        <v>25</v>
      </c>
      <c r="O1309" t="s">
        <v>25</v>
      </c>
      <c r="P1309">
        <v>0</v>
      </c>
      <c r="Q1309">
        <v>0</v>
      </c>
      <c r="R1309" t="s">
        <v>1171</v>
      </c>
    </row>
    <row r="1310" spans="1:18" hidden="1" x14ac:dyDescent="0.3">
      <c r="A1310">
        <v>418</v>
      </c>
      <c r="B1310" t="s">
        <v>1172</v>
      </c>
      <c r="C1310" t="s">
        <v>567</v>
      </c>
      <c r="D1310" t="s">
        <v>21</v>
      </c>
      <c r="E1310" t="s">
        <v>22</v>
      </c>
      <c r="F1310" s="79">
        <v>45016</v>
      </c>
      <c r="G1310">
        <v>2023</v>
      </c>
      <c r="H1310" t="s">
        <v>1516</v>
      </c>
      <c r="I1310" t="s">
        <v>1512</v>
      </c>
      <c r="J1310">
        <v>100</v>
      </c>
      <c r="K1310">
        <v>0</v>
      </c>
      <c r="L1310" s="39">
        <f t="shared" si="100"/>
        <v>0</v>
      </c>
      <c r="M1310" s="39">
        <f t="shared" si="99"/>
        <v>0</v>
      </c>
      <c r="P1310">
        <v>0</v>
      </c>
      <c r="Q1310">
        <v>0</v>
      </c>
      <c r="R1310" t="s">
        <v>2905</v>
      </c>
    </row>
    <row r="1311" spans="1:18" hidden="1" x14ac:dyDescent="0.3">
      <c r="A1311">
        <v>418</v>
      </c>
      <c r="B1311" t="s">
        <v>1172</v>
      </c>
      <c r="C1311" t="s">
        <v>567</v>
      </c>
      <c r="D1311" t="s">
        <v>21</v>
      </c>
      <c r="E1311" t="s">
        <v>22</v>
      </c>
      <c r="F1311" s="79">
        <v>45107</v>
      </c>
      <c r="G1311">
        <v>2023</v>
      </c>
      <c r="H1311" t="s">
        <v>699</v>
      </c>
      <c r="I1311" t="s">
        <v>1512</v>
      </c>
      <c r="J1311">
        <v>100</v>
      </c>
      <c r="K1311">
        <v>104.35666666666999</v>
      </c>
      <c r="L1311" s="39">
        <f t="shared" si="100"/>
        <v>1</v>
      </c>
      <c r="M1311" s="39">
        <f t="shared" si="99"/>
        <v>1.0435666666666998</v>
      </c>
      <c r="P1311">
        <v>0</v>
      </c>
      <c r="Q1311">
        <v>0</v>
      </c>
      <c r="R1311" t="s">
        <v>2906</v>
      </c>
    </row>
    <row r="1312" spans="1:18" hidden="1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45199</v>
      </c>
      <c r="G1312">
        <v>2023</v>
      </c>
      <c r="H1312" t="s">
        <v>162</v>
      </c>
      <c r="I1312" t="s">
        <v>28</v>
      </c>
      <c r="J1312">
        <v>100</v>
      </c>
      <c r="K1312">
        <v>85.611111111111001</v>
      </c>
      <c r="L1312" s="39">
        <f t="shared" si="100"/>
        <v>0.85611111111111005</v>
      </c>
      <c r="M1312" s="39">
        <f t="shared" si="99"/>
        <v>0.85611111111111005</v>
      </c>
      <c r="P1312">
        <v>0</v>
      </c>
      <c r="Q1312">
        <v>0</v>
      </c>
      <c r="R1312" t="s">
        <v>2907</v>
      </c>
    </row>
    <row r="1313" spans="1:18" hidden="1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45291</v>
      </c>
      <c r="G1313">
        <v>2023</v>
      </c>
      <c r="H1313" t="s">
        <v>23</v>
      </c>
      <c r="I1313" t="s">
        <v>28</v>
      </c>
      <c r="J1313">
        <v>100</v>
      </c>
      <c r="K1313">
        <v>95.802222222221999</v>
      </c>
      <c r="L1313" s="39">
        <f t="shared" si="100"/>
        <v>0.95802222222222</v>
      </c>
      <c r="M1313" s="39">
        <f t="shared" si="99"/>
        <v>0.95802222222222</v>
      </c>
      <c r="P1313">
        <v>0</v>
      </c>
      <c r="Q1313">
        <v>0</v>
      </c>
      <c r="R1313" t="s">
        <v>1173</v>
      </c>
    </row>
    <row r="1314" spans="1:18" hidden="1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45473</v>
      </c>
      <c r="G1314">
        <v>2024</v>
      </c>
      <c r="H1314" t="s">
        <v>699</v>
      </c>
      <c r="I1314" t="s">
        <v>729</v>
      </c>
      <c r="J1314">
        <v>100</v>
      </c>
      <c r="K1314">
        <v>100.79</v>
      </c>
      <c r="L1314" s="39">
        <f t="shared" si="100"/>
        <v>1</v>
      </c>
      <c r="M1314" s="39">
        <f t="shared" si="99"/>
        <v>1.0079</v>
      </c>
      <c r="P1314">
        <v>0</v>
      </c>
      <c r="Q1314">
        <v>0</v>
      </c>
      <c r="R1314" t="s">
        <v>2909</v>
      </c>
    </row>
    <row r="1315" spans="1:18" hidden="1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45657</v>
      </c>
      <c r="G1315">
        <v>2024</v>
      </c>
      <c r="H1315" t="s">
        <v>23</v>
      </c>
      <c r="I1315" t="s">
        <v>30</v>
      </c>
      <c r="J1315">
        <v>100</v>
      </c>
      <c r="K1315">
        <v>97.78</v>
      </c>
      <c r="L1315" s="39">
        <f t="shared" si="100"/>
        <v>0.9778</v>
      </c>
      <c r="M1315" s="39">
        <f t="shared" si="99"/>
        <v>0.9778</v>
      </c>
      <c r="P1315">
        <v>0</v>
      </c>
      <c r="Q1315">
        <v>0</v>
      </c>
      <c r="R1315" t="s">
        <v>1174</v>
      </c>
    </row>
    <row r="1316" spans="1:18" hidden="1" x14ac:dyDescent="0.3">
      <c r="A1316">
        <v>418</v>
      </c>
      <c r="B1316" t="s">
        <v>1172</v>
      </c>
      <c r="C1316" t="s">
        <v>567</v>
      </c>
      <c r="D1316" t="s">
        <v>27</v>
      </c>
      <c r="E1316" t="s">
        <v>22</v>
      </c>
      <c r="F1316" s="79">
        <v>45838</v>
      </c>
      <c r="G1316">
        <v>2025</v>
      </c>
      <c r="H1316" t="s">
        <v>699</v>
      </c>
      <c r="I1316" t="s">
        <v>700</v>
      </c>
      <c r="J1316">
        <v>100</v>
      </c>
      <c r="K1316">
        <v>105.83</v>
      </c>
      <c r="L1316" s="39">
        <f t="shared" si="100"/>
        <v>1</v>
      </c>
      <c r="M1316" s="39">
        <f t="shared" si="99"/>
        <v>1.0583</v>
      </c>
      <c r="N1316" t="s">
        <v>25</v>
      </c>
      <c r="O1316" t="s">
        <v>25</v>
      </c>
      <c r="P1316">
        <v>0</v>
      </c>
      <c r="Q1316">
        <v>0</v>
      </c>
      <c r="R1316" t="s">
        <v>2912</v>
      </c>
    </row>
    <row r="1317" spans="1:18" hidden="1" x14ac:dyDescent="0.3">
      <c r="A1317">
        <v>418</v>
      </c>
      <c r="B1317" t="s">
        <v>1172</v>
      </c>
      <c r="C1317" t="s">
        <v>567</v>
      </c>
      <c r="D1317" t="s">
        <v>27</v>
      </c>
      <c r="E1317" t="s">
        <v>22</v>
      </c>
      <c r="F1317" s="79">
        <v>46022</v>
      </c>
      <c r="G1317">
        <v>2025</v>
      </c>
      <c r="H1317" t="s">
        <v>23</v>
      </c>
      <c r="I1317" t="s">
        <v>32</v>
      </c>
      <c r="J1317">
        <v>100</v>
      </c>
      <c r="K1317">
        <v>99.61</v>
      </c>
      <c r="L1317" s="39">
        <f t="shared" si="100"/>
        <v>0.99609999999999999</v>
      </c>
      <c r="M1317" s="39">
        <f t="shared" si="99"/>
        <v>0.99609999999999999</v>
      </c>
      <c r="N1317" t="s">
        <v>25</v>
      </c>
      <c r="O1317" t="s">
        <v>25</v>
      </c>
      <c r="P1317">
        <v>0</v>
      </c>
      <c r="Q1317">
        <v>0</v>
      </c>
      <c r="R1317" t="s">
        <v>1175</v>
      </c>
    </row>
    <row r="1318" spans="1:18" hidden="1" x14ac:dyDescent="0.3">
      <c r="A1318">
        <v>419</v>
      </c>
      <c r="B1318" t="s">
        <v>1176</v>
      </c>
      <c r="C1318" t="s">
        <v>567</v>
      </c>
      <c r="D1318" t="s">
        <v>21</v>
      </c>
      <c r="E1318" t="s">
        <v>22</v>
      </c>
      <c r="F1318" s="79">
        <v>45016</v>
      </c>
      <c r="G1318">
        <v>2023</v>
      </c>
      <c r="H1318" t="s">
        <v>1516</v>
      </c>
      <c r="I1318" t="s">
        <v>1512</v>
      </c>
      <c r="L1318" s="39"/>
      <c r="M1318" s="39"/>
      <c r="N1318" t="s">
        <v>25</v>
      </c>
      <c r="O1318" t="s">
        <v>25</v>
      </c>
      <c r="P1318">
        <v>0</v>
      </c>
      <c r="Q1318">
        <v>0</v>
      </c>
      <c r="R1318" t="s">
        <v>3260</v>
      </c>
    </row>
    <row r="1319" spans="1:18" hidden="1" x14ac:dyDescent="0.3">
      <c r="A1319">
        <v>419</v>
      </c>
      <c r="B1319" t="s">
        <v>1176</v>
      </c>
      <c r="C1319" t="s">
        <v>567</v>
      </c>
      <c r="D1319" t="s">
        <v>21</v>
      </c>
      <c r="E1319" t="s">
        <v>22</v>
      </c>
      <c r="F1319" s="79">
        <v>45107</v>
      </c>
      <c r="G1319">
        <v>2023</v>
      </c>
      <c r="H1319" t="s">
        <v>699</v>
      </c>
      <c r="I1319" t="s">
        <v>1512</v>
      </c>
      <c r="J1319">
        <v>100</v>
      </c>
      <c r="K1319">
        <v>108.3</v>
      </c>
      <c r="L1319" s="39">
        <f>IFERROR(IF(OR(J1319=0,K1319=""),"",IF(E1319="Positivo",MIN(MAX(K1319/J1319,0),1.3),MIN(MAX(J1319/K1319,0),1.3))),"")</f>
        <v>1.083</v>
      </c>
      <c r="M1319" s="39">
        <f t="shared" ref="M1319:M1348" si="101">IFERROR(IF(OR(J1319=0,K1319=""),"",IF(E1319="Positivo",MAX(K1319/J1319,0),MAX(J1319/K1319,0))),"")</f>
        <v>1.083</v>
      </c>
      <c r="N1319" t="s">
        <v>25</v>
      </c>
      <c r="O1319" t="s">
        <v>25</v>
      </c>
      <c r="P1319">
        <v>0</v>
      </c>
      <c r="Q1319">
        <v>0</v>
      </c>
      <c r="R1319" t="s">
        <v>2914</v>
      </c>
    </row>
    <row r="1320" spans="1:18" hidden="1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45199</v>
      </c>
      <c r="G1320">
        <v>2023</v>
      </c>
      <c r="H1320" t="s">
        <v>162</v>
      </c>
      <c r="I1320" t="s">
        <v>28</v>
      </c>
      <c r="J1320">
        <v>100</v>
      </c>
      <c r="K1320">
        <v>88.35</v>
      </c>
      <c r="L1320" s="39">
        <f>IFERROR(IF(OR(J1320=0,K1320=""),"",IF(E1320="Positivo",MIN(MAX(K1320/J1320,0),1.3),MIN(MAX(J1320/K1320,0),1.3))),"")</f>
        <v>0.88349999999999995</v>
      </c>
      <c r="M1320" s="39">
        <f t="shared" si="101"/>
        <v>0.88349999999999995</v>
      </c>
      <c r="N1320" t="s">
        <v>25</v>
      </c>
      <c r="O1320" t="s">
        <v>25</v>
      </c>
      <c r="P1320">
        <v>0</v>
      </c>
      <c r="Q1320">
        <v>0</v>
      </c>
      <c r="R1320" t="s">
        <v>2915</v>
      </c>
    </row>
    <row r="1321" spans="1:18" hidden="1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45291</v>
      </c>
      <c r="G1321">
        <v>2023</v>
      </c>
      <c r="H1321" t="s">
        <v>23</v>
      </c>
      <c r="I1321" t="s">
        <v>28</v>
      </c>
      <c r="J1321">
        <v>100</v>
      </c>
      <c r="K1321">
        <v>93.56</v>
      </c>
      <c r="L1321" s="39">
        <f>IFERROR(IF(OR(J1321=0,K1321=""),"",IF(E1321="Positivo",MIN(MAX(K1321/J1321,0),1.3),MIN(MAX(J1321/K1321,0),1.3))),"")</f>
        <v>0.93559999999999999</v>
      </c>
      <c r="M1321" s="39">
        <f t="shared" si="101"/>
        <v>0.93559999999999999</v>
      </c>
      <c r="N1321" t="s">
        <v>25</v>
      </c>
      <c r="O1321" t="s">
        <v>25</v>
      </c>
      <c r="P1321">
        <v>0</v>
      </c>
      <c r="Q1321">
        <v>0</v>
      </c>
      <c r="R1321" t="s">
        <v>1177</v>
      </c>
    </row>
    <row r="1322" spans="1:18" hidden="1" x14ac:dyDescent="0.3">
      <c r="A1322">
        <v>420</v>
      </c>
      <c r="B1322" t="s">
        <v>1178</v>
      </c>
      <c r="C1322" t="s">
        <v>567</v>
      </c>
      <c r="D1322" t="s">
        <v>21</v>
      </c>
      <c r="E1322" t="s">
        <v>22</v>
      </c>
      <c r="F1322" s="79">
        <v>45016</v>
      </c>
      <c r="G1322">
        <v>2023</v>
      </c>
      <c r="H1322" t="s">
        <v>1516</v>
      </c>
      <c r="I1322" t="s">
        <v>1512</v>
      </c>
      <c r="J1322">
        <v>100</v>
      </c>
      <c r="K1322">
        <v>0</v>
      </c>
      <c r="L1322" s="39">
        <f t="shared" ref="L1322:L1329" si="102">IFERROR(IF(OR(J1322=0,K1322=""),"",IF(E1322="Positivo",MIN(MAX(K1322/J1322,0),1),MIN(MAX(J1322/K1322,0),1))),"")</f>
        <v>0</v>
      </c>
      <c r="M1322" s="39">
        <f t="shared" si="101"/>
        <v>0</v>
      </c>
      <c r="N1322" t="s">
        <v>25</v>
      </c>
      <c r="O1322" t="s">
        <v>25</v>
      </c>
      <c r="P1322">
        <v>0</v>
      </c>
      <c r="Q1322">
        <v>0</v>
      </c>
      <c r="R1322" t="s">
        <v>2916</v>
      </c>
    </row>
    <row r="1323" spans="1:18" hidden="1" x14ac:dyDescent="0.3">
      <c r="A1323">
        <v>420</v>
      </c>
      <c r="B1323" t="s">
        <v>1178</v>
      </c>
      <c r="C1323" t="s">
        <v>567</v>
      </c>
      <c r="D1323" t="s">
        <v>21</v>
      </c>
      <c r="E1323" t="s">
        <v>22</v>
      </c>
      <c r="F1323" s="79">
        <v>45107</v>
      </c>
      <c r="G1323">
        <v>2023</v>
      </c>
      <c r="H1323" t="s">
        <v>699</v>
      </c>
      <c r="I1323" t="s">
        <v>1512</v>
      </c>
      <c r="J1323">
        <v>100</v>
      </c>
      <c r="K1323">
        <v>106.53</v>
      </c>
      <c r="L1323" s="39">
        <f t="shared" si="102"/>
        <v>1</v>
      </c>
      <c r="M1323" s="39">
        <f t="shared" si="101"/>
        <v>1.0652999999999999</v>
      </c>
      <c r="N1323" t="s">
        <v>25</v>
      </c>
      <c r="O1323" t="s">
        <v>25</v>
      </c>
      <c r="P1323">
        <v>0</v>
      </c>
      <c r="Q1323">
        <v>0</v>
      </c>
      <c r="R1323" t="s">
        <v>2917</v>
      </c>
    </row>
    <row r="1324" spans="1:18" hidden="1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45199</v>
      </c>
      <c r="G1324">
        <v>2023</v>
      </c>
      <c r="H1324" t="s">
        <v>162</v>
      </c>
      <c r="I1324" t="s">
        <v>28</v>
      </c>
      <c r="J1324">
        <v>100</v>
      </c>
      <c r="K1324">
        <v>94.69</v>
      </c>
      <c r="L1324" s="39">
        <f t="shared" si="102"/>
        <v>0.94689999999999996</v>
      </c>
      <c r="M1324" s="39">
        <f t="shared" si="101"/>
        <v>0.94689999999999996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hidden="1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45291</v>
      </c>
      <c r="G1325">
        <v>2023</v>
      </c>
      <c r="H1325" t="s">
        <v>23</v>
      </c>
      <c r="I1325" t="s">
        <v>28</v>
      </c>
      <c r="J1325">
        <v>100</v>
      </c>
      <c r="K1325">
        <v>100</v>
      </c>
      <c r="L1325" s="39">
        <f t="shared" si="102"/>
        <v>1</v>
      </c>
      <c r="M1325" s="39">
        <f t="shared" si="101"/>
        <v>1</v>
      </c>
      <c r="N1325" t="s">
        <v>25</v>
      </c>
      <c r="O1325" t="s">
        <v>25</v>
      </c>
      <c r="P1325">
        <v>0</v>
      </c>
      <c r="Q1325">
        <v>0</v>
      </c>
      <c r="R1325" t="s">
        <v>1179</v>
      </c>
    </row>
    <row r="1326" spans="1:18" hidden="1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45473</v>
      </c>
      <c r="G1326">
        <v>2024</v>
      </c>
      <c r="H1326" t="s">
        <v>699</v>
      </c>
      <c r="I1326" t="s">
        <v>729</v>
      </c>
      <c r="J1326">
        <v>100</v>
      </c>
      <c r="K1326">
        <v>89.33</v>
      </c>
      <c r="L1326" s="39">
        <f t="shared" si="102"/>
        <v>0.89329999999999998</v>
      </c>
      <c r="M1326" s="39">
        <f t="shared" si="101"/>
        <v>0.89329999999999998</v>
      </c>
      <c r="P1326">
        <v>0</v>
      </c>
      <c r="Q1326">
        <v>0</v>
      </c>
      <c r="R1326" t="s">
        <v>2919</v>
      </c>
    </row>
    <row r="1327" spans="1:18" hidden="1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45657</v>
      </c>
      <c r="G1327">
        <v>2024</v>
      </c>
      <c r="H1327" t="s">
        <v>23</v>
      </c>
      <c r="I1327" t="s">
        <v>30</v>
      </c>
      <c r="J1327">
        <v>100</v>
      </c>
      <c r="K1327">
        <v>96.67</v>
      </c>
      <c r="L1327" s="39">
        <f t="shared" si="102"/>
        <v>0.9667</v>
      </c>
      <c r="M1327" s="39">
        <f t="shared" si="101"/>
        <v>0.9667</v>
      </c>
      <c r="P1327">
        <v>0</v>
      </c>
      <c r="Q1327">
        <v>0</v>
      </c>
      <c r="R1327" t="s">
        <v>1180</v>
      </c>
    </row>
    <row r="1328" spans="1:18" hidden="1" x14ac:dyDescent="0.3">
      <c r="A1328">
        <v>420</v>
      </c>
      <c r="B1328" t="s">
        <v>1178</v>
      </c>
      <c r="C1328" t="s">
        <v>567</v>
      </c>
      <c r="D1328" t="s">
        <v>27</v>
      </c>
      <c r="E1328" t="s">
        <v>22</v>
      </c>
      <c r="F1328" s="79">
        <v>45838</v>
      </c>
      <c r="G1328">
        <v>2025</v>
      </c>
      <c r="H1328" t="s">
        <v>699</v>
      </c>
      <c r="I1328" t="s">
        <v>700</v>
      </c>
      <c r="J1328">
        <v>100</v>
      </c>
      <c r="K1328">
        <v>108.52</v>
      </c>
      <c r="L1328" s="39">
        <f t="shared" si="102"/>
        <v>1</v>
      </c>
      <c r="M1328" s="39">
        <f t="shared" si="101"/>
        <v>1.0851999999999999</v>
      </c>
      <c r="N1328" t="s">
        <v>25</v>
      </c>
      <c r="O1328" t="s">
        <v>25</v>
      </c>
      <c r="P1328">
        <v>0</v>
      </c>
      <c r="Q1328">
        <v>0</v>
      </c>
      <c r="R1328" t="s">
        <v>2922</v>
      </c>
    </row>
    <row r="1329" spans="1:18" hidden="1" x14ac:dyDescent="0.3">
      <c r="A1329">
        <v>420</v>
      </c>
      <c r="B1329" t="s">
        <v>1178</v>
      </c>
      <c r="C1329" t="s">
        <v>567</v>
      </c>
      <c r="D1329" t="s">
        <v>27</v>
      </c>
      <c r="E1329" t="s">
        <v>22</v>
      </c>
      <c r="F1329" s="79">
        <v>46022</v>
      </c>
      <c r="G1329">
        <v>2025</v>
      </c>
      <c r="H1329" t="s">
        <v>23</v>
      </c>
      <c r="I1329" t="s">
        <v>32</v>
      </c>
      <c r="J1329">
        <v>100</v>
      </c>
      <c r="K1329">
        <v>100</v>
      </c>
      <c r="L1329" s="39">
        <f t="shared" si="102"/>
        <v>1</v>
      </c>
      <c r="M1329" s="39">
        <f t="shared" si="101"/>
        <v>1</v>
      </c>
      <c r="N1329" t="s">
        <v>25</v>
      </c>
      <c r="O1329" t="s">
        <v>25</v>
      </c>
      <c r="P1329">
        <v>0</v>
      </c>
      <c r="Q1329">
        <v>0</v>
      </c>
      <c r="R1329" t="s">
        <v>1181</v>
      </c>
    </row>
    <row r="1330" spans="1:18" hidden="1" x14ac:dyDescent="0.3">
      <c r="A1330">
        <v>421</v>
      </c>
      <c r="B1330" t="s">
        <v>1182</v>
      </c>
      <c r="C1330" t="s">
        <v>1183</v>
      </c>
      <c r="D1330" t="s">
        <v>27</v>
      </c>
      <c r="E1330" t="s">
        <v>22</v>
      </c>
      <c r="F1330" s="79">
        <v>45107</v>
      </c>
      <c r="G1330">
        <v>2023</v>
      </c>
      <c r="H1330" t="s">
        <v>699</v>
      </c>
      <c r="I1330" t="s">
        <v>1512</v>
      </c>
      <c r="J1330">
        <v>104072</v>
      </c>
      <c r="K1330">
        <v>140002</v>
      </c>
      <c r="L1330" s="39">
        <f t="shared" ref="L1330:L1348" si="103">IFERROR(IF(OR(J1330=0,K1330=""),"",IF(E1330="Positivo",MIN(MAX(K1330/J1330,0),1.3),MIN(MAX(J1330/K1330,0),1.3))),"")</f>
        <v>1.3</v>
      </c>
      <c r="M1330" s="39">
        <f t="shared" si="101"/>
        <v>1.3452417557075871</v>
      </c>
      <c r="P1330">
        <v>0</v>
      </c>
      <c r="Q1330">
        <v>0</v>
      </c>
      <c r="R1330" t="s">
        <v>2924</v>
      </c>
    </row>
    <row r="1331" spans="1:18" hidden="1" x14ac:dyDescent="0.3">
      <c r="A1331">
        <v>421</v>
      </c>
      <c r="B1331" t="s">
        <v>1182</v>
      </c>
      <c r="C1331" t="s">
        <v>1183</v>
      </c>
      <c r="D1331" t="s">
        <v>27</v>
      </c>
      <c r="E1331" t="s">
        <v>22</v>
      </c>
      <c r="F1331" s="79">
        <v>45291</v>
      </c>
      <c r="G1331">
        <v>2023</v>
      </c>
      <c r="H1331" t="s">
        <v>23</v>
      </c>
      <c r="I1331" t="s">
        <v>28</v>
      </c>
      <c r="J1331">
        <v>97200</v>
      </c>
      <c r="K1331">
        <v>136199</v>
      </c>
      <c r="L1331" s="39">
        <f t="shared" si="103"/>
        <v>1.3</v>
      </c>
      <c r="M1331" s="39">
        <f t="shared" si="101"/>
        <v>1.4012242798353909</v>
      </c>
      <c r="P1331">
        <v>0</v>
      </c>
      <c r="Q1331">
        <v>0</v>
      </c>
      <c r="R1331" t="s">
        <v>1184</v>
      </c>
    </row>
    <row r="1332" spans="1:18" hidden="1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45473</v>
      </c>
      <c r="G1332">
        <v>2024</v>
      </c>
      <c r="H1332" t="s">
        <v>699</v>
      </c>
      <c r="I1332" t="s">
        <v>729</v>
      </c>
      <c r="J1332">
        <v>147043</v>
      </c>
      <c r="K1332">
        <v>177740</v>
      </c>
      <c r="L1332" s="39">
        <f t="shared" si="103"/>
        <v>1.2087620627979572</v>
      </c>
      <c r="M1332" s="39">
        <f t="shared" si="101"/>
        <v>1.2087620627979572</v>
      </c>
      <c r="P1332">
        <v>0</v>
      </c>
      <c r="Q1332">
        <v>0</v>
      </c>
      <c r="R1332" t="s">
        <v>2925</v>
      </c>
    </row>
    <row r="1333" spans="1:18" hidden="1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45657</v>
      </c>
      <c r="G1333">
        <v>2024</v>
      </c>
      <c r="H1333" t="s">
        <v>23</v>
      </c>
      <c r="I1333" t="s">
        <v>30</v>
      </c>
      <c r="J1333">
        <v>100</v>
      </c>
      <c r="K1333">
        <v>121.44</v>
      </c>
      <c r="L1333" s="39">
        <f t="shared" si="103"/>
        <v>1.2143999999999999</v>
      </c>
      <c r="M1333" s="39">
        <f t="shared" si="101"/>
        <v>1.2143999999999999</v>
      </c>
      <c r="P1333">
        <v>0</v>
      </c>
      <c r="Q1333">
        <v>0</v>
      </c>
      <c r="R1333" t="s">
        <v>1185</v>
      </c>
    </row>
    <row r="1334" spans="1:18" hidden="1" x14ac:dyDescent="0.3">
      <c r="A1334">
        <v>422</v>
      </c>
      <c r="B1334" t="s">
        <v>1186</v>
      </c>
      <c r="C1334" t="s">
        <v>1183</v>
      </c>
      <c r="D1334" t="s">
        <v>27</v>
      </c>
      <c r="E1334" t="s">
        <v>22</v>
      </c>
      <c r="F1334" s="79">
        <v>45107</v>
      </c>
      <c r="G1334">
        <v>2023</v>
      </c>
      <c r="H1334" t="s">
        <v>699</v>
      </c>
      <c r="I1334" t="s">
        <v>1512</v>
      </c>
      <c r="J1334">
        <v>11.7</v>
      </c>
      <c r="K1334">
        <v>11.973211368834001</v>
      </c>
      <c r="L1334" s="39">
        <f t="shared" si="103"/>
        <v>1.0233513990456411</v>
      </c>
      <c r="M1334" s="39">
        <f t="shared" si="101"/>
        <v>1.0233513990456411</v>
      </c>
      <c r="N1334" t="s">
        <v>25</v>
      </c>
      <c r="O1334" t="s">
        <v>25</v>
      </c>
      <c r="P1334">
        <v>2</v>
      </c>
      <c r="Q1334">
        <v>2</v>
      </c>
      <c r="R1334" t="s">
        <v>2926</v>
      </c>
    </row>
    <row r="1335" spans="1:18" hidden="1" x14ac:dyDescent="0.3">
      <c r="A1335">
        <v>422</v>
      </c>
      <c r="B1335" t="s">
        <v>1186</v>
      </c>
      <c r="C1335" t="s">
        <v>1183</v>
      </c>
      <c r="D1335" t="s">
        <v>27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10.5</v>
      </c>
      <c r="K1335">
        <v>11.04</v>
      </c>
      <c r="L1335" s="39">
        <f t="shared" si="103"/>
        <v>1.0514285714285714</v>
      </c>
      <c r="M1335" s="39">
        <f t="shared" si="101"/>
        <v>1.0514285714285714</v>
      </c>
      <c r="N1335" t="s">
        <v>25</v>
      </c>
      <c r="O1335" t="s">
        <v>25</v>
      </c>
      <c r="P1335">
        <v>2</v>
      </c>
      <c r="Q1335">
        <v>2</v>
      </c>
      <c r="R1335" t="s">
        <v>1187</v>
      </c>
    </row>
    <row r="1336" spans="1:18" hidden="1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9.25</v>
      </c>
      <c r="K1336">
        <v>8.86</v>
      </c>
      <c r="L1336" s="39">
        <f t="shared" si="103"/>
        <v>0.95783783783783782</v>
      </c>
      <c r="M1336" s="39">
        <f t="shared" si="101"/>
        <v>0.95783783783783782</v>
      </c>
      <c r="P1336">
        <v>0</v>
      </c>
      <c r="Q1336">
        <v>0</v>
      </c>
      <c r="R1336" t="s">
        <v>2927</v>
      </c>
    </row>
    <row r="1337" spans="1:18" hidden="1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8.01</v>
      </c>
      <c r="K1337">
        <v>7.91</v>
      </c>
      <c r="L1337" s="39">
        <f t="shared" si="103"/>
        <v>0.98751560549313366</v>
      </c>
      <c r="M1337" s="39">
        <f t="shared" si="101"/>
        <v>0.98751560549313366</v>
      </c>
      <c r="P1337">
        <v>0</v>
      </c>
      <c r="Q1337">
        <v>0</v>
      </c>
      <c r="R1337" t="s">
        <v>1188</v>
      </c>
    </row>
    <row r="1338" spans="1:18" hidden="1" x14ac:dyDescent="0.3">
      <c r="A1338">
        <v>422</v>
      </c>
      <c r="B1338" t="s">
        <v>1186</v>
      </c>
      <c r="C1338" t="s">
        <v>1183</v>
      </c>
      <c r="D1338" t="s">
        <v>21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7.83</v>
      </c>
      <c r="K1338">
        <v>8.1999999999999993</v>
      </c>
      <c r="L1338" s="39">
        <f t="shared" si="103"/>
        <v>1.0472541507024264</v>
      </c>
      <c r="M1338" s="39">
        <f t="shared" si="101"/>
        <v>1.0472541507024264</v>
      </c>
      <c r="N1338" t="s">
        <v>25</v>
      </c>
      <c r="O1338" t="s">
        <v>25</v>
      </c>
      <c r="P1338">
        <v>2</v>
      </c>
      <c r="Q1338">
        <v>2</v>
      </c>
      <c r="R1338" t="s">
        <v>2928</v>
      </c>
    </row>
    <row r="1339" spans="1:18" hidden="1" x14ac:dyDescent="0.3">
      <c r="A1339">
        <v>422</v>
      </c>
      <c r="B1339" t="s">
        <v>1186</v>
      </c>
      <c r="C1339" t="s">
        <v>1183</v>
      </c>
      <c r="D1339" t="s">
        <v>21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7.68</v>
      </c>
      <c r="K1339">
        <v>7.87</v>
      </c>
      <c r="L1339" s="39">
        <f t="shared" si="103"/>
        <v>1.0247395833333335</v>
      </c>
      <c r="M1339" s="39">
        <f t="shared" si="101"/>
        <v>1.0247395833333335</v>
      </c>
      <c r="N1339" t="s">
        <v>25</v>
      </c>
      <c r="O1339" t="s">
        <v>25</v>
      </c>
      <c r="P1339">
        <v>2</v>
      </c>
      <c r="Q1339">
        <v>2</v>
      </c>
      <c r="R1339" t="s">
        <v>1189</v>
      </c>
    </row>
    <row r="1340" spans="1:18" x14ac:dyDescent="0.3">
      <c r="A1340">
        <v>423</v>
      </c>
      <c r="B1340" t="s">
        <v>1190</v>
      </c>
      <c r="C1340" t="s">
        <v>1183</v>
      </c>
      <c r="D1340" t="s">
        <v>71</v>
      </c>
      <c r="E1340" t="s">
        <v>22</v>
      </c>
      <c r="F1340" s="79">
        <v>45291</v>
      </c>
      <c r="G1340">
        <v>2023</v>
      </c>
      <c r="H1340" t="s">
        <v>23</v>
      </c>
      <c r="I1340" t="s">
        <v>28</v>
      </c>
      <c r="J1340">
        <v>8.4</v>
      </c>
      <c r="K1340">
        <v>7.9</v>
      </c>
      <c r="L1340" s="39">
        <f t="shared" si="103"/>
        <v>0.94047619047619047</v>
      </c>
      <c r="M1340" s="39">
        <f t="shared" si="101"/>
        <v>0.94047619047619047</v>
      </c>
      <c r="N1340" t="s">
        <v>136</v>
      </c>
      <c r="O1340" t="s">
        <v>136</v>
      </c>
      <c r="P1340">
        <v>1</v>
      </c>
      <c r="Q1340">
        <v>1</v>
      </c>
      <c r="R1340" t="s">
        <v>1191</v>
      </c>
    </row>
    <row r="1341" spans="1:18" x14ac:dyDescent="0.3">
      <c r="A1341">
        <v>423</v>
      </c>
      <c r="B1341" t="s">
        <v>1190</v>
      </c>
      <c r="C1341" t="s">
        <v>1183</v>
      </c>
      <c r="D1341" t="s">
        <v>71</v>
      </c>
      <c r="E1341" t="s">
        <v>22</v>
      </c>
      <c r="F1341" s="79">
        <v>45657</v>
      </c>
      <c r="G1341">
        <v>2024</v>
      </c>
      <c r="H1341" t="s">
        <v>23</v>
      </c>
      <c r="I1341" t="s">
        <v>30</v>
      </c>
      <c r="J1341">
        <v>8.3000000000000007</v>
      </c>
      <c r="K1341">
        <v>12.3</v>
      </c>
      <c r="L1341" s="39">
        <f t="shared" si="103"/>
        <v>1.3</v>
      </c>
      <c r="M1341" s="39">
        <f t="shared" si="101"/>
        <v>1.4819277108433735</v>
      </c>
      <c r="N1341" t="s">
        <v>136</v>
      </c>
      <c r="O1341" t="s">
        <v>136</v>
      </c>
      <c r="P1341">
        <v>1</v>
      </c>
      <c r="Q1341">
        <v>1</v>
      </c>
      <c r="R1341" t="s">
        <v>1192</v>
      </c>
    </row>
    <row r="1342" spans="1:18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46022</v>
      </c>
      <c r="G1342">
        <v>2025</v>
      </c>
      <c r="H1342" t="s">
        <v>23</v>
      </c>
      <c r="I1342" t="s">
        <v>32</v>
      </c>
      <c r="J1342">
        <v>12.3</v>
      </c>
      <c r="K1342">
        <v>15.1</v>
      </c>
      <c r="L1342" s="39">
        <f t="shared" si="103"/>
        <v>1.2276422764227641</v>
      </c>
      <c r="M1342" s="39">
        <f t="shared" si="101"/>
        <v>1.2276422764227641</v>
      </c>
      <c r="N1342" t="s">
        <v>136</v>
      </c>
      <c r="O1342" t="s">
        <v>136</v>
      </c>
      <c r="P1342">
        <v>1</v>
      </c>
      <c r="Q1342">
        <v>1</v>
      </c>
      <c r="R1342" t="s">
        <v>1193</v>
      </c>
    </row>
    <row r="1343" spans="1:18" hidden="1" x14ac:dyDescent="0.3">
      <c r="A1343">
        <v>424</v>
      </c>
      <c r="B1343" t="s">
        <v>1194</v>
      </c>
      <c r="C1343" t="s">
        <v>1183</v>
      </c>
      <c r="D1343" t="s">
        <v>71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92</v>
      </c>
      <c r="K1343">
        <v>6</v>
      </c>
      <c r="L1343" s="39">
        <f t="shared" si="103"/>
        <v>6.5217391304347824E-2</v>
      </c>
      <c r="M1343" s="39">
        <f t="shared" si="101"/>
        <v>6.5217391304347824E-2</v>
      </c>
      <c r="N1343" t="s">
        <v>128</v>
      </c>
      <c r="O1343" t="s">
        <v>128</v>
      </c>
      <c r="P1343">
        <v>0</v>
      </c>
      <c r="Q1343">
        <v>0</v>
      </c>
      <c r="R1343" t="s">
        <v>1195</v>
      </c>
    </row>
    <row r="1344" spans="1:18" hidden="1" x14ac:dyDescent="0.3">
      <c r="A1344">
        <v>424</v>
      </c>
      <c r="B1344" t="s">
        <v>1194</v>
      </c>
      <c r="C1344" t="s">
        <v>1183</v>
      </c>
      <c r="D1344" t="s">
        <v>71</v>
      </c>
      <c r="E1344" t="s">
        <v>22</v>
      </c>
      <c r="F1344" s="79">
        <v>45657</v>
      </c>
      <c r="G1344">
        <v>2024</v>
      </c>
      <c r="H1344" t="s">
        <v>23</v>
      </c>
      <c r="I1344" t="s">
        <v>30</v>
      </c>
      <c r="J1344">
        <v>7</v>
      </c>
      <c r="K1344">
        <v>9</v>
      </c>
      <c r="L1344" s="39">
        <f t="shared" si="103"/>
        <v>1.2857142857142858</v>
      </c>
      <c r="M1344" s="39">
        <f t="shared" si="101"/>
        <v>1.2857142857142858</v>
      </c>
      <c r="N1344" t="s">
        <v>128</v>
      </c>
      <c r="O1344" t="s">
        <v>128</v>
      </c>
      <c r="P1344">
        <v>0</v>
      </c>
      <c r="Q1344">
        <v>0</v>
      </c>
      <c r="R1344" t="s">
        <v>1196</v>
      </c>
    </row>
    <row r="1345" spans="1:18" hidden="1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46022</v>
      </c>
      <c r="G1345">
        <v>2025</v>
      </c>
      <c r="H1345" t="s">
        <v>23</v>
      </c>
      <c r="I1345" t="s">
        <v>32</v>
      </c>
      <c r="J1345">
        <v>9</v>
      </c>
      <c r="K1345">
        <v>11</v>
      </c>
      <c r="L1345" s="39">
        <f t="shared" si="103"/>
        <v>1.2222222222222223</v>
      </c>
      <c r="M1345" s="39">
        <f t="shared" si="101"/>
        <v>1.2222222222222223</v>
      </c>
      <c r="N1345" t="s">
        <v>128</v>
      </c>
      <c r="O1345" t="s">
        <v>128</v>
      </c>
      <c r="P1345">
        <v>0</v>
      </c>
      <c r="Q1345">
        <v>0</v>
      </c>
      <c r="R1345" t="s">
        <v>1197</v>
      </c>
    </row>
    <row r="1346" spans="1:18" hidden="1" x14ac:dyDescent="0.3">
      <c r="A1346">
        <v>425</v>
      </c>
      <c r="B1346" t="s">
        <v>1198</v>
      </c>
      <c r="C1346" t="s">
        <v>1044</v>
      </c>
      <c r="D1346" t="s">
        <v>71</v>
      </c>
      <c r="E1346" t="s">
        <v>22</v>
      </c>
      <c r="F1346" s="79">
        <v>45291</v>
      </c>
      <c r="G1346">
        <v>2023</v>
      </c>
      <c r="H1346" t="s">
        <v>23</v>
      </c>
      <c r="I1346" t="s">
        <v>28</v>
      </c>
      <c r="J1346">
        <v>5500</v>
      </c>
      <c r="K1346">
        <v>5785</v>
      </c>
      <c r="L1346" s="39">
        <f t="shared" si="103"/>
        <v>1.0518181818181818</v>
      </c>
      <c r="M1346" s="39">
        <f t="shared" si="101"/>
        <v>1.0518181818181818</v>
      </c>
      <c r="P1346">
        <v>0</v>
      </c>
      <c r="Q1346">
        <v>0</v>
      </c>
      <c r="R1346" t="s">
        <v>1199</v>
      </c>
    </row>
    <row r="1347" spans="1:18" hidden="1" x14ac:dyDescent="0.3">
      <c r="A1347">
        <v>425</v>
      </c>
      <c r="B1347" t="s">
        <v>1198</v>
      </c>
      <c r="C1347" t="s">
        <v>1044</v>
      </c>
      <c r="D1347" t="s">
        <v>27</v>
      </c>
      <c r="E1347" t="s">
        <v>22</v>
      </c>
      <c r="F1347" s="79">
        <v>45473</v>
      </c>
      <c r="G1347">
        <v>2024</v>
      </c>
      <c r="H1347" t="s">
        <v>699</v>
      </c>
      <c r="I1347" t="s">
        <v>729</v>
      </c>
      <c r="J1347">
        <v>100</v>
      </c>
      <c r="K1347">
        <v>60.69</v>
      </c>
      <c r="L1347" s="39">
        <f t="shared" si="103"/>
        <v>0.6069</v>
      </c>
      <c r="M1347" s="39">
        <f t="shared" si="101"/>
        <v>0.6069</v>
      </c>
      <c r="P1347">
        <v>0</v>
      </c>
      <c r="Q1347">
        <v>0</v>
      </c>
      <c r="R1347" t="s">
        <v>2930</v>
      </c>
    </row>
    <row r="1348" spans="1:18" hidden="1" x14ac:dyDescent="0.3">
      <c r="A1348">
        <v>425</v>
      </c>
      <c r="B1348" t="s">
        <v>1198</v>
      </c>
      <c r="C1348" t="s">
        <v>1044</v>
      </c>
      <c r="D1348" t="s">
        <v>27</v>
      </c>
      <c r="E1348" t="s">
        <v>22</v>
      </c>
      <c r="F1348" s="79">
        <v>45657</v>
      </c>
      <c r="G1348">
        <v>2024</v>
      </c>
      <c r="H1348" t="s">
        <v>23</v>
      </c>
      <c r="I1348" t="s">
        <v>30</v>
      </c>
      <c r="J1348">
        <v>100</v>
      </c>
      <c r="K1348">
        <v>164.69</v>
      </c>
      <c r="L1348" s="39">
        <f t="shared" si="103"/>
        <v>1.3</v>
      </c>
      <c r="M1348" s="39">
        <f t="shared" si="101"/>
        <v>1.6469</v>
      </c>
      <c r="P1348">
        <v>0</v>
      </c>
      <c r="Q1348">
        <v>0</v>
      </c>
      <c r="R1348" t="s">
        <v>1200</v>
      </c>
    </row>
    <row r="1349" spans="1:18" hidden="1" x14ac:dyDescent="0.3">
      <c r="A1349">
        <v>426</v>
      </c>
      <c r="B1349" t="s">
        <v>1201</v>
      </c>
      <c r="C1349" t="s">
        <v>149</v>
      </c>
      <c r="D1349" t="s">
        <v>27</v>
      </c>
      <c r="E1349" t="s">
        <v>22</v>
      </c>
      <c r="F1349" s="79">
        <v>45107</v>
      </c>
      <c r="G1349">
        <v>2023</v>
      </c>
      <c r="H1349" t="s">
        <v>699</v>
      </c>
      <c r="I1349" t="s">
        <v>1512</v>
      </c>
      <c r="K1349">
        <v>86.98</v>
      </c>
      <c r="L1349" s="39"/>
      <c r="M1349" s="39"/>
      <c r="N1349" t="s">
        <v>355</v>
      </c>
      <c r="O1349" t="s">
        <v>25</v>
      </c>
      <c r="P1349">
        <v>0</v>
      </c>
      <c r="Q1349">
        <v>0</v>
      </c>
      <c r="R1349" t="s">
        <v>2931</v>
      </c>
    </row>
    <row r="1350" spans="1:18" hidden="1" x14ac:dyDescent="0.3">
      <c r="A1350">
        <v>426</v>
      </c>
      <c r="B1350" t="s">
        <v>1201</v>
      </c>
      <c r="C1350" t="s">
        <v>149</v>
      </c>
      <c r="D1350" t="s">
        <v>27</v>
      </c>
      <c r="E1350" t="s">
        <v>22</v>
      </c>
      <c r="F1350" s="79">
        <v>45291</v>
      </c>
      <c r="G1350">
        <v>2023</v>
      </c>
      <c r="H1350" t="s">
        <v>23</v>
      </c>
      <c r="I1350" t="s">
        <v>28</v>
      </c>
      <c r="K1350">
        <v>92.31</v>
      </c>
      <c r="L1350" s="39"/>
      <c r="M1350" s="39"/>
      <c r="N1350" t="s">
        <v>355</v>
      </c>
      <c r="O1350" t="s">
        <v>25</v>
      </c>
      <c r="P1350">
        <v>0</v>
      </c>
      <c r="Q1350">
        <v>0</v>
      </c>
      <c r="R1350" t="s">
        <v>1202</v>
      </c>
    </row>
    <row r="1351" spans="1:18" hidden="1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45473</v>
      </c>
      <c r="G1351">
        <v>2024</v>
      </c>
      <c r="H1351" t="s">
        <v>699</v>
      </c>
      <c r="I1351" t="s">
        <v>729</v>
      </c>
      <c r="J1351">
        <v>80</v>
      </c>
      <c r="K1351">
        <v>60.27</v>
      </c>
      <c r="L1351" s="39">
        <f t="shared" ref="L1351:L1382" si="104">IFERROR(IF(OR(J1351=0,K1351=""),"",IF(E1351="Positivo",MIN(MAX(K1351/J1351,0),1.3),MIN(MAX(J1351/K1351,0),1.3))),"")</f>
        <v>0.75337500000000002</v>
      </c>
      <c r="M1351" s="39">
        <f t="shared" ref="M1351:M1382" si="105">IFERROR(IF(OR(J1351=0,K1351=""),"",IF(E1351="Positivo",MAX(K1351/J1351,0),MAX(J1351/K1351,0))),"")</f>
        <v>0.75337500000000002</v>
      </c>
      <c r="P1351">
        <v>0</v>
      </c>
      <c r="Q1351">
        <v>0</v>
      </c>
      <c r="R1351" t="s">
        <v>2932</v>
      </c>
    </row>
    <row r="1352" spans="1:18" hidden="1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45657</v>
      </c>
      <c r="G1352">
        <v>2024</v>
      </c>
      <c r="H1352" t="s">
        <v>23</v>
      </c>
      <c r="I1352" t="s">
        <v>30</v>
      </c>
      <c r="J1352">
        <v>80</v>
      </c>
      <c r="K1352">
        <v>86.72</v>
      </c>
      <c r="L1352" s="39">
        <f t="shared" si="104"/>
        <v>1.0840000000000001</v>
      </c>
      <c r="M1352" s="39">
        <f t="shared" si="105"/>
        <v>1.0840000000000001</v>
      </c>
      <c r="P1352">
        <v>0</v>
      </c>
      <c r="Q1352">
        <v>0</v>
      </c>
      <c r="R1352" t="s">
        <v>1203</v>
      </c>
    </row>
    <row r="1353" spans="1:18" hidden="1" x14ac:dyDescent="0.3">
      <c r="A1353">
        <v>427</v>
      </c>
      <c r="B1353" t="s">
        <v>1204</v>
      </c>
      <c r="C1353" t="s">
        <v>190</v>
      </c>
      <c r="D1353" t="s">
        <v>27</v>
      </c>
      <c r="E1353" t="s">
        <v>41</v>
      </c>
      <c r="F1353" s="79">
        <v>45107</v>
      </c>
      <c r="G1353">
        <v>2023</v>
      </c>
      <c r="H1353" t="s">
        <v>699</v>
      </c>
      <c r="I1353" t="s">
        <v>1512</v>
      </c>
      <c r="J1353">
        <v>0.2</v>
      </c>
      <c r="K1353">
        <v>0.13666666666666999</v>
      </c>
      <c r="L1353" s="39">
        <f t="shared" si="104"/>
        <v>1.3</v>
      </c>
      <c r="M1353" s="39">
        <f t="shared" si="105"/>
        <v>1.4634146341463059</v>
      </c>
      <c r="N1353" t="s">
        <v>136</v>
      </c>
      <c r="O1353" t="s">
        <v>136</v>
      </c>
      <c r="P1353">
        <v>2</v>
      </c>
      <c r="Q1353">
        <v>2</v>
      </c>
      <c r="R1353" t="s">
        <v>2933</v>
      </c>
    </row>
    <row r="1354" spans="1:18" hidden="1" x14ac:dyDescent="0.3">
      <c r="A1354">
        <v>427</v>
      </c>
      <c r="B1354" t="s">
        <v>1204</v>
      </c>
      <c r="C1354" t="s">
        <v>190</v>
      </c>
      <c r="D1354" t="s">
        <v>27</v>
      </c>
      <c r="E1354" t="s">
        <v>41</v>
      </c>
      <c r="F1354" s="79">
        <v>45291</v>
      </c>
      <c r="G1354">
        <v>2023</v>
      </c>
      <c r="H1354" t="s">
        <v>23</v>
      </c>
      <c r="I1354" t="s">
        <v>28</v>
      </c>
      <c r="J1354">
        <v>0.2</v>
      </c>
      <c r="K1354">
        <v>0.2</v>
      </c>
      <c r="L1354" s="39">
        <f t="shared" si="104"/>
        <v>1</v>
      </c>
      <c r="M1354" s="39">
        <f t="shared" si="105"/>
        <v>1</v>
      </c>
      <c r="N1354" t="s">
        <v>136</v>
      </c>
      <c r="O1354" t="s">
        <v>136</v>
      </c>
      <c r="P1354">
        <v>2</v>
      </c>
      <c r="Q1354">
        <v>2</v>
      </c>
      <c r="R1354" t="s">
        <v>1205</v>
      </c>
    </row>
    <row r="1355" spans="1:18" hidden="1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45473</v>
      </c>
      <c r="G1355">
        <v>2024</v>
      </c>
      <c r="H1355" t="s">
        <v>699</v>
      </c>
      <c r="I1355" t="s">
        <v>729</v>
      </c>
      <c r="J1355">
        <v>0.2</v>
      </c>
      <c r="K1355">
        <v>0.17</v>
      </c>
      <c r="L1355" s="39">
        <f t="shared" si="104"/>
        <v>1.1764705882352942</v>
      </c>
      <c r="M1355" s="39">
        <f t="shared" si="105"/>
        <v>1.1764705882352942</v>
      </c>
      <c r="P1355">
        <v>0</v>
      </c>
      <c r="Q1355">
        <v>0</v>
      </c>
      <c r="R1355" t="s">
        <v>2934</v>
      </c>
    </row>
    <row r="1356" spans="1:18" hidden="1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45657</v>
      </c>
      <c r="G1356">
        <v>2024</v>
      </c>
      <c r="H1356" t="s">
        <v>23</v>
      </c>
      <c r="I1356" t="s">
        <v>30</v>
      </c>
      <c r="J1356">
        <v>0.2</v>
      </c>
      <c r="K1356">
        <v>0.17</v>
      </c>
      <c r="L1356" s="39">
        <f t="shared" si="104"/>
        <v>1.1764705882352942</v>
      </c>
      <c r="M1356" s="39">
        <f t="shared" si="105"/>
        <v>1.1764705882352942</v>
      </c>
      <c r="P1356">
        <v>0</v>
      </c>
      <c r="Q1356">
        <v>0</v>
      </c>
      <c r="R1356" t="s">
        <v>1206</v>
      </c>
    </row>
    <row r="1357" spans="1:18" hidden="1" x14ac:dyDescent="0.3">
      <c r="A1357">
        <v>427</v>
      </c>
      <c r="B1357" t="s">
        <v>1204</v>
      </c>
      <c r="C1357" t="s">
        <v>190</v>
      </c>
      <c r="D1357" t="s">
        <v>21</v>
      </c>
      <c r="E1357" t="s">
        <v>41</v>
      </c>
      <c r="F1357" s="79">
        <v>45838</v>
      </c>
      <c r="G1357">
        <v>2025</v>
      </c>
      <c r="H1357" t="s">
        <v>699</v>
      </c>
      <c r="I1357" t="s">
        <v>700</v>
      </c>
      <c r="J1357">
        <v>0.2</v>
      </c>
      <c r="K1357">
        <v>0.14000000000000001</v>
      </c>
      <c r="L1357" s="39">
        <f t="shared" si="104"/>
        <v>1.3</v>
      </c>
      <c r="M1357" s="39">
        <f t="shared" si="105"/>
        <v>1.4285714285714286</v>
      </c>
      <c r="N1357" t="s">
        <v>136</v>
      </c>
      <c r="O1357" t="s">
        <v>136</v>
      </c>
      <c r="P1357">
        <v>2</v>
      </c>
      <c r="Q1357">
        <v>2</v>
      </c>
      <c r="R1357" t="s">
        <v>2935</v>
      </c>
    </row>
    <row r="1358" spans="1:18" hidden="1" x14ac:dyDescent="0.3">
      <c r="A1358">
        <v>427</v>
      </c>
      <c r="B1358" t="s">
        <v>1204</v>
      </c>
      <c r="C1358" t="s">
        <v>190</v>
      </c>
      <c r="D1358" t="s">
        <v>21</v>
      </c>
      <c r="E1358" t="s">
        <v>41</v>
      </c>
      <c r="F1358" s="79">
        <v>46022</v>
      </c>
      <c r="G1358">
        <v>2025</v>
      </c>
      <c r="H1358" t="s">
        <v>23</v>
      </c>
      <c r="I1358" t="s">
        <v>32</v>
      </c>
      <c r="J1358">
        <v>0.2</v>
      </c>
      <c r="K1358">
        <v>0.15</v>
      </c>
      <c r="L1358" s="39">
        <f t="shared" si="104"/>
        <v>1.3</v>
      </c>
      <c r="M1358" s="39">
        <f t="shared" si="105"/>
        <v>1.3333333333333335</v>
      </c>
      <c r="N1358" t="s">
        <v>136</v>
      </c>
      <c r="O1358" t="s">
        <v>136</v>
      </c>
      <c r="P1358">
        <v>2</v>
      </c>
      <c r="Q1358">
        <v>2</v>
      </c>
      <c r="R1358" t="s">
        <v>1207</v>
      </c>
    </row>
    <row r="1359" spans="1:18" hidden="1" x14ac:dyDescent="0.3">
      <c r="A1359">
        <v>428</v>
      </c>
      <c r="B1359" t="s">
        <v>1208</v>
      </c>
      <c r="C1359" t="s">
        <v>190</v>
      </c>
      <c r="D1359" t="s">
        <v>27</v>
      </c>
      <c r="E1359" t="s">
        <v>41</v>
      </c>
      <c r="F1359" s="79">
        <v>45107</v>
      </c>
      <c r="G1359">
        <v>2023</v>
      </c>
      <c r="H1359" t="s">
        <v>699</v>
      </c>
      <c r="I1359" t="s">
        <v>1512</v>
      </c>
      <c r="J1359">
        <v>20</v>
      </c>
      <c r="K1359">
        <v>17.59</v>
      </c>
      <c r="L1359" s="39">
        <f t="shared" si="104"/>
        <v>1.137009664582149</v>
      </c>
      <c r="M1359" s="39">
        <f t="shared" si="105"/>
        <v>1.137009664582149</v>
      </c>
      <c r="N1359" t="s">
        <v>424</v>
      </c>
      <c r="O1359" t="s">
        <v>424</v>
      </c>
      <c r="P1359">
        <v>0</v>
      </c>
      <c r="Q1359">
        <v>0</v>
      </c>
      <c r="R1359" t="s">
        <v>2936</v>
      </c>
    </row>
    <row r="1360" spans="1:18" hidden="1" x14ac:dyDescent="0.3">
      <c r="A1360">
        <v>428</v>
      </c>
      <c r="B1360" t="s">
        <v>1208</v>
      </c>
      <c r="C1360" t="s">
        <v>190</v>
      </c>
      <c r="D1360" t="s">
        <v>27</v>
      </c>
      <c r="E1360" t="s">
        <v>41</v>
      </c>
      <c r="F1360" s="79">
        <v>45291</v>
      </c>
      <c r="G1360">
        <v>2023</v>
      </c>
      <c r="H1360" t="s">
        <v>23</v>
      </c>
      <c r="I1360" t="s">
        <v>28</v>
      </c>
      <c r="J1360">
        <v>20</v>
      </c>
      <c r="K1360">
        <v>18.63</v>
      </c>
      <c r="L1360" s="39">
        <f t="shared" si="104"/>
        <v>1.0735373054213635</v>
      </c>
      <c r="M1360" s="39">
        <f t="shared" si="105"/>
        <v>1.0735373054213635</v>
      </c>
      <c r="N1360" t="s">
        <v>424</v>
      </c>
      <c r="O1360" t="s">
        <v>424</v>
      </c>
      <c r="P1360">
        <v>0</v>
      </c>
      <c r="Q1360">
        <v>0</v>
      </c>
      <c r="R1360" t="s">
        <v>1209</v>
      </c>
    </row>
    <row r="1361" spans="1:18" hidden="1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45473</v>
      </c>
      <c r="G1361">
        <v>2024</v>
      </c>
      <c r="H1361" t="s">
        <v>699</v>
      </c>
      <c r="I1361" t="s">
        <v>729</v>
      </c>
      <c r="J1361">
        <v>20</v>
      </c>
      <c r="K1361">
        <v>16.579999999999998</v>
      </c>
      <c r="L1361" s="39">
        <f t="shared" si="104"/>
        <v>1.2062726176115803</v>
      </c>
      <c r="M1361" s="39">
        <f t="shared" si="105"/>
        <v>1.2062726176115803</v>
      </c>
      <c r="N1361" t="s">
        <v>424</v>
      </c>
      <c r="O1361" t="s">
        <v>424</v>
      </c>
      <c r="P1361">
        <v>0</v>
      </c>
      <c r="Q1361">
        <v>0</v>
      </c>
      <c r="R1361" t="s">
        <v>2937</v>
      </c>
    </row>
    <row r="1362" spans="1:18" hidden="1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45657</v>
      </c>
      <c r="G1362">
        <v>2024</v>
      </c>
      <c r="H1362" t="s">
        <v>23</v>
      </c>
      <c r="I1362" t="s">
        <v>30</v>
      </c>
      <c r="J1362">
        <v>20</v>
      </c>
      <c r="K1362">
        <v>18.53</v>
      </c>
      <c r="L1362" s="39">
        <f t="shared" si="104"/>
        <v>1.0793308148947651</v>
      </c>
      <c r="M1362" s="39">
        <f t="shared" si="105"/>
        <v>1.0793308148947651</v>
      </c>
      <c r="N1362" t="s">
        <v>424</v>
      </c>
      <c r="O1362" t="s">
        <v>424</v>
      </c>
      <c r="P1362">
        <v>0</v>
      </c>
      <c r="Q1362">
        <v>0</v>
      </c>
      <c r="R1362" t="s">
        <v>1210</v>
      </c>
    </row>
    <row r="1363" spans="1:18" hidden="1" x14ac:dyDescent="0.3">
      <c r="A1363">
        <v>428</v>
      </c>
      <c r="B1363" t="s">
        <v>1208</v>
      </c>
      <c r="C1363" t="s">
        <v>190</v>
      </c>
      <c r="D1363" t="s">
        <v>21</v>
      </c>
      <c r="E1363" t="s">
        <v>41</v>
      </c>
      <c r="F1363" s="79">
        <v>45838</v>
      </c>
      <c r="G1363">
        <v>2025</v>
      </c>
      <c r="H1363" t="s">
        <v>699</v>
      </c>
      <c r="I1363" t="s">
        <v>700</v>
      </c>
      <c r="J1363">
        <v>20</v>
      </c>
      <c r="K1363">
        <v>15.12</v>
      </c>
      <c r="L1363" s="39">
        <f t="shared" si="104"/>
        <v>1.3</v>
      </c>
      <c r="M1363" s="39">
        <f t="shared" si="105"/>
        <v>1.3227513227513228</v>
      </c>
      <c r="N1363" t="s">
        <v>424</v>
      </c>
      <c r="O1363" t="s">
        <v>424</v>
      </c>
      <c r="P1363">
        <v>0</v>
      </c>
      <c r="Q1363">
        <v>1</v>
      </c>
      <c r="R1363" t="s">
        <v>2938</v>
      </c>
    </row>
    <row r="1364" spans="1:18" hidden="1" x14ac:dyDescent="0.3">
      <c r="A1364">
        <v>428</v>
      </c>
      <c r="B1364" t="s">
        <v>1208</v>
      </c>
      <c r="C1364" t="s">
        <v>190</v>
      </c>
      <c r="D1364" t="s">
        <v>21</v>
      </c>
      <c r="E1364" t="s">
        <v>41</v>
      </c>
      <c r="F1364" s="79">
        <v>46022</v>
      </c>
      <c r="G1364">
        <v>2025</v>
      </c>
      <c r="H1364" t="s">
        <v>23</v>
      </c>
      <c r="I1364" t="s">
        <v>32</v>
      </c>
      <c r="J1364">
        <v>20</v>
      </c>
      <c r="K1364">
        <v>17.88</v>
      </c>
      <c r="L1364" s="39">
        <f t="shared" si="104"/>
        <v>1.1185682326621924</v>
      </c>
      <c r="M1364" s="39">
        <f t="shared" si="105"/>
        <v>1.1185682326621924</v>
      </c>
      <c r="N1364" t="s">
        <v>424</v>
      </c>
      <c r="O1364" t="s">
        <v>424</v>
      </c>
      <c r="P1364">
        <v>0</v>
      </c>
      <c r="Q1364">
        <v>1</v>
      </c>
      <c r="R1364" t="s">
        <v>1211</v>
      </c>
    </row>
    <row r="1365" spans="1:18" hidden="1" x14ac:dyDescent="0.3">
      <c r="A1365">
        <v>429</v>
      </c>
      <c r="B1365" t="s">
        <v>1212</v>
      </c>
      <c r="C1365" t="s">
        <v>190</v>
      </c>
      <c r="D1365" t="s">
        <v>27</v>
      </c>
      <c r="E1365" t="s">
        <v>41</v>
      </c>
      <c r="F1365" s="79">
        <v>45107</v>
      </c>
      <c r="G1365">
        <v>2023</v>
      </c>
      <c r="H1365" t="s">
        <v>699</v>
      </c>
      <c r="I1365" t="s">
        <v>1512</v>
      </c>
      <c r="J1365">
        <v>0.76</v>
      </c>
      <c r="K1365">
        <v>0.3</v>
      </c>
      <c r="L1365" s="39">
        <f t="shared" si="104"/>
        <v>1.3</v>
      </c>
      <c r="M1365" s="39">
        <f t="shared" si="105"/>
        <v>2.5333333333333337</v>
      </c>
      <c r="N1365" t="s">
        <v>136</v>
      </c>
      <c r="O1365" t="s">
        <v>136</v>
      </c>
      <c r="P1365">
        <v>1</v>
      </c>
      <c r="Q1365">
        <v>1</v>
      </c>
      <c r="R1365" t="s">
        <v>2939</v>
      </c>
    </row>
    <row r="1366" spans="1:18" hidden="1" x14ac:dyDescent="0.3">
      <c r="A1366">
        <v>429</v>
      </c>
      <c r="B1366" t="s">
        <v>1212</v>
      </c>
      <c r="C1366" t="s">
        <v>190</v>
      </c>
      <c r="D1366" t="s">
        <v>27</v>
      </c>
      <c r="E1366" t="s">
        <v>41</v>
      </c>
      <c r="F1366" s="79">
        <v>45291</v>
      </c>
      <c r="G1366">
        <v>2023</v>
      </c>
      <c r="H1366" t="s">
        <v>23</v>
      </c>
      <c r="I1366" t="s">
        <v>28</v>
      </c>
      <c r="J1366">
        <v>0.76</v>
      </c>
      <c r="K1366">
        <v>0.76</v>
      </c>
      <c r="L1366" s="39">
        <f t="shared" si="104"/>
        <v>1</v>
      </c>
      <c r="M1366" s="39">
        <f t="shared" si="105"/>
        <v>1</v>
      </c>
      <c r="N1366" t="s">
        <v>136</v>
      </c>
      <c r="O1366" t="s">
        <v>136</v>
      </c>
      <c r="P1366">
        <v>1</v>
      </c>
      <c r="Q1366">
        <v>1</v>
      </c>
      <c r="R1366" t="s">
        <v>1213</v>
      </c>
    </row>
    <row r="1367" spans="1:18" hidden="1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45473</v>
      </c>
      <c r="G1367">
        <v>2024</v>
      </c>
      <c r="H1367" t="s">
        <v>699</v>
      </c>
      <c r="I1367" t="s">
        <v>729</v>
      </c>
      <c r="J1367">
        <v>0.76</v>
      </c>
      <c r="K1367">
        <v>0.66</v>
      </c>
      <c r="L1367" s="39">
        <f t="shared" si="104"/>
        <v>1.1515151515151514</v>
      </c>
      <c r="M1367" s="39">
        <f t="shared" si="105"/>
        <v>1.1515151515151514</v>
      </c>
      <c r="P1367">
        <v>0</v>
      </c>
      <c r="Q1367">
        <v>0</v>
      </c>
      <c r="R1367" t="s">
        <v>2940</v>
      </c>
    </row>
    <row r="1368" spans="1:18" hidden="1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45657</v>
      </c>
      <c r="G1368">
        <v>2024</v>
      </c>
      <c r="H1368" t="s">
        <v>23</v>
      </c>
      <c r="I1368" t="s">
        <v>30</v>
      </c>
      <c r="J1368">
        <v>0.76</v>
      </c>
      <c r="K1368">
        <v>0.67</v>
      </c>
      <c r="L1368" s="39">
        <f t="shared" si="104"/>
        <v>1.1343283582089552</v>
      </c>
      <c r="M1368" s="39">
        <f t="shared" si="105"/>
        <v>1.1343283582089552</v>
      </c>
      <c r="P1368">
        <v>0</v>
      </c>
      <c r="Q1368">
        <v>0</v>
      </c>
      <c r="R1368" t="s">
        <v>1214</v>
      </c>
    </row>
    <row r="1369" spans="1:18" hidden="1" x14ac:dyDescent="0.3">
      <c r="A1369">
        <v>429</v>
      </c>
      <c r="B1369" t="s">
        <v>1212</v>
      </c>
      <c r="C1369" t="s">
        <v>190</v>
      </c>
      <c r="D1369" t="s">
        <v>21</v>
      </c>
      <c r="E1369" t="s">
        <v>41</v>
      </c>
      <c r="F1369" s="79">
        <v>45838</v>
      </c>
      <c r="G1369">
        <v>2025</v>
      </c>
      <c r="H1369" t="s">
        <v>699</v>
      </c>
      <c r="I1369" t="s">
        <v>700</v>
      </c>
      <c r="J1369">
        <v>0.76</v>
      </c>
      <c r="K1369">
        <v>0.59</v>
      </c>
      <c r="L1369" s="39">
        <f t="shared" si="104"/>
        <v>1.2881355932203391</v>
      </c>
      <c r="M1369" s="39">
        <f t="shared" si="105"/>
        <v>1.2881355932203391</v>
      </c>
      <c r="N1369" t="s">
        <v>136</v>
      </c>
      <c r="O1369" t="s">
        <v>136</v>
      </c>
      <c r="P1369">
        <v>2</v>
      </c>
      <c r="Q1369">
        <v>2</v>
      </c>
      <c r="R1369" t="s">
        <v>2941</v>
      </c>
    </row>
    <row r="1370" spans="1:18" hidden="1" x14ac:dyDescent="0.3">
      <c r="A1370">
        <v>429</v>
      </c>
      <c r="B1370" t="s">
        <v>1212</v>
      </c>
      <c r="C1370" t="s">
        <v>190</v>
      </c>
      <c r="D1370" t="s">
        <v>21</v>
      </c>
      <c r="E1370" t="s">
        <v>41</v>
      </c>
      <c r="F1370" s="79">
        <v>46022</v>
      </c>
      <c r="G1370">
        <v>2025</v>
      </c>
      <c r="H1370" t="s">
        <v>23</v>
      </c>
      <c r="I1370" t="s">
        <v>32</v>
      </c>
      <c r="J1370">
        <v>0.76</v>
      </c>
      <c r="K1370">
        <v>0.52</v>
      </c>
      <c r="L1370" s="39">
        <f t="shared" si="104"/>
        <v>1.3</v>
      </c>
      <c r="M1370" s="39">
        <f t="shared" si="105"/>
        <v>1.4615384615384615</v>
      </c>
      <c r="N1370" t="s">
        <v>136</v>
      </c>
      <c r="O1370" t="s">
        <v>136</v>
      </c>
      <c r="P1370">
        <v>2</v>
      </c>
      <c r="Q1370">
        <v>2</v>
      </c>
      <c r="R1370" t="s">
        <v>1215</v>
      </c>
    </row>
    <row r="1371" spans="1:18" hidden="1" x14ac:dyDescent="0.3">
      <c r="A1371">
        <v>430</v>
      </c>
      <c r="B1371" t="s">
        <v>1216</v>
      </c>
      <c r="C1371" t="s">
        <v>159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1512</v>
      </c>
      <c r="J1371">
        <v>95</v>
      </c>
      <c r="K1371">
        <v>104.59563552424</v>
      </c>
      <c r="L1371" s="39">
        <f t="shared" si="104"/>
        <v>1.101006689728842</v>
      </c>
      <c r="M1371" s="39">
        <f t="shared" si="105"/>
        <v>1.101006689728842</v>
      </c>
      <c r="N1371" t="s">
        <v>205</v>
      </c>
      <c r="O1371" t="s">
        <v>205</v>
      </c>
      <c r="P1371">
        <v>0</v>
      </c>
      <c r="Q1371">
        <v>0</v>
      </c>
      <c r="R1371" t="s">
        <v>2942</v>
      </c>
    </row>
    <row r="1372" spans="1:18" hidden="1" x14ac:dyDescent="0.3">
      <c r="A1372">
        <v>430</v>
      </c>
      <c r="B1372" t="s">
        <v>1216</v>
      </c>
      <c r="C1372" t="s">
        <v>159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J1372">
        <v>95</v>
      </c>
      <c r="K1372">
        <v>101.39526345983001</v>
      </c>
      <c r="L1372" s="39">
        <f t="shared" si="104"/>
        <v>1.0673185627350528</v>
      </c>
      <c r="M1372" s="39">
        <f t="shared" si="105"/>
        <v>1.0673185627350528</v>
      </c>
      <c r="N1372" t="s">
        <v>205</v>
      </c>
      <c r="O1372" t="s">
        <v>205</v>
      </c>
      <c r="P1372">
        <v>0</v>
      </c>
      <c r="Q1372">
        <v>0</v>
      </c>
      <c r="R1372" t="s">
        <v>1217</v>
      </c>
    </row>
    <row r="1373" spans="1:18" hidden="1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95</v>
      </c>
      <c r="K1373">
        <v>101.88</v>
      </c>
      <c r="L1373" s="39">
        <f t="shared" si="104"/>
        <v>1.0724210526315789</v>
      </c>
      <c r="M1373" s="39">
        <f t="shared" si="105"/>
        <v>1.0724210526315789</v>
      </c>
      <c r="N1373" t="s">
        <v>205</v>
      </c>
      <c r="O1373" t="s">
        <v>205</v>
      </c>
      <c r="P1373">
        <v>0</v>
      </c>
      <c r="Q1373">
        <v>0</v>
      </c>
      <c r="R1373" t="s">
        <v>2943</v>
      </c>
    </row>
    <row r="1374" spans="1:18" hidden="1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95</v>
      </c>
      <c r="K1374">
        <v>102.9374919710379</v>
      </c>
      <c r="L1374" s="39">
        <f t="shared" si="104"/>
        <v>1.0835525470635567</v>
      </c>
      <c r="M1374" s="39">
        <f t="shared" si="105"/>
        <v>1.0835525470635567</v>
      </c>
      <c r="P1374">
        <v>0</v>
      </c>
      <c r="Q1374">
        <v>0</v>
      </c>
      <c r="R1374" t="s">
        <v>1218</v>
      </c>
    </row>
    <row r="1375" spans="1:18" hidden="1" x14ac:dyDescent="0.3">
      <c r="A1375">
        <v>430</v>
      </c>
      <c r="B1375" t="s">
        <v>1216</v>
      </c>
      <c r="C1375" t="s">
        <v>159</v>
      </c>
      <c r="D1375" t="s">
        <v>21</v>
      </c>
      <c r="E1375" t="s">
        <v>22</v>
      </c>
      <c r="F1375" s="79">
        <v>45838</v>
      </c>
      <c r="G1375">
        <v>2025</v>
      </c>
      <c r="H1375" t="s">
        <v>699</v>
      </c>
      <c r="I1375" t="s">
        <v>700</v>
      </c>
      <c r="J1375">
        <v>95</v>
      </c>
      <c r="K1375">
        <v>110.79</v>
      </c>
      <c r="L1375" s="39">
        <f t="shared" si="104"/>
        <v>1.1662105263157896</v>
      </c>
      <c r="M1375" s="39">
        <f t="shared" si="105"/>
        <v>1.1662105263157896</v>
      </c>
      <c r="N1375" t="s">
        <v>25</v>
      </c>
      <c r="O1375" t="s">
        <v>25</v>
      </c>
      <c r="P1375">
        <v>0</v>
      </c>
      <c r="Q1375">
        <v>0</v>
      </c>
      <c r="R1375" t="s">
        <v>2944</v>
      </c>
    </row>
    <row r="1376" spans="1:18" hidden="1" x14ac:dyDescent="0.3">
      <c r="A1376">
        <v>430</v>
      </c>
      <c r="B1376" t="s">
        <v>1216</v>
      </c>
      <c r="C1376" t="s">
        <v>159</v>
      </c>
      <c r="D1376" t="s">
        <v>21</v>
      </c>
      <c r="E1376" t="s">
        <v>22</v>
      </c>
      <c r="F1376" s="79">
        <v>46022</v>
      </c>
      <c r="G1376">
        <v>2025</v>
      </c>
      <c r="H1376" t="s">
        <v>23</v>
      </c>
      <c r="I1376" t="s">
        <v>32</v>
      </c>
      <c r="J1376">
        <v>95</v>
      </c>
      <c r="K1376">
        <v>111.76</v>
      </c>
      <c r="L1376" s="39">
        <f t="shared" si="104"/>
        <v>1.176421052631579</v>
      </c>
      <c r="M1376" s="39">
        <f t="shared" si="105"/>
        <v>1.176421052631579</v>
      </c>
      <c r="N1376" t="s">
        <v>25</v>
      </c>
      <c r="O1376" t="s">
        <v>25</v>
      </c>
      <c r="P1376">
        <v>0</v>
      </c>
      <c r="Q1376">
        <v>0</v>
      </c>
      <c r="R1376" t="s">
        <v>1219</v>
      </c>
    </row>
    <row r="1377" spans="1:18" hidden="1" x14ac:dyDescent="0.3">
      <c r="A1377">
        <v>431</v>
      </c>
      <c r="B1377" t="s">
        <v>1220</v>
      </c>
      <c r="C1377" t="s">
        <v>70</v>
      </c>
      <c r="D1377" t="s">
        <v>21</v>
      </c>
      <c r="E1377" t="s">
        <v>22</v>
      </c>
      <c r="F1377" s="79">
        <v>45199</v>
      </c>
      <c r="G1377">
        <v>2023</v>
      </c>
      <c r="H1377" t="s">
        <v>162</v>
      </c>
      <c r="I1377" t="s">
        <v>28</v>
      </c>
      <c r="J1377">
        <v>100</v>
      </c>
      <c r="K1377">
        <v>100</v>
      </c>
      <c r="L1377" s="39">
        <f t="shared" si="104"/>
        <v>1</v>
      </c>
      <c r="M1377" s="39">
        <f t="shared" si="105"/>
        <v>1</v>
      </c>
      <c r="N1377" t="s">
        <v>25</v>
      </c>
      <c r="O1377" t="s">
        <v>25</v>
      </c>
      <c r="P1377">
        <v>0</v>
      </c>
      <c r="Q1377">
        <v>0</v>
      </c>
      <c r="R1377" t="s">
        <v>2945</v>
      </c>
    </row>
    <row r="1378" spans="1:18" hidden="1" x14ac:dyDescent="0.3">
      <c r="A1378">
        <v>431</v>
      </c>
      <c r="B1378" t="s">
        <v>1220</v>
      </c>
      <c r="C1378" t="s">
        <v>70</v>
      </c>
      <c r="D1378" t="s">
        <v>21</v>
      </c>
      <c r="E1378" t="s">
        <v>22</v>
      </c>
      <c r="F1378" s="79">
        <v>45291</v>
      </c>
      <c r="G1378">
        <v>2023</v>
      </c>
      <c r="H1378" t="s">
        <v>23</v>
      </c>
      <c r="I1378" t="s">
        <v>28</v>
      </c>
      <c r="J1378">
        <v>100</v>
      </c>
      <c r="K1378">
        <v>100</v>
      </c>
      <c r="L1378" s="39">
        <f t="shared" si="104"/>
        <v>1</v>
      </c>
      <c r="M1378" s="39">
        <f t="shared" si="105"/>
        <v>1</v>
      </c>
      <c r="N1378" t="s">
        <v>25</v>
      </c>
      <c r="O1378" t="s">
        <v>25</v>
      </c>
      <c r="P1378">
        <v>0</v>
      </c>
      <c r="Q1378">
        <v>0</v>
      </c>
      <c r="R1378" t="s">
        <v>1221</v>
      </c>
    </row>
    <row r="1379" spans="1:18" hidden="1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45473</v>
      </c>
      <c r="G1379">
        <v>2024</v>
      </c>
      <c r="H1379" t="s">
        <v>699</v>
      </c>
      <c r="I1379" t="s">
        <v>729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P1379">
        <v>0</v>
      </c>
      <c r="Q1379">
        <v>0</v>
      </c>
      <c r="R1379" t="s">
        <v>2947</v>
      </c>
    </row>
    <row r="1380" spans="1:18" hidden="1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45657</v>
      </c>
      <c r="G1380">
        <v>2024</v>
      </c>
      <c r="H1380" t="s">
        <v>23</v>
      </c>
      <c r="I1380" t="s">
        <v>30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P1380">
        <v>0</v>
      </c>
      <c r="Q1380">
        <v>0</v>
      </c>
      <c r="R1380" t="s">
        <v>1222</v>
      </c>
    </row>
    <row r="1381" spans="1:18" hidden="1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45838</v>
      </c>
      <c r="G1381">
        <v>2025</v>
      </c>
      <c r="H1381" t="s">
        <v>699</v>
      </c>
      <c r="I1381" t="s">
        <v>700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N1381" t="s">
        <v>25</v>
      </c>
      <c r="O1381" t="s">
        <v>25</v>
      </c>
      <c r="P1381">
        <v>0</v>
      </c>
      <c r="Q1381">
        <v>0</v>
      </c>
      <c r="R1381" t="s">
        <v>2950</v>
      </c>
    </row>
    <row r="1382" spans="1:18" hidden="1" x14ac:dyDescent="0.3">
      <c r="A1382">
        <v>431</v>
      </c>
      <c r="B1382" t="s">
        <v>1220</v>
      </c>
      <c r="C1382" t="s">
        <v>70</v>
      </c>
      <c r="D1382" t="s">
        <v>27</v>
      </c>
      <c r="E1382" t="s">
        <v>22</v>
      </c>
      <c r="F1382" s="79">
        <v>46022</v>
      </c>
      <c r="G1382">
        <v>2025</v>
      </c>
      <c r="H1382" t="s">
        <v>23</v>
      </c>
      <c r="I1382" t="s">
        <v>32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N1382" t="s">
        <v>25</v>
      </c>
      <c r="O1382" t="s">
        <v>25</v>
      </c>
      <c r="P1382">
        <v>0</v>
      </c>
      <c r="Q1382">
        <v>0</v>
      </c>
      <c r="R1382" t="s">
        <v>1223</v>
      </c>
    </row>
    <row r="1383" spans="1:18" hidden="1" x14ac:dyDescent="0.3">
      <c r="A1383">
        <v>432</v>
      </c>
      <c r="B1383" t="s">
        <v>1224</v>
      </c>
      <c r="C1383" t="s">
        <v>70</v>
      </c>
      <c r="D1383" t="s">
        <v>21</v>
      </c>
      <c r="E1383" t="s">
        <v>22</v>
      </c>
      <c r="F1383" s="79">
        <v>45291</v>
      </c>
      <c r="G1383">
        <v>2023</v>
      </c>
      <c r="H1383" t="s">
        <v>23</v>
      </c>
      <c r="I1383" t="s">
        <v>28</v>
      </c>
      <c r="J1383">
        <v>90</v>
      </c>
      <c r="K1383">
        <v>99.382777777778003</v>
      </c>
      <c r="L1383" s="39">
        <f t="shared" ref="L1383:L1411" si="106">IFERROR(IF(OR(J1383=0,K1383=""),"",IF(E1383="Positivo",MIN(MAX(K1383/J1383,0),1.3),MIN(MAX(J1383/K1383,0),1.3))),"")</f>
        <v>1.1042530864197555</v>
      </c>
      <c r="M1383" s="39">
        <f t="shared" ref="M1383:M1411" si="107">IFERROR(IF(OR(J1383=0,K1383=""),"",IF(E1383="Positivo",MAX(K1383/J1383,0),MAX(J1383/K1383,0))),"")</f>
        <v>1.1042530864197555</v>
      </c>
      <c r="N1383" t="s">
        <v>25</v>
      </c>
      <c r="O1383" t="s">
        <v>25</v>
      </c>
      <c r="P1383">
        <v>0</v>
      </c>
      <c r="Q1383">
        <v>0</v>
      </c>
      <c r="R1383" t="s">
        <v>1225</v>
      </c>
    </row>
    <row r="1384" spans="1:18" hidden="1" x14ac:dyDescent="0.3">
      <c r="A1384">
        <v>432</v>
      </c>
      <c r="B1384" t="s">
        <v>1224</v>
      </c>
      <c r="C1384" t="s">
        <v>70</v>
      </c>
      <c r="D1384" t="s">
        <v>21</v>
      </c>
      <c r="E1384" t="s">
        <v>22</v>
      </c>
      <c r="F1384" s="79">
        <v>45473</v>
      </c>
      <c r="G1384">
        <v>2024</v>
      </c>
      <c r="H1384" t="s">
        <v>699</v>
      </c>
      <c r="I1384" t="s">
        <v>729</v>
      </c>
      <c r="J1384">
        <v>90</v>
      </c>
      <c r="K1384">
        <v>100</v>
      </c>
      <c r="L1384" s="39">
        <f t="shared" si="106"/>
        <v>1.1111111111111112</v>
      </c>
      <c r="M1384" s="39">
        <f t="shared" si="107"/>
        <v>1.1111111111111112</v>
      </c>
      <c r="P1384">
        <v>0</v>
      </c>
      <c r="Q1384">
        <v>0</v>
      </c>
      <c r="R1384" t="s">
        <v>2955</v>
      </c>
    </row>
    <row r="1385" spans="1:18" hidden="1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45657</v>
      </c>
      <c r="G1385">
        <v>2024</v>
      </c>
      <c r="H1385" t="s">
        <v>23</v>
      </c>
      <c r="I1385" t="s">
        <v>30</v>
      </c>
      <c r="J1385">
        <v>90</v>
      </c>
      <c r="K1385">
        <v>50</v>
      </c>
      <c r="L1385" s="39">
        <f t="shared" si="106"/>
        <v>0.55555555555555558</v>
      </c>
      <c r="M1385" s="39">
        <f t="shared" si="107"/>
        <v>0.55555555555555558</v>
      </c>
      <c r="P1385">
        <v>0</v>
      </c>
      <c r="Q1385">
        <v>0</v>
      </c>
      <c r="R1385" t="s">
        <v>1226</v>
      </c>
    </row>
    <row r="1386" spans="1:18" hidden="1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45838</v>
      </c>
      <c r="G1386">
        <v>2025</v>
      </c>
      <c r="H1386" t="s">
        <v>699</v>
      </c>
      <c r="I1386" t="s">
        <v>700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N1386" t="s">
        <v>25</v>
      </c>
      <c r="O1386" t="s">
        <v>25</v>
      </c>
      <c r="P1386">
        <v>0</v>
      </c>
      <c r="Q1386">
        <v>0</v>
      </c>
      <c r="R1386" t="s">
        <v>2958</v>
      </c>
    </row>
    <row r="1387" spans="1:18" hidden="1" x14ac:dyDescent="0.3">
      <c r="A1387">
        <v>432</v>
      </c>
      <c r="B1387" t="s">
        <v>1224</v>
      </c>
      <c r="C1387" t="s">
        <v>70</v>
      </c>
      <c r="D1387" t="s">
        <v>27</v>
      </c>
      <c r="E1387" t="s">
        <v>22</v>
      </c>
      <c r="F1387" s="79">
        <v>46022</v>
      </c>
      <c r="G1387">
        <v>2025</v>
      </c>
      <c r="H1387" t="s">
        <v>23</v>
      </c>
      <c r="I1387" t="s">
        <v>32</v>
      </c>
      <c r="J1387">
        <v>90</v>
      </c>
      <c r="K1387">
        <v>100</v>
      </c>
      <c r="L1387" s="39">
        <f t="shared" si="106"/>
        <v>1.1111111111111112</v>
      </c>
      <c r="M1387" s="39">
        <f t="shared" si="107"/>
        <v>1.1111111111111112</v>
      </c>
      <c r="N1387" t="s">
        <v>25</v>
      </c>
      <c r="O1387" t="s">
        <v>25</v>
      </c>
      <c r="P1387">
        <v>0</v>
      </c>
      <c r="Q1387">
        <v>0</v>
      </c>
      <c r="R1387" t="s">
        <v>1227</v>
      </c>
    </row>
    <row r="1388" spans="1:18" hidden="1" x14ac:dyDescent="0.3">
      <c r="A1388">
        <v>433</v>
      </c>
      <c r="B1388" t="s">
        <v>1228</v>
      </c>
      <c r="C1388" t="s">
        <v>190</v>
      </c>
      <c r="D1388" t="s">
        <v>27</v>
      </c>
      <c r="E1388" t="s">
        <v>41</v>
      </c>
      <c r="F1388" s="79">
        <v>45107</v>
      </c>
      <c r="G1388">
        <v>2023</v>
      </c>
      <c r="H1388" t="s">
        <v>699</v>
      </c>
      <c r="I1388" t="s">
        <v>1512</v>
      </c>
      <c r="J1388">
        <v>0.05</v>
      </c>
      <c r="K1388">
        <v>0.02</v>
      </c>
      <c r="L1388" s="39">
        <f t="shared" si="106"/>
        <v>1.3</v>
      </c>
      <c r="M1388" s="39">
        <f t="shared" si="107"/>
        <v>2.5</v>
      </c>
      <c r="N1388" t="s">
        <v>136</v>
      </c>
      <c r="O1388" t="s">
        <v>136</v>
      </c>
      <c r="P1388">
        <v>2</v>
      </c>
      <c r="Q1388">
        <v>2</v>
      </c>
      <c r="R1388" t="s">
        <v>2960</v>
      </c>
    </row>
    <row r="1389" spans="1:18" hidden="1" x14ac:dyDescent="0.3">
      <c r="A1389">
        <v>433</v>
      </c>
      <c r="B1389" t="s">
        <v>1228</v>
      </c>
      <c r="C1389" t="s">
        <v>190</v>
      </c>
      <c r="D1389" t="s">
        <v>27</v>
      </c>
      <c r="E1389" t="s">
        <v>41</v>
      </c>
      <c r="F1389" s="79">
        <v>45291</v>
      </c>
      <c r="G1389">
        <v>2023</v>
      </c>
      <c r="H1389" t="s">
        <v>23</v>
      </c>
      <c r="I1389" t="s">
        <v>28</v>
      </c>
      <c r="J1389">
        <v>0.05</v>
      </c>
      <c r="K1389">
        <v>0.05</v>
      </c>
      <c r="L1389" s="39">
        <f t="shared" si="106"/>
        <v>1</v>
      </c>
      <c r="M1389" s="39">
        <f t="shared" si="107"/>
        <v>1</v>
      </c>
      <c r="N1389" t="s">
        <v>136</v>
      </c>
      <c r="O1389" t="s">
        <v>136</v>
      </c>
      <c r="P1389">
        <v>2</v>
      </c>
      <c r="Q1389">
        <v>2</v>
      </c>
      <c r="R1389" t="s">
        <v>1229</v>
      </c>
    </row>
    <row r="1390" spans="1:18" hidden="1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45473</v>
      </c>
      <c r="G1390">
        <v>2024</v>
      </c>
      <c r="H1390" t="s">
        <v>699</v>
      </c>
      <c r="I1390" t="s">
        <v>729</v>
      </c>
      <c r="J1390">
        <v>0.05</v>
      </c>
      <c r="K1390">
        <v>7.0000000000000007E-2</v>
      </c>
      <c r="L1390" s="39">
        <f t="shared" si="106"/>
        <v>0.7142857142857143</v>
      </c>
      <c r="M1390" s="39">
        <f t="shared" si="107"/>
        <v>0.7142857142857143</v>
      </c>
      <c r="P1390">
        <v>0</v>
      </c>
      <c r="Q1390">
        <v>0</v>
      </c>
      <c r="R1390" t="s">
        <v>2961</v>
      </c>
    </row>
    <row r="1391" spans="1:18" hidden="1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45657</v>
      </c>
      <c r="G1391">
        <v>2024</v>
      </c>
      <c r="H1391" t="s">
        <v>23</v>
      </c>
      <c r="I1391" t="s">
        <v>30</v>
      </c>
      <c r="J1391">
        <v>0.05</v>
      </c>
      <c r="K1391">
        <v>0.14000000000000001</v>
      </c>
      <c r="L1391" s="39">
        <f t="shared" si="106"/>
        <v>0.35714285714285715</v>
      </c>
      <c r="M1391" s="39">
        <f t="shared" si="107"/>
        <v>0.35714285714285715</v>
      </c>
      <c r="P1391">
        <v>0</v>
      </c>
      <c r="Q1391">
        <v>0</v>
      </c>
      <c r="R1391" t="s">
        <v>1230</v>
      </c>
    </row>
    <row r="1392" spans="1:18" hidden="1" x14ac:dyDescent="0.3">
      <c r="A1392">
        <v>433</v>
      </c>
      <c r="B1392" t="s">
        <v>1228</v>
      </c>
      <c r="C1392" t="s">
        <v>190</v>
      </c>
      <c r="D1392" t="s">
        <v>21</v>
      </c>
      <c r="E1392" t="s">
        <v>41</v>
      </c>
      <c r="F1392" s="79">
        <v>45838</v>
      </c>
      <c r="G1392">
        <v>2025</v>
      </c>
      <c r="H1392" t="s">
        <v>699</v>
      </c>
      <c r="I1392" t="s">
        <v>700</v>
      </c>
      <c r="J1392">
        <v>0.05</v>
      </c>
      <c r="K1392">
        <v>0.02</v>
      </c>
      <c r="L1392" s="39">
        <f t="shared" si="106"/>
        <v>1.3</v>
      </c>
      <c r="M1392" s="39">
        <f t="shared" si="107"/>
        <v>2.5</v>
      </c>
      <c r="N1392" t="s">
        <v>136</v>
      </c>
      <c r="O1392" t="s">
        <v>136</v>
      </c>
      <c r="P1392">
        <v>2</v>
      </c>
      <c r="Q1392">
        <v>2</v>
      </c>
      <c r="R1392" t="s">
        <v>2962</v>
      </c>
    </row>
    <row r="1393" spans="1:18" hidden="1" x14ac:dyDescent="0.3">
      <c r="A1393">
        <v>433</v>
      </c>
      <c r="B1393" t="s">
        <v>1228</v>
      </c>
      <c r="C1393" t="s">
        <v>190</v>
      </c>
      <c r="D1393" t="s">
        <v>21</v>
      </c>
      <c r="E1393" t="s">
        <v>41</v>
      </c>
      <c r="F1393" s="79">
        <v>46022</v>
      </c>
      <c r="G1393">
        <v>2025</v>
      </c>
      <c r="H1393" t="s">
        <v>23</v>
      </c>
      <c r="I1393" t="s">
        <v>32</v>
      </c>
      <c r="J1393">
        <v>0.05</v>
      </c>
      <c r="K1393">
        <v>0.17</v>
      </c>
      <c r="L1393" s="39">
        <f t="shared" si="106"/>
        <v>0.29411764705882354</v>
      </c>
      <c r="M1393" s="39">
        <f t="shared" si="107"/>
        <v>0.29411764705882354</v>
      </c>
      <c r="N1393" t="s">
        <v>136</v>
      </c>
      <c r="O1393" t="s">
        <v>136</v>
      </c>
      <c r="P1393">
        <v>2</v>
      </c>
      <c r="Q1393">
        <v>2</v>
      </c>
      <c r="R1393" t="s">
        <v>1231</v>
      </c>
    </row>
    <row r="1394" spans="1:18" hidden="1" x14ac:dyDescent="0.3">
      <c r="A1394">
        <v>434</v>
      </c>
      <c r="B1394" t="s">
        <v>1234</v>
      </c>
      <c r="C1394" t="s">
        <v>190</v>
      </c>
      <c r="D1394" t="s">
        <v>54</v>
      </c>
      <c r="E1394" t="s">
        <v>41</v>
      </c>
      <c r="F1394" s="79">
        <v>45107</v>
      </c>
      <c r="G1394">
        <v>2023</v>
      </c>
      <c r="H1394" t="s">
        <v>699</v>
      </c>
      <c r="I1394" t="s">
        <v>1512</v>
      </c>
      <c r="J1394">
        <v>1200</v>
      </c>
      <c r="K1394">
        <v>18.5</v>
      </c>
      <c r="L1394" s="39">
        <f t="shared" si="106"/>
        <v>1.3</v>
      </c>
      <c r="M1394" s="39">
        <f t="shared" si="107"/>
        <v>64.86486486486487</v>
      </c>
      <c r="N1394" t="s">
        <v>403</v>
      </c>
      <c r="O1394" t="s">
        <v>403</v>
      </c>
      <c r="P1394">
        <v>0</v>
      </c>
      <c r="Q1394">
        <v>0</v>
      </c>
      <c r="R1394" t="s">
        <v>2968</v>
      </c>
    </row>
    <row r="1395" spans="1:18" hidden="1" x14ac:dyDescent="0.3">
      <c r="A1395">
        <v>434</v>
      </c>
      <c r="B1395" t="s">
        <v>1232</v>
      </c>
      <c r="C1395" t="s">
        <v>190</v>
      </c>
      <c r="D1395" t="s">
        <v>54</v>
      </c>
      <c r="E1395" t="s">
        <v>41</v>
      </c>
      <c r="F1395" s="79">
        <v>45291</v>
      </c>
      <c r="G1395">
        <v>2023</v>
      </c>
      <c r="H1395" t="s">
        <v>23</v>
      </c>
      <c r="I1395" t="s">
        <v>28</v>
      </c>
      <c r="J1395">
        <v>1200</v>
      </c>
      <c r="K1395">
        <v>2275.63</v>
      </c>
      <c r="L1395" s="39">
        <f t="shared" si="106"/>
        <v>0.52732649859599312</v>
      </c>
      <c r="M1395" s="39">
        <f t="shared" si="107"/>
        <v>0.52732649859599312</v>
      </c>
      <c r="P1395">
        <v>1</v>
      </c>
      <c r="Q1395">
        <v>1</v>
      </c>
      <c r="R1395" t="s">
        <v>1233</v>
      </c>
    </row>
    <row r="1396" spans="1:18" hidden="1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45473</v>
      </c>
      <c r="G1396">
        <v>2024</v>
      </c>
      <c r="H1396" t="s">
        <v>699</v>
      </c>
      <c r="I1396" t="s">
        <v>729</v>
      </c>
      <c r="J1396">
        <v>1200</v>
      </c>
      <c r="K1396">
        <v>3489.51</v>
      </c>
      <c r="L1396" s="39">
        <f t="shared" si="106"/>
        <v>0.34388782379187904</v>
      </c>
      <c r="M1396" s="39">
        <f t="shared" si="107"/>
        <v>0.34388782379187904</v>
      </c>
      <c r="P1396">
        <v>0</v>
      </c>
      <c r="Q1396">
        <v>0</v>
      </c>
      <c r="R1396" t="s">
        <v>2979</v>
      </c>
    </row>
    <row r="1397" spans="1:18" hidden="1" x14ac:dyDescent="0.3">
      <c r="A1397">
        <v>434</v>
      </c>
      <c r="B1397" t="s">
        <v>1234</v>
      </c>
      <c r="C1397" t="s">
        <v>190</v>
      </c>
      <c r="D1397" t="s">
        <v>54</v>
      </c>
      <c r="E1397" t="s">
        <v>41</v>
      </c>
      <c r="F1397" s="79">
        <v>45657</v>
      </c>
      <c r="G1397">
        <v>2024</v>
      </c>
      <c r="H1397" t="s">
        <v>23</v>
      </c>
      <c r="I1397" t="s">
        <v>30</v>
      </c>
      <c r="J1397">
        <v>1200</v>
      </c>
      <c r="K1397">
        <v>1937.73</v>
      </c>
      <c r="L1397" s="39">
        <f t="shared" si="106"/>
        <v>0.6192813240234708</v>
      </c>
      <c r="M1397" s="39">
        <f t="shared" si="107"/>
        <v>0.6192813240234708</v>
      </c>
      <c r="P1397">
        <v>0</v>
      </c>
      <c r="Q1397">
        <v>0</v>
      </c>
      <c r="R1397" t="s">
        <v>1235</v>
      </c>
    </row>
    <row r="1398" spans="1:18" hidden="1" x14ac:dyDescent="0.3">
      <c r="A1398">
        <v>434</v>
      </c>
      <c r="B1398" t="s">
        <v>1234</v>
      </c>
      <c r="C1398" t="s">
        <v>190</v>
      </c>
      <c r="D1398" t="s">
        <v>54</v>
      </c>
      <c r="E1398" t="s">
        <v>41</v>
      </c>
      <c r="F1398" s="79">
        <v>45838</v>
      </c>
      <c r="G1398">
        <v>2025</v>
      </c>
      <c r="H1398" t="s">
        <v>699</v>
      </c>
      <c r="I1398" t="s">
        <v>700</v>
      </c>
      <c r="J1398">
        <v>1200</v>
      </c>
      <c r="K1398">
        <v>2467.36</v>
      </c>
      <c r="L1398" s="39">
        <f t="shared" si="106"/>
        <v>0.48634978276376367</v>
      </c>
      <c r="M1398" s="39">
        <f t="shared" si="107"/>
        <v>0.48634978276376367</v>
      </c>
      <c r="N1398" t="s">
        <v>403</v>
      </c>
      <c r="O1398" t="s">
        <v>403</v>
      </c>
      <c r="P1398">
        <v>0</v>
      </c>
      <c r="Q1398">
        <v>0</v>
      </c>
      <c r="R1398" t="s">
        <v>2990</v>
      </c>
    </row>
    <row r="1399" spans="1:18" hidden="1" x14ac:dyDescent="0.3">
      <c r="A1399">
        <v>434</v>
      </c>
      <c r="B1399" t="s">
        <v>1234</v>
      </c>
      <c r="C1399" t="s">
        <v>190</v>
      </c>
      <c r="D1399" t="s">
        <v>54</v>
      </c>
      <c r="E1399" t="s">
        <v>41</v>
      </c>
      <c r="F1399" s="79">
        <v>46022</v>
      </c>
      <c r="G1399">
        <v>2025</v>
      </c>
      <c r="H1399" t="s">
        <v>23</v>
      </c>
      <c r="I1399" t="s">
        <v>32</v>
      </c>
      <c r="J1399">
        <v>1200</v>
      </c>
      <c r="K1399">
        <v>5316.2</v>
      </c>
      <c r="L1399" s="39">
        <f t="shared" si="106"/>
        <v>0.2257251420187352</v>
      </c>
      <c r="M1399" s="39">
        <f t="shared" si="107"/>
        <v>0.2257251420187352</v>
      </c>
      <c r="N1399" t="s">
        <v>403</v>
      </c>
      <c r="O1399" t="s">
        <v>403</v>
      </c>
      <c r="P1399">
        <v>0</v>
      </c>
      <c r="Q1399">
        <v>0</v>
      </c>
      <c r="R1399" t="s">
        <v>1236</v>
      </c>
    </row>
    <row r="1400" spans="1:18" hidden="1" x14ac:dyDescent="0.3">
      <c r="A1400">
        <v>435</v>
      </c>
      <c r="B1400" t="s">
        <v>1237</v>
      </c>
      <c r="C1400" t="s">
        <v>190</v>
      </c>
      <c r="D1400" t="s">
        <v>27</v>
      </c>
      <c r="E1400" t="s">
        <v>22</v>
      </c>
      <c r="F1400" s="79">
        <v>45107</v>
      </c>
      <c r="G1400">
        <v>2023</v>
      </c>
      <c r="H1400" t="s">
        <v>699</v>
      </c>
      <c r="I1400" t="s">
        <v>1512</v>
      </c>
      <c r="J1400">
        <v>100</v>
      </c>
      <c r="K1400">
        <v>0.43352601156068998</v>
      </c>
      <c r="L1400" s="39">
        <f t="shared" si="106"/>
        <v>4.3352601156068996E-3</v>
      </c>
      <c r="M1400" s="39">
        <f t="shared" si="107"/>
        <v>4.3352601156068996E-3</v>
      </c>
      <c r="N1400" t="s">
        <v>136</v>
      </c>
      <c r="O1400" t="s">
        <v>136</v>
      </c>
      <c r="P1400">
        <v>2</v>
      </c>
      <c r="Q1400">
        <v>2</v>
      </c>
      <c r="R1400" t="s">
        <v>2996</v>
      </c>
    </row>
    <row r="1401" spans="1:18" hidden="1" x14ac:dyDescent="0.3">
      <c r="A1401">
        <v>435</v>
      </c>
      <c r="B1401" t="s">
        <v>1237</v>
      </c>
      <c r="C1401" t="s">
        <v>190</v>
      </c>
      <c r="D1401" t="s">
        <v>27</v>
      </c>
      <c r="E1401" t="s">
        <v>22</v>
      </c>
      <c r="F1401" s="79">
        <v>45291</v>
      </c>
      <c r="G1401">
        <v>2023</v>
      </c>
      <c r="H1401" t="s">
        <v>23</v>
      </c>
      <c r="I1401" t="s">
        <v>28</v>
      </c>
      <c r="J1401">
        <v>100</v>
      </c>
      <c r="K1401">
        <v>-111.57</v>
      </c>
      <c r="L1401" s="39">
        <f t="shared" si="106"/>
        <v>0</v>
      </c>
      <c r="M1401" s="39">
        <f t="shared" si="107"/>
        <v>0</v>
      </c>
      <c r="N1401" t="s">
        <v>136</v>
      </c>
      <c r="O1401" t="s">
        <v>136</v>
      </c>
      <c r="P1401">
        <v>2</v>
      </c>
      <c r="Q1401">
        <v>2</v>
      </c>
      <c r="R1401" t="s">
        <v>1238</v>
      </c>
    </row>
    <row r="1402" spans="1:18" hidden="1" x14ac:dyDescent="0.3">
      <c r="A1402">
        <v>435</v>
      </c>
      <c r="B1402" t="s">
        <v>1237</v>
      </c>
      <c r="C1402" t="s">
        <v>190</v>
      </c>
      <c r="D1402" t="s">
        <v>27</v>
      </c>
      <c r="E1402" t="s">
        <v>22</v>
      </c>
      <c r="F1402" s="79">
        <v>45473</v>
      </c>
      <c r="G1402">
        <v>2024</v>
      </c>
      <c r="H1402" t="s">
        <v>699</v>
      </c>
      <c r="I1402" t="s">
        <v>729</v>
      </c>
      <c r="J1402">
        <v>100</v>
      </c>
      <c r="K1402">
        <v>-20.67</v>
      </c>
      <c r="L1402" s="39">
        <f t="shared" si="106"/>
        <v>0</v>
      </c>
      <c r="M1402" s="39">
        <f t="shared" si="107"/>
        <v>0</v>
      </c>
      <c r="P1402">
        <v>0</v>
      </c>
      <c r="Q1402">
        <v>0</v>
      </c>
      <c r="R1402" t="s">
        <v>2997</v>
      </c>
    </row>
    <row r="1403" spans="1:18" hidden="1" x14ac:dyDescent="0.3">
      <c r="A1403">
        <v>435</v>
      </c>
      <c r="B1403" t="s">
        <v>1237</v>
      </c>
      <c r="C1403" t="s">
        <v>190</v>
      </c>
      <c r="D1403" t="s">
        <v>27</v>
      </c>
      <c r="E1403" t="s">
        <v>22</v>
      </c>
      <c r="F1403" s="79">
        <v>45657</v>
      </c>
      <c r="G1403">
        <v>2024</v>
      </c>
      <c r="H1403" t="s">
        <v>23</v>
      </c>
      <c r="I1403" t="s">
        <v>30</v>
      </c>
      <c r="J1403">
        <v>100</v>
      </c>
      <c r="K1403">
        <v>71.09</v>
      </c>
      <c r="L1403" s="39">
        <f t="shared" si="106"/>
        <v>0.71090000000000009</v>
      </c>
      <c r="M1403" s="39">
        <f t="shared" si="107"/>
        <v>0.71090000000000009</v>
      </c>
      <c r="P1403">
        <v>0</v>
      </c>
      <c r="Q1403">
        <v>0</v>
      </c>
      <c r="R1403" t="s">
        <v>1239</v>
      </c>
    </row>
    <row r="1404" spans="1:18" hidden="1" x14ac:dyDescent="0.3">
      <c r="A1404">
        <v>435</v>
      </c>
      <c r="B1404" t="s">
        <v>1237</v>
      </c>
      <c r="C1404" t="s">
        <v>190</v>
      </c>
      <c r="D1404" t="s">
        <v>21</v>
      </c>
      <c r="E1404" t="s">
        <v>22</v>
      </c>
      <c r="F1404" s="79">
        <v>45838</v>
      </c>
      <c r="G1404">
        <v>2025</v>
      </c>
      <c r="H1404" t="s">
        <v>699</v>
      </c>
      <c r="I1404" t="s">
        <v>700</v>
      </c>
      <c r="J1404">
        <v>1</v>
      </c>
      <c r="K1404">
        <v>96.09</v>
      </c>
      <c r="L1404" s="39">
        <f t="shared" si="106"/>
        <v>1.3</v>
      </c>
      <c r="M1404" s="39">
        <f t="shared" si="107"/>
        <v>96.09</v>
      </c>
      <c r="N1404" t="s">
        <v>25</v>
      </c>
      <c r="O1404" t="s">
        <v>25</v>
      </c>
      <c r="P1404">
        <v>2</v>
      </c>
      <c r="Q1404">
        <v>2</v>
      </c>
      <c r="R1404" t="s">
        <v>2998</v>
      </c>
    </row>
    <row r="1405" spans="1:18" hidden="1" x14ac:dyDescent="0.3">
      <c r="A1405">
        <v>435</v>
      </c>
      <c r="B1405" t="s">
        <v>1237</v>
      </c>
      <c r="C1405" t="s">
        <v>190</v>
      </c>
      <c r="D1405" t="s">
        <v>21</v>
      </c>
      <c r="E1405" t="s">
        <v>22</v>
      </c>
      <c r="F1405" s="79">
        <v>46022</v>
      </c>
      <c r="G1405">
        <v>2025</v>
      </c>
      <c r="H1405" t="s">
        <v>23</v>
      </c>
      <c r="I1405" t="s">
        <v>32</v>
      </c>
      <c r="J1405">
        <v>1</v>
      </c>
      <c r="K1405">
        <v>-732.08</v>
      </c>
      <c r="L1405" s="39">
        <f t="shared" si="106"/>
        <v>0</v>
      </c>
      <c r="M1405" s="39">
        <f t="shared" si="107"/>
        <v>0</v>
      </c>
      <c r="N1405" t="s">
        <v>25</v>
      </c>
      <c r="O1405" t="s">
        <v>25</v>
      </c>
      <c r="P1405">
        <v>2</v>
      </c>
      <c r="Q1405">
        <v>2</v>
      </c>
      <c r="R1405" t="s">
        <v>1240</v>
      </c>
    </row>
    <row r="1406" spans="1:18" hidden="1" x14ac:dyDescent="0.3">
      <c r="A1406">
        <v>436</v>
      </c>
      <c r="B1406" t="s">
        <v>1241</v>
      </c>
      <c r="C1406" t="s">
        <v>198</v>
      </c>
      <c r="D1406" t="s">
        <v>54</v>
      </c>
      <c r="E1406" t="s">
        <v>41</v>
      </c>
      <c r="F1406" s="79">
        <v>45291</v>
      </c>
      <c r="G1406">
        <v>2023</v>
      </c>
      <c r="H1406" t="s">
        <v>23</v>
      </c>
      <c r="I1406" t="s">
        <v>28</v>
      </c>
      <c r="J1406">
        <v>21</v>
      </c>
      <c r="K1406">
        <v>11.06833333333333</v>
      </c>
      <c r="L1406" s="39">
        <f t="shared" si="106"/>
        <v>1.3</v>
      </c>
      <c r="M1406" s="39">
        <f t="shared" si="107"/>
        <v>1.8973046227977721</v>
      </c>
      <c r="N1406" t="s">
        <v>42</v>
      </c>
      <c r="O1406" t="s">
        <v>42</v>
      </c>
      <c r="P1406">
        <v>1</v>
      </c>
      <c r="Q1406">
        <v>1</v>
      </c>
      <c r="R1406" t="s">
        <v>1242</v>
      </c>
    </row>
    <row r="1407" spans="1:18" hidden="1" x14ac:dyDescent="0.3">
      <c r="A1407">
        <v>436</v>
      </c>
      <c r="B1407" t="s">
        <v>1241</v>
      </c>
      <c r="C1407" t="s">
        <v>198</v>
      </c>
      <c r="D1407" t="s">
        <v>54</v>
      </c>
      <c r="E1407" t="s">
        <v>41</v>
      </c>
      <c r="F1407" s="79">
        <v>45473</v>
      </c>
      <c r="G1407">
        <v>2024</v>
      </c>
      <c r="H1407" t="s">
        <v>699</v>
      </c>
      <c r="I1407" t="s">
        <v>729</v>
      </c>
      <c r="J1407">
        <v>14</v>
      </c>
      <c r="K1407">
        <v>11.56666666666667</v>
      </c>
      <c r="L1407" s="39">
        <f t="shared" si="106"/>
        <v>1.2103746397694521</v>
      </c>
      <c r="M1407" s="39">
        <f t="shared" si="107"/>
        <v>1.2103746397694521</v>
      </c>
      <c r="P1407">
        <v>0</v>
      </c>
      <c r="Q1407">
        <v>0</v>
      </c>
      <c r="R1407" t="s">
        <v>3015</v>
      </c>
    </row>
    <row r="1408" spans="1:18" hidden="1" x14ac:dyDescent="0.3">
      <c r="A1408">
        <v>436</v>
      </c>
      <c r="B1408" t="s">
        <v>1241</v>
      </c>
      <c r="C1408" t="s">
        <v>198</v>
      </c>
      <c r="D1408" t="s">
        <v>54</v>
      </c>
      <c r="E1408" t="s">
        <v>41</v>
      </c>
      <c r="F1408" s="79">
        <v>45657</v>
      </c>
      <c r="G1408">
        <v>2024</v>
      </c>
      <c r="H1408" t="s">
        <v>23</v>
      </c>
      <c r="I1408" t="s">
        <v>30</v>
      </c>
      <c r="J1408">
        <v>14</v>
      </c>
      <c r="K1408">
        <v>10.561666666666669</v>
      </c>
      <c r="L1408" s="39">
        <f t="shared" si="106"/>
        <v>1.3</v>
      </c>
      <c r="M1408" s="39">
        <f t="shared" si="107"/>
        <v>1.3255483667350478</v>
      </c>
      <c r="P1408">
        <v>0</v>
      </c>
      <c r="Q1408">
        <v>0</v>
      </c>
      <c r="R1408" t="s">
        <v>1243</v>
      </c>
    </row>
    <row r="1409" spans="1:18" hidden="1" x14ac:dyDescent="0.3">
      <c r="A1409">
        <v>436</v>
      </c>
      <c r="B1409" t="s">
        <v>1241</v>
      </c>
      <c r="C1409" t="s">
        <v>198</v>
      </c>
      <c r="D1409" t="s">
        <v>54</v>
      </c>
      <c r="E1409" t="s">
        <v>41</v>
      </c>
      <c r="F1409" s="79">
        <v>45838</v>
      </c>
      <c r="G1409">
        <v>2025</v>
      </c>
      <c r="H1409" t="s">
        <v>699</v>
      </c>
      <c r="I1409" t="s">
        <v>700</v>
      </c>
      <c r="J1409">
        <v>14</v>
      </c>
      <c r="K1409">
        <v>8.6066666666666674</v>
      </c>
      <c r="L1409" s="39">
        <f t="shared" si="106"/>
        <v>1.3</v>
      </c>
      <c r="M1409" s="39">
        <f t="shared" si="107"/>
        <v>1.6266460108443066</v>
      </c>
      <c r="N1409" t="s">
        <v>42</v>
      </c>
      <c r="O1409" t="s">
        <v>42</v>
      </c>
      <c r="P1409">
        <v>0</v>
      </c>
      <c r="Q1409">
        <v>1</v>
      </c>
      <c r="R1409" t="s">
        <v>3026</v>
      </c>
    </row>
    <row r="1410" spans="1:18" hidden="1" x14ac:dyDescent="0.3">
      <c r="A1410">
        <v>436</v>
      </c>
      <c r="B1410" t="s">
        <v>1241</v>
      </c>
      <c r="C1410" t="s">
        <v>198</v>
      </c>
      <c r="D1410" t="s">
        <v>54</v>
      </c>
      <c r="E1410" t="s">
        <v>41</v>
      </c>
      <c r="F1410" s="79">
        <v>46022</v>
      </c>
      <c r="G1410">
        <v>2025</v>
      </c>
      <c r="H1410" t="s">
        <v>23</v>
      </c>
      <c r="I1410" t="s">
        <v>32</v>
      </c>
      <c r="J1410">
        <v>14</v>
      </c>
      <c r="K1410">
        <v>11.67333333333333</v>
      </c>
      <c r="L1410" s="39">
        <f t="shared" si="106"/>
        <v>1.1993146773272418</v>
      </c>
      <c r="M1410" s="39">
        <f t="shared" si="107"/>
        <v>1.1993146773272418</v>
      </c>
      <c r="N1410" t="s">
        <v>42</v>
      </c>
      <c r="O1410" t="s">
        <v>42</v>
      </c>
      <c r="P1410">
        <v>0</v>
      </c>
      <c r="Q1410">
        <v>1</v>
      </c>
      <c r="R1410" t="s">
        <v>1244</v>
      </c>
    </row>
    <row r="1411" spans="1:18" hidden="1" x14ac:dyDescent="0.3">
      <c r="A1411">
        <v>437</v>
      </c>
      <c r="B1411" t="s">
        <v>1246</v>
      </c>
      <c r="C1411" t="s">
        <v>732</v>
      </c>
      <c r="D1411" t="s">
        <v>71</v>
      </c>
      <c r="E1411" t="s">
        <v>22</v>
      </c>
      <c r="F1411" s="79">
        <v>45291</v>
      </c>
      <c r="G1411">
        <v>2023</v>
      </c>
      <c r="H1411" t="s">
        <v>23</v>
      </c>
      <c r="I1411" t="s">
        <v>28</v>
      </c>
      <c r="J1411">
        <v>80</v>
      </c>
      <c r="K1411">
        <v>96</v>
      </c>
      <c r="L1411" s="39">
        <f t="shared" si="106"/>
        <v>1.2</v>
      </c>
      <c r="M1411" s="39">
        <f t="shared" si="107"/>
        <v>1.2</v>
      </c>
      <c r="N1411" t="s">
        <v>25</v>
      </c>
      <c r="O1411" t="s">
        <v>25</v>
      </c>
      <c r="P1411">
        <v>0</v>
      </c>
      <c r="Q1411">
        <v>0</v>
      </c>
      <c r="R1411" t="s">
        <v>1247</v>
      </c>
    </row>
    <row r="1412" spans="1:18" hidden="1" x14ac:dyDescent="0.3">
      <c r="A1412">
        <v>437</v>
      </c>
      <c r="B1412" t="s">
        <v>1246</v>
      </c>
      <c r="C1412" t="s">
        <v>732</v>
      </c>
      <c r="D1412" t="s">
        <v>71</v>
      </c>
      <c r="E1412" t="s">
        <v>22</v>
      </c>
      <c r="F1412" s="79">
        <v>45657</v>
      </c>
      <c r="G1412">
        <v>2024</v>
      </c>
      <c r="H1412" t="s">
        <v>23</v>
      </c>
      <c r="I1412" t="s">
        <v>30</v>
      </c>
      <c r="J1412">
        <v>80</v>
      </c>
      <c r="K1412">
        <v>84</v>
      </c>
      <c r="L1412" s="39">
        <f t="shared" ref="L1412:L1430" si="108">IFERROR(IF(OR(J1412=0,K1412=""),"",IF(E1412="Positivo",MIN(MAX(K1412/J1412,0),1.3),MIN(MAX(J1412/K1412,0),1.3))),"")</f>
        <v>1.05</v>
      </c>
      <c r="M1412" s="39">
        <f t="shared" ref="M1412:M1430" si="109">IFERROR(IF(OR(J1412=0,K1412=""),"",IF(E1412="Positivo",MAX(K1412/J1412,0),MAX(J1412/K1412,0))),"")</f>
        <v>1.05</v>
      </c>
      <c r="P1412">
        <v>0</v>
      </c>
      <c r="Q1412">
        <v>0</v>
      </c>
      <c r="R1412" t="s">
        <v>1248</v>
      </c>
    </row>
    <row r="1413" spans="1:18" hidden="1" x14ac:dyDescent="0.3">
      <c r="A1413">
        <v>437</v>
      </c>
      <c r="B1413" t="s">
        <v>1246</v>
      </c>
      <c r="C1413" t="s">
        <v>732</v>
      </c>
      <c r="D1413" t="s">
        <v>71</v>
      </c>
      <c r="E1413" t="s">
        <v>22</v>
      </c>
      <c r="F1413" s="79">
        <v>46022</v>
      </c>
      <c r="G1413">
        <v>2025</v>
      </c>
      <c r="H1413" t="s">
        <v>23</v>
      </c>
      <c r="I1413" t="s">
        <v>32</v>
      </c>
      <c r="J1413">
        <v>80</v>
      </c>
      <c r="K1413">
        <v>99</v>
      </c>
      <c r="L1413" s="39">
        <f t="shared" si="108"/>
        <v>1.2375</v>
      </c>
      <c r="M1413" s="39">
        <f t="shared" si="109"/>
        <v>1.2375</v>
      </c>
      <c r="N1413" t="s">
        <v>25</v>
      </c>
      <c r="O1413" t="s">
        <v>25</v>
      </c>
      <c r="P1413">
        <v>0</v>
      </c>
      <c r="Q1413">
        <v>0</v>
      </c>
      <c r="R1413" t="s">
        <v>1249</v>
      </c>
    </row>
    <row r="1414" spans="1:18" hidden="1" x14ac:dyDescent="0.3">
      <c r="A1414">
        <v>438</v>
      </c>
      <c r="B1414" t="s">
        <v>1250</v>
      </c>
      <c r="C1414" t="s">
        <v>3254</v>
      </c>
      <c r="D1414" t="s">
        <v>27</v>
      </c>
      <c r="E1414" t="s">
        <v>22</v>
      </c>
      <c r="F1414" s="79">
        <v>45291</v>
      </c>
      <c r="G1414">
        <v>2023</v>
      </c>
      <c r="H1414" t="s">
        <v>23</v>
      </c>
      <c r="I1414" t="s">
        <v>28</v>
      </c>
      <c r="J1414">
        <v>100</v>
      </c>
      <c r="K1414">
        <v>100</v>
      </c>
      <c r="L1414" s="39">
        <f t="shared" si="108"/>
        <v>1</v>
      </c>
      <c r="M1414" s="39">
        <f t="shared" si="109"/>
        <v>1</v>
      </c>
      <c r="P1414">
        <v>0</v>
      </c>
      <c r="Q1414">
        <v>0</v>
      </c>
      <c r="R1414" t="s">
        <v>1251</v>
      </c>
    </row>
    <row r="1415" spans="1:18" hidden="1" x14ac:dyDescent="0.3">
      <c r="A1415">
        <v>439</v>
      </c>
      <c r="B1415" t="s">
        <v>1252</v>
      </c>
      <c r="C1415" t="s">
        <v>3254</v>
      </c>
      <c r="D1415" t="s">
        <v>27</v>
      </c>
      <c r="E1415" t="s">
        <v>22</v>
      </c>
      <c r="F1415" s="79">
        <v>45291</v>
      </c>
      <c r="G1415">
        <v>2023</v>
      </c>
      <c r="H1415" t="s">
        <v>23</v>
      </c>
      <c r="I1415" t="s">
        <v>28</v>
      </c>
      <c r="J1415">
        <v>100</v>
      </c>
      <c r="K1415">
        <v>100</v>
      </c>
      <c r="L1415" s="39">
        <f t="shared" si="108"/>
        <v>1</v>
      </c>
      <c r="M1415" s="39">
        <f t="shared" si="109"/>
        <v>1</v>
      </c>
      <c r="P1415">
        <v>0</v>
      </c>
      <c r="Q1415">
        <v>0</v>
      </c>
      <c r="R1415" t="s">
        <v>1253</v>
      </c>
    </row>
    <row r="1416" spans="1:18" hidden="1" x14ac:dyDescent="0.3">
      <c r="A1416">
        <v>439</v>
      </c>
      <c r="B1416" t="s">
        <v>1252</v>
      </c>
      <c r="C1416" t="s">
        <v>956</v>
      </c>
      <c r="D1416" t="s">
        <v>27</v>
      </c>
      <c r="E1416" t="s">
        <v>22</v>
      </c>
      <c r="F1416" s="79">
        <v>45473</v>
      </c>
      <c r="G1416">
        <v>2024</v>
      </c>
      <c r="H1416" t="s">
        <v>699</v>
      </c>
      <c r="I1416" t="s">
        <v>729</v>
      </c>
      <c r="J1416">
        <v>100</v>
      </c>
      <c r="K1416">
        <v>100</v>
      </c>
      <c r="L1416" s="39">
        <f t="shared" si="108"/>
        <v>1</v>
      </c>
      <c r="M1416" s="39">
        <f t="shared" si="109"/>
        <v>1</v>
      </c>
      <c r="P1416">
        <v>0</v>
      </c>
      <c r="Q1416">
        <v>0</v>
      </c>
      <c r="R1416" t="s">
        <v>3035</v>
      </c>
    </row>
    <row r="1417" spans="1:18" hidden="1" x14ac:dyDescent="0.3">
      <c r="A1417">
        <v>439</v>
      </c>
      <c r="B1417" t="s">
        <v>1252</v>
      </c>
      <c r="C1417" t="s">
        <v>956</v>
      </c>
      <c r="D1417" t="s">
        <v>27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100</v>
      </c>
      <c r="K1417">
        <v>100</v>
      </c>
      <c r="L1417" s="39">
        <f t="shared" si="108"/>
        <v>1</v>
      </c>
      <c r="M1417" s="39">
        <f t="shared" si="109"/>
        <v>1</v>
      </c>
      <c r="P1417">
        <v>0</v>
      </c>
      <c r="Q1417">
        <v>0</v>
      </c>
      <c r="R1417" t="s">
        <v>1254</v>
      </c>
    </row>
    <row r="1418" spans="1:18" hidden="1" x14ac:dyDescent="0.3">
      <c r="A1418">
        <v>439</v>
      </c>
      <c r="B1418" t="s">
        <v>1252</v>
      </c>
      <c r="C1418" t="s">
        <v>956</v>
      </c>
      <c r="D1418" t="s">
        <v>21</v>
      </c>
      <c r="E1418" t="s">
        <v>22</v>
      </c>
      <c r="F1418" s="79">
        <v>45838</v>
      </c>
      <c r="G1418">
        <v>2025</v>
      </c>
      <c r="H1418" t="s">
        <v>699</v>
      </c>
      <c r="I1418" t="s">
        <v>700</v>
      </c>
      <c r="J1418">
        <v>100</v>
      </c>
      <c r="K1418">
        <v>100</v>
      </c>
      <c r="L1418" s="39">
        <f t="shared" si="108"/>
        <v>1</v>
      </c>
      <c r="M1418" s="39">
        <f t="shared" si="109"/>
        <v>1</v>
      </c>
      <c r="N1418" t="s">
        <v>25</v>
      </c>
      <c r="O1418" t="s">
        <v>25</v>
      </c>
      <c r="P1418">
        <v>0</v>
      </c>
      <c r="Q1418">
        <v>0</v>
      </c>
      <c r="R1418" t="s">
        <v>3036</v>
      </c>
    </row>
    <row r="1419" spans="1:18" hidden="1" x14ac:dyDescent="0.3">
      <c r="A1419">
        <v>439</v>
      </c>
      <c r="B1419" t="s">
        <v>1252</v>
      </c>
      <c r="C1419" t="s">
        <v>956</v>
      </c>
      <c r="D1419" t="s">
        <v>21</v>
      </c>
      <c r="E1419" t="s">
        <v>22</v>
      </c>
      <c r="F1419" s="79">
        <v>46022</v>
      </c>
      <c r="G1419">
        <v>2025</v>
      </c>
      <c r="H1419" t="s">
        <v>23</v>
      </c>
      <c r="I1419" t="s">
        <v>32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N1419" t="s">
        <v>25</v>
      </c>
      <c r="O1419" t="s">
        <v>25</v>
      </c>
      <c r="P1419">
        <v>0</v>
      </c>
      <c r="Q1419">
        <v>0</v>
      </c>
      <c r="R1419" t="s">
        <v>1255</v>
      </c>
    </row>
    <row r="1420" spans="1:18" hidden="1" x14ac:dyDescent="0.3">
      <c r="A1420">
        <v>440</v>
      </c>
      <c r="B1420" t="s">
        <v>1256</v>
      </c>
      <c r="C1420" t="s">
        <v>3254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98</v>
      </c>
      <c r="K1420">
        <v>97.746062537526996</v>
      </c>
      <c r="L1420" s="39">
        <f t="shared" si="108"/>
        <v>0.99740880140333665</v>
      </c>
      <c r="M1420" s="39">
        <f t="shared" si="109"/>
        <v>0.99740880140333665</v>
      </c>
      <c r="P1420">
        <v>1</v>
      </c>
      <c r="Q1420">
        <v>1</v>
      </c>
      <c r="R1420" t="s">
        <v>1257</v>
      </c>
    </row>
    <row r="1421" spans="1:18" hidden="1" x14ac:dyDescent="0.3">
      <c r="A1421">
        <v>440</v>
      </c>
      <c r="B1421" t="s">
        <v>1256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98</v>
      </c>
      <c r="K1421">
        <v>99.73</v>
      </c>
      <c r="L1421" s="39">
        <f t="shared" si="108"/>
        <v>1.0176530612244898</v>
      </c>
      <c r="M1421" s="39">
        <f t="shared" si="109"/>
        <v>1.0176530612244898</v>
      </c>
      <c r="P1421">
        <v>0</v>
      </c>
      <c r="Q1421">
        <v>0</v>
      </c>
      <c r="R1421" t="s">
        <v>3039</v>
      </c>
    </row>
    <row r="1422" spans="1:18" hidden="1" x14ac:dyDescent="0.3">
      <c r="A1422">
        <v>440</v>
      </c>
      <c r="B1422" t="s">
        <v>1256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98</v>
      </c>
      <c r="K1422">
        <v>99.24</v>
      </c>
      <c r="L1422" s="39">
        <f t="shared" si="108"/>
        <v>1.0126530612244897</v>
      </c>
      <c r="M1422" s="39">
        <f t="shared" si="109"/>
        <v>1.0126530612244897</v>
      </c>
      <c r="P1422">
        <v>0</v>
      </c>
      <c r="Q1422">
        <v>0</v>
      </c>
      <c r="R1422" t="s">
        <v>1258</v>
      </c>
    </row>
    <row r="1423" spans="1:18" hidden="1" x14ac:dyDescent="0.3">
      <c r="A1423">
        <v>440</v>
      </c>
      <c r="B1423" t="s">
        <v>1256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98</v>
      </c>
      <c r="K1423">
        <v>99.77</v>
      </c>
      <c r="L1423" s="39">
        <f t="shared" si="108"/>
        <v>1.018061224489796</v>
      </c>
      <c r="M1423" s="39">
        <f t="shared" si="109"/>
        <v>1.018061224489796</v>
      </c>
      <c r="N1423" t="s">
        <v>25</v>
      </c>
      <c r="O1423" t="s">
        <v>25</v>
      </c>
      <c r="P1423">
        <v>0</v>
      </c>
      <c r="Q1423">
        <v>1</v>
      </c>
      <c r="R1423" t="s">
        <v>3040</v>
      </c>
    </row>
    <row r="1424" spans="1:18" hidden="1" x14ac:dyDescent="0.3">
      <c r="A1424">
        <v>440</v>
      </c>
      <c r="B1424" t="s">
        <v>1256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98</v>
      </c>
      <c r="K1424">
        <v>99.74</v>
      </c>
      <c r="L1424" s="39">
        <f t="shared" si="108"/>
        <v>1.0177551020408162</v>
      </c>
      <c r="M1424" s="39">
        <f t="shared" si="109"/>
        <v>1.0177551020408162</v>
      </c>
      <c r="N1424" t="s">
        <v>25</v>
      </c>
      <c r="O1424" t="s">
        <v>25</v>
      </c>
      <c r="P1424">
        <v>0</v>
      </c>
      <c r="Q1424">
        <v>1</v>
      </c>
      <c r="R1424" t="s">
        <v>1259</v>
      </c>
    </row>
    <row r="1425" spans="1:18" hidden="1" x14ac:dyDescent="0.3">
      <c r="A1425">
        <v>441</v>
      </c>
      <c r="B1425" t="s">
        <v>1260</v>
      </c>
      <c r="C1425" t="s">
        <v>511</v>
      </c>
      <c r="D1425" t="s">
        <v>54</v>
      </c>
      <c r="E1425" t="s">
        <v>22</v>
      </c>
      <c r="F1425" s="79">
        <v>45473</v>
      </c>
      <c r="G1425">
        <v>2024</v>
      </c>
      <c r="H1425" t="s">
        <v>699</v>
      </c>
      <c r="I1425" t="s">
        <v>729</v>
      </c>
      <c r="J1425">
        <v>90</v>
      </c>
      <c r="K1425">
        <v>97.31</v>
      </c>
      <c r="L1425" s="39">
        <f t="shared" si="108"/>
        <v>1.0812222222222223</v>
      </c>
      <c r="M1425" s="39">
        <f t="shared" si="109"/>
        <v>1.0812222222222223</v>
      </c>
      <c r="P1425">
        <v>0</v>
      </c>
      <c r="Q1425">
        <v>0</v>
      </c>
      <c r="R1425" t="s">
        <v>3046</v>
      </c>
    </row>
    <row r="1426" spans="1:18" hidden="1" x14ac:dyDescent="0.3">
      <c r="A1426">
        <v>441</v>
      </c>
      <c r="B1426" t="s">
        <v>1260</v>
      </c>
      <c r="C1426" t="s">
        <v>511</v>
      </c>
      <c r="D1426" t="s">
        <v>54</v>
      </c>
      <c r="E1426" t="s">
        <v>22</v>
      </c>
      <c r="F1426" s="79">
        <v>45657</v>
      </c>
      <c r="G1426">
        <v>2024</v>
      </c>
      <c r="H1426" t="s">
        <v>23</v>
      </c>
      <c r="I1426" t="s">
        <v>30</v>
      </c>
      <c r="J1426">
        <v>90</v>
      </c>
      <c r="K1426">
        <v>99.919935948759004</v>
      </c>
      <c r="L1426" s="39">
        <f t="shared" si="108"/>
        <v>1.1102215105417668</v>
      </c>
      <c r="M1426" s="39">
        <f t="shared" si="109"/>
        <v>1.1102215105417668</v>
      </c>
      <c r="P1426">
        <v>0</v>
      </c>
      <c r="Q1426">
        <v>0</v>
      </c>
      <c r="R1426" t="s">
        <v>1261</v>
      </c>
    </row>
    <row r="1427" spans="1:18" hidden="1" x14ac:dyDescent="0.3">
      <c r="A1427">
        <v>442</v>
      </c>
      <c r="B1427" t="s">
        <v>1262</v>
      </c>
      <c r="C1427" t="s">
        <v>246</v>
      </c>
      <c r="D1427" t="s">
        <v>27</v>
      </c>
      <c r="E1427" t="s">
        <v>22</v>
      </c>
      <c r="F1427" s="79">
        <v>45473</v>
      </c>
      <c r="G1427">
        <v>2024</v>
      </c>
      <c r="H1427" t="s">
        <v>699</v>
      </c>
      <c r="I1427" t="s">
        <v>729</v>
      </c>
      <c r="J1427">
        <v>100</v>
      </c>
      <c r="K1427">
        <v>80</v>
      </c>
      <c r="L1427" s="39">
        <f t="shared" si="108"/>
        <v>0.8</v>
      </c>
      <c r="M1427" s="39">
        <f t="shared" si="109"/>
        <v>0.8</v>
      </c>
      <c r="P1427">
        <v>0</v>
      </c>
      <c r="Q1427">
        <v>0</v>
      </c>
      <c r="R1427" t="s">
        <v>3052</v>
      </c>
    </row>
    <row r="1428" spans="1:18" hidden="1" x14ac:dyDescent="0.3">
      <c r="A1428">
        <v>442</v>
      </c>
      <c r="B1428" t="s">
        <v>1262</v>
      </c>
      <c r="C1428" t="s">
        <v>246</v>
      </c>
      <c r="D1428" t="s">
        <v>27</v>
      </c>
      <c r="E1428" t="s">
        <v>22</v>
      </c>
      <c r="F1428" s="79">
        <v>45657</v>
      </c>
      <c r="G1428">
        <v>2024</v>
      </c>
      <c r="H1428" t="s">
        <v>23</v>
      </c>
      <c r="I1428" t="s">
        <v>30</v>
      </c>
      <c r="J1428">
        <v>100</v>
      </c>
      <c r="K1428">
        <v>145</v>
      </c>
      <c r="L1428" s="39">
        <f t="shared" si="108"/>
        <v>1.3</v>
      </c>
      <c r="M1428" s="39">
        <f t="shared" si="109"/>
        <v>1.45</v>
      </c>
      <c r="P1428">
        <v>0</v>
      </c>
      <c r="Q1428">
        <v>0</v>
      </c>
      <c r="R1428" t="s">
        <v>1263</v>
      </c>
    </row>
    <row r="1429" spans="1:18" hidden="1" x14ac:dyDescent="0.3">
      <c r="A1429">
        <v>443</v>
      </c>
      <c r="B1429" t="s">
        <v>1264</v>
      </c>
      <c r="C1429" t="s">
        <v>246</v>
      </c>
      <c r="D1429" t="s">
        <v>27</v>
      </c>
      <c r="E1429" t="s">
        <v>22</v>
      </c>
      <c r="F1429" s="79">
        <v>45473</v>
      </c>
      <c r="G1429">
        <v>2024</v>
      </c>
      <c r="H1429" t="s">
        <v>699</v>
      </c>
      <c r="I1429" t="s">
        <v>729</v>
      </c>
      <c r="J1429">
        <v>100</v>
      </c>
      <c r="K1429">
        <v>114.33</v>
      </c>
      <c r="L1429" s="39">
        <f t="shared" si="108"/>
        <v>1.1433</v>
      </c>
      <c r="M1429" s="39">
        <f t="shared" si="109"/>
        <v>1.1433</v>
      </c>
      <c r="P1429">
        <v>0</v>
      </c>
      <c r="Q1429">
        <v>0</v>
      </c>
      <c r="R1429" t="s">
        <v>3053</v>
      </c>
    </row>
    <row r="1430" spans="1:18" hidden="1" x14ac:dyDescent="0.3">
      <c r="A1430">
        <v>443</v>
      </c>
      <c r="B1430" t="s">
        <v>1264</v>
      </c>
      <c r="C1430" t="s">
        <v>246</v>
      </c>
      <c r="D1430" t="s">
        <v>27</v>
      </c>
      <c r="E1430" t="s">
        <v>22</v>
      </c>
      <c r="F1430" s="79">
        <v>45657</v>
      </c>
      <c r="G1430">
        <v>2024</v>
      </c>
      <c r="H1430" t="s">
        <v>23</v>
      </c>
      <c r="I1430" t="s">
        <v>30</v>
      </c>
      <c r="J1430">
        <v>100</v>
      </c>
      <c r="K1430">
        <v>209</v>
      </c>
      <c r="L1430" s="39">
        <f t="shared" si="108"/>
        <v>1.3</v>
      </c>
      <c r="M1430" s="39">
        <f t="shared" si="109"/>
        <v>2.09</v>
      </c>
      <c r="P1430">
        <v>0</v>
      </c>
      <c r="Q1430">
        <v>0</v>
      </c>
      <c r="R1430" t="s">
        <v>1265</v>
      </c>
    </row>
    <row r="1431" spans="1:18" hidden="1" x14ac:dyDescent="0.3">
      <c r="A1431">
        <v>444</v>
      </c>
      <c r="B1431" t="s">
        <v>1266</v>
      </c>
      <c r="C1431" t="s">
        <v>541</v>
      </c>
      <c r="D1431" t="s">
        <v>27</v>
      </c>
      <c r="E1431" t="s">
        <v>41</v>
      </c>
      <c r="F1431" s="79">
        <v>45473</v>
      </c>
      <c r="G1431">
        <v>2024</v>
      </c>
      <c r="H1431" t="s">
        <v>699</v>
      </c>
      <c r="I1431" t="s">
        <v>729</v>
      </c>
      <c r="L1431" s="39"/>
      <c r="M1431" s="39"/>
      <c r="P1431">
        <v>0</v>
      </c>
      <c r="Q1431">
        <v>0</v>
      </c>
      <c r="R1431" t="s">
        <v>3261</v>
      </c>
    </row>
    <row r="1432" spans="1:18" hidden="1" x14ac:dyDescent="0.3">
      <c r="A1432">
        <v>444</v>
      </c>
      <c r="B1432" t="s">
        <v>1266</v>
      </c>
      <c r="C1432" t="s">
        <v>541</v>
      </c>
      <c r="D1432" t="s">
        <v>27</v>
      </c>
      <c r="E1432" t="s">
        <v>41</v>
      </c>
      <c r="F1432" s="79">
        <v>45657</v>
      </c>
      <c r="G1432">
        <v>2024</v>
      </c>
      <c r="H1432" t="s">
        <v>23</v>
      </c>
      <c r="I1432" t="s">
        <v>30</v>
      </c>
      <c r="J1432">
        <v>0</v>
      </c>
      <c r="K1432">
        <v>2.1</v>
      </c>
      <c r="L1432" s="39" t="str">
        <f t="shared" ref="L1432:L1460" si="110">IFERROR(IF(OR(J1432=0,K1432=""),"",IF(E1432="Positivo",MIN(MAX(K1432/J1432,0),1.3),MIN(MAX(J1432/K1432,0),1.3))),"")</f>
        <v/>
      </c>
      <c r="M1432" s="39" t="str">
        <f t="shared" ref="M1432:M1460" si="111">IFERROR(IF(OR(J1432=0,K1432=""),"",IF(E1432="Positivo",MAX(K1432/J1432,0),MAX(J1432/K1432,0))),"")</f>
        <v/>
      </c>
      <c r="P1432">
        <v>0</v>
      </c>
      <c r="Q1432">
        <v>0</v>
      </c>
      <c r="R1432" t="s">
        <v>1267</v>
      </c>
    </row>
    <row r="1433" spans="1:18" hidden="1" x14ac:dyDescent="0.3">
      <c r="A1433">
        <v>444</v>
      </c>
      <c r="B1433" t="s">
        <v>1266</v>
      </c>
      <c r="C1433" t="s">
        <v>541</v>
      </c>
      <c r="D1433" t="s">
        <v>21</v>
      </c>
      <c r="E1433" t="s">
        <v>41</v>
      </c>
      <c r="F1433" s="79">
        <v>45838</v>
      </c>
      <c r="G1433">
        <v>2025</v>
      </c>
      <c r="H1433" t="s">
        <v>699</v>
      </c>
      <c r="I1433" t="s">
        <v>700</v>
      </c>
      <c r="J1433">
        <v>3</v>
      </c>
      <c r="K1433">
        <v>1.6</v>
      </c>
      <c r="L1433" s="39">
        <f t="shared" si="110"/>
        <v>1.3</v>
      </c>
      <c r="M1433" s="39">
        <f t="shared" si="111"/>
        <v>1.875</v>
      </c>
      <c r="N1433" t="s">
        <v>128</v>
      </c>
      <c r="O1433" t="s">
        <v>136</v>
      </c>
      <c r="P1433">
        <v>0</v>
      </c>
      <c r="Q1433">
        <v>1</v>
      </c>
      <c r="R1433" t="s">
        <v>3054</v>
      </c>
    </row>
    <row r="1434" spans="1:18" hidden="1" x14ac:dyDescent="0.3">
      <c r="A1434">
        <v>444</v>
      </c>
      <c r="B1434" t="s">
        <v>1266</v>
      </c>
      <c r="C1434" t="s">
        <v>541</v>
      </c>
      <c r="D1434" t="s">
        <v>21</v>
      </c>
      <c r="E1434" t="s">
        <v>41</v>
      </c>
      <c r="F1434" s="79">
        <v>46022</v>
      </c>
      <c r="G1434">
        <v>2025</v>
      </c>
      <c r="H1434" t="s">
        <v>23</v>
      </c>
      <c r="I1434" t="s">
        <v>32</v>
      </c>
      <c r="J1434">
        <v>3</v>
      </c>
      <c r="K1434">
        <v>1.7</v>
      </c>
      <c r="L1434" s="39">
        <f t="shared" si="110"/>
        <v>1.3</v>
      </c>
      <c r="M1434" s="39">
        <f t="shared" si="111"/>
        <v>1.7647058823529411</v>
      </c>
      <c r="N1434" t="s">
        <v>128</v>
      </c>
      <c r="O1434" t="s">
        <v>136</v>
      </c>
      <c r="P1434">
        <v>0</v>
      </c>
      <c r="Q1434">
        <v>1</v>
      </c>
      <c r="R1434" t="s">
        <v>1268</v>
      </c>
    </row>
    <row r="1435" spans="1:18" hidden="1" x14ac:dyDescent="0.3">
      <c r="A1435">
        <v>445</v>
      </c>
      <c r="B1435" t="s">
        <v>1269</v>
      </c>
      <c r="C1435" t="s">
        <v>541</v>
      </c>
      <c r="D1435" t="s">
        <v>27</v>
      </c>
      <c r="E1435" t="s">
        <v>22</v>
      </c>
      <c r="F1435" s="79">
        <v>45473</v>
      </c>
      <c r="G1435">
        <v>2024</v>
      </c>
      <c r="H1435" t="s">
        <v>699</v>
      </c>
      <c r="I1435" t="s">
        <v>729</v>
      </c>
      <c r="J1435">
        <v>67.5</v>
      </c>
      <c r="K1435">
        <v>55.2</v>
      </c>
      <c r="L1435" s="39">
        <f t="shared" si="110"/>
        <v>0.81777777777777783</v>
      </c>
      <c r="M1435" s="39">
        <f t="shared" si="111"/>
        <v>0.81777777777777783</v>
      </c>
      <c r="P1435">
        <v>0</v>
      </c>
      <c r="Q1435">
        <v>0</v>
      </c>
      <c r="R1435" t="s">
        <v>3055</v>
      </c>
    </row>
    <row r="1436" spans="1:18" hidden="1" x14ac:dyDescent="0.3">
      <c r="A1436">
        <v>445</v>
      </c>
      <c r="B1436" t="s">
        <v>1269</v>
      </c>
      <c r="C1436" t="s">
        <v>541</v>
      </c>
      <c r="D1436" t="s">
        <v>27</v>
      </c>
      <c r="E1436" t="s">
        <v>22</v>
      </c>
      <c r="F1436" s="79">
        <v>45657</v>
      </c>
      <c r="G1436">
        <v>2024</v>
      </c>
      <c r="H1436" t="s">
        <v>23</v>
      </c>
      <c r="I1436" t="s">
        <v>30</v>
      </c>
      <c r="J1436">
        <v>67.5</v>
      </c>
      <c r="K1436">
        <v>86.5</v>
      </c>
      <c r="L1436" s="39">
        <f t="shared" si="110"/>
        <v>1.2814814814814814</v>
      </c>
      <c r="M1436" s="39">
        <f t="shared" si="111"/>
        <v>1.2814814814814814</v>
      </c>
      <c r="P1436">
        <v>0</v>
      </c>
      <c r="Q1436">
        <v>0</v>
      </c>
      <c r="R1436" t="s">
        <v>1270</v>
      </c>
    </row>
    <row r="1437" spans="1:18" hidden="1" x14ac:dyDescent="0.3">
      <c r="A1437">
        <v>445</v>
      </c>
      <c r="B1437" t="s">
        <v>1269</v>
      </c>
      <c r="C1437" t="s">
        <v>541</v>
      </c>
      <c r="D1437" t="s">
        <v>21</v>
      </c>
      <c r="E1437" t="s">
        <v>22</v>
      </c>
      <c r="F1437" s="79">
        <v>45838</v>
      </c>
      <c r="G1437">
        <v>2025</v>
      </c>
      <c r="H1437" t="s">
        <v>699</v>
      </c>
      <c r="I1437" t="s">
        <v>700</v>
      </c>
      <c r="J1437">
        <v>70</v>
      </c>
      <c r="K1437">
        <v>75.7</v>
      </c>
      <c r="L1437" s="39">
        <f t="shared" si="110"/>
        <v>1.0814285714285714</v>
      </c>
      <c r="M1437" s="39">
        <f t="shared" si="111"/>
        <v>1.0814285714285714</v>
      </c>
      <c r="N1437" t="s">
        <v>25</v>
      </c>
      <c r="O1437" t="s">
        <v>25</v>
      </c>
      <c r="P1437">
        <v>0</v>
      </c>
      <c r="Q1437">
        <v>0</v>
      </c>
      <c r="R1437" t="s">
        <v>3056</v>
      </c>
    </row>
    <row r="1438" spans="1:18" hidden="1" x14ac:dyDescent="0.3">
      <c r="A1438">
        <v>445</v>
      </c>
      <c r="B1438" t="s">
        <v>1269</v>
      </c>
      <c r="C1438" t="s">
        <v>541</v>
      </c>
      <c r="D1438" t="s">
        <v>21</v>
      </c>
      <c r="E1438" t="s">
        <v>22</v>
      </c>
      <c r="F1438" s="79">
        <v>46022</v>
      </c>
      <c r="G1438">
        <v>2025</v>
      </c>
      <c r="H1438" t="s">
        <v>23</v>
      </c>
      <c r="I1438" t="s">
        <v>32</v>
      </c>
      <c r="J1438">
        <v>70</v>
      </c>
      <c r="K1438">
        <v>85.3</v>
      </c>
      <c r="L1438" s="39">
        <f t="shared" si="110"/>
        <v>1.2185714285714286</v>
      </c>
      <c r="M1438" s="39">
        <f t="shared" si="111"/>
        <v>1.2185714285714286</v>
      </c>
      <c r="N1438" t="s">
        <v>25</v>
      </c>
      <c r="O1438" t="s">
        <v>25</v>
      </c>
      <c r="P1438">
        <v>0</v>
      </c>
      <c r="Q1438">
        <v>0</v>
      </c>
      <c r="R1438" t="s">
        <v>1271</v>
      </c>
    </row>
    <row r="1439" spans="1:18" hidden="1" x14ac:dyDescent="0.3">
      <c r="A1439">
        <v>447</v>
      </c>
      <c r="B1439" t="s">
        <v>724</v>
      </c>
      <c r="C1439" t="s">
        <v>254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15</v>
      </c>
      <c r="K1439">
        <v>31.04</v>
      </c>
      <c r="L1439" s="39">
        <f t="shared" si="110"/>
        <v>1.3</v>
      </c>
      <c r="M1439" s="39">
        <f t="shared" si="111"/>
        <v>2.0693333333333332</v>
      </c>
      <c r="P1439">
        <v>0</v>
      </c>
      <c r="Q1439">
        <v>0</v>
      </c>
      <c r="R1439" t="s">
        <v>3057</v>
      </c>
    </row>
    <row r="1440" spans="1:18" hidden="1" x14ac:dyDescent="0.3">
      <c r="A1440">
        <v>447</v>
      </c>
      <c r="B1440" t="s">
        <v>724</v>
      </c>
      <c r="C1440" t="s">
        <v>254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15</v>
      </c>
      <c r="K1440">
        <v>16.16</v>
      </c>
      <c r="L1440" s="39">
        <f t="shared" si="110"/>
        <v>1.0773333333333333</v>
      </c>
      <c r="M1440" s="39">
        <f t="shared" si="111"/>
        <v>1.0773333333333333</v>
      </c>
      <c r="P1440">
        <v>0</v>
      </c>
      <c r="Q1440">
        <v>0</v>
      </c>
      <c r="R1440" t="s">
        <v>1272</v>
      </c>
    </row>
    <row r="1441" spans="1:18" hidden="1" x14ac:dyDescent="0.3">
      <c r="A1441">
        <v>447</v>
      </c>
      <c r="B1441" t="s">
        <v>724</v>
      </c>
      <c r="C1441" t="s">
        <v>254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15</v>
      </c>
      <c r="K1441">
        <v>16.54</v>
      </c>
      <c r="L1441" s="39">
        <f t="shared" si="110"/>
        <v>1.1026666666666667</v>
      </c>
      <c r="M1441" s="39">
        <f t="shared" si="111"/>
        <v>1.1026666666666667</v>
      </c>
      <c r="N1441" t="s">
        <v>25</v>
      </c>
      <c r="O1441" t="s">
        <v>25</v>
      </c>
      <c r="P1441">
        <v>0</v>
      </c>
      <c r="Q1441">
        <v>0</v>
      </c>
      <c r="R1441" t="s">
        <v>3058</v>
      </c>
    </row>
    <row r="1442" spans="1:18" hidden="1" x14ac:dyDescent="0.3">
      <c r="A1442">
        <v>447</v>
      </c>
      <c r="B1442" t="s">
        <v>724</v>
      </c>
      <c r="C1442" t="s">
        <v>254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15</v>
      </c>
      <c r="K1442">
        <v>15.01</v>
      </c>
      <c r="L1442" s="39">
        <f t="shared" si="110"/>
        <v>1.0006666666666666</v>
      </c>
      <c r="M1442" s="39">
        <f t="shared" si="111"/>
        <v>1.0006666666666666</v>
      </c>
      <c r="N1442" t="s">
        <v>25</v>
      </c>
      <c r="O1442" t="s">
        <v>25</v>
      </c>
      <c r="P1442">
        <v>0</v>
      </c>
      <c r="Q1442">
        <v>0</v>
      </c>
      <c r="R1442" t="s">
        <v>1273</v>
      </c>
    </row>
    <row r="1443" spans="1:18" hidden="1" x14ac:dyDescent="0.3">
      <c r="A1443">
        <v>448</v>
      </c>
      <c r="B1443" t="s">
        <v>1274</v>
      </c>
      <c r="C1443" t="s">
        <v>254</v>
      </c>
      <c r="D1443" t="s">
        <v>27</v>
      </c>
      <c r="E1443" t="s">
        <v>22</v>
      </c>
      <c r="F1443" s="79">
        <v>45473</v>
      </c>
      <c r="G1443">
        <v>2024</v>
      </c>
      <c r="H1443" t="s">
        <v>699</v>
      </c>
      <c r="I1443" t="s">
        <v>729</v>
      </c>
      <c r="J1443">
        <v>9</v>
      </c>
      <c r="K1443">
        <v>18.93</v>
      </c>
      <c r="L1443" s="39">
        <f t="shared" si="110"/>
        <v>1.3</v>
      </c>
      <c r="M1443" s="39">
        <f t="shared" si="111"/>
        <v>2.1033333333333335</v>
      </c>
      <c r="P1443">
        <v>0</v>
      </c>
      <c r="Q1443">
        <v>0</v>
      </c>
      <c r="R1443" t="s">
        <v>3059</v>
      </c>
    </row>
    <row r="1444" spans="1:18" hidden="1" x14ac:dyDescent="0.3">
      <c r="A1444">
        <v>448</v>
      </c>
      <c r="B1444" t="s">
        <v>1274</v>
      </c>
      <c r="C1444" t="s">
        <v>254</v>
      </c>
      <c r="D1444" t="s">
        <v>27</v>
      </c>
      <c r="E1444" t="s">
        <v>22</v>
      </c>
      <c r="F1444" s="79">
        <v>45657</v>
      </c>
      <c r="G1444">
        <v>2024</v>
      </c>
      <c r="H1444" t="s">
        <v>23</v>
      </c>
      <c r="I1444" t="s">
        <v>30</v>
      </c>
      <c r="J1444">
        <v>9</v>
      </c>
      <c r="K1444">
        <v>9.32</v>
      </c>
      <c r="L1444" s="39">
        <f t="shared" si="110"/>
        <v>1.0355555555555556</v>
      </c>
      <c r="M1444" s="39">
        <f t="shared" si="111"/>
        <v>1.0355555555555556</v>
      </c>
      <c r="P1444">
        <v>0</v>
      </c>
      <c r="Q1444">
        <v>0</v>
      </c>
      <c r="R1444" t="s">
        <v>1275</v>
      </c>
    </row>
    <row r="1445" spans="1:18" hidden="1" x14ac:dyDescent="0.3">
      <c r="A1445">
        <v>448</v>
      </c>
      <c r="B1445" t="s">
        <v>1274</v>
      </c>
      <c r="C1445" t="s">
        <v>254</v>
      </c>
      <c r="D1445" t="s">
        <v>21</v>
      </c>
      <c r="E1445" t="s">
        <v>22</v>
      </c>
      <c r="F1445" s="79">
        <v>45838</v>
      </c>
      <c r="G1445">
        <v>2025</v>
      </c>
      <c r="H1445" t="s">
        <v>699</v>
      </c>
      <c r="I1445" t="s">
        <v>700</v>
      </c>
      <c r="J1445">
        <v>17</v>
      </c>
      <c r="K1445">
        <v>39.619999999999997</v>
      </c>
      <c r="L1445" s="39">
        <f t="shared" si="110"/>
        <v>1.3</v>
      </c>
      <c r="M1445" s="39">
        <f t="shared" si="111"/>
        <v>2.3305882352941176</v>
      </c>
      <c r="N1445" t="s">
        <v>25</v>
      </c>
      <c r="O1445" t="s">
        <v>25</v>
      </c>
      <c r="P1445">
        <v>0</v>
      </c>
      <c r="Q1445">
        <v>1</v>
      </c>
      <c r="R1445" t="s">
        <v>3060</v>
      </c>
    </row>
    <row r="1446" spans="1:18" hidden="1" x14ac:dyDescent="0.3">
      <c r="A1446">
        <v>448</v>
      </c>
      <c r="B1446" t="s">
        <v>1274</v>
      </c>
      <c r="C1446" t="s">
        <v>254</v>
      </c>
      <c r="D1446" t="s">
        <v>21</v>
      </c>
      <c r="E1446" t="s">
        <v>22</v>
      </c>
      <c r="F1446" s="79">
        <v>46022</v>
      </c>
      <c r="G1446">
        <v>2025</v>
      </c>
      <c r="H1446" t="s">
        <v>23</v>
      </c>
      <c r="I1446" t="s">
        <v>32</v>
      </c>
      <c r="J1446">
        <v>17</v>
      </c>
      <c r="K1446">
        <v>59.36</v>
      </c>
      <c r="L1446" s="39">
        <f t="shared" si="110"/>
        <v>1.3</v>
      </c>
      <c r="M1446" s="39">
        <f t="shared" si="111"/>
        <v>3.4917647058823529</v>
      </c>
      <c r="N1446" t="s">
        <v>25</v>
      </c>
      <c r="O1446" t="s">
        <v>25</v>
      </c>
      <c r="P1446">
        <v>0</v>
      </c>
      <c r="Q1446">
        <v>1</v>
      </c>
      <c r="R1446" t="s">
        <v>1276</v>
      </c>
    </row>
    <row r="1447" spans="1:18" hidden="1" x14ac:dyDescent="0.3">
      <c r="A1447">
        <v>449</v>
      </c>
      <c r="B1447" t="s">
        <v>1277</v>
      </c>
      <c r="C1447" t="s">
        <v>732</v>
      </c>
      <c r="D1447" t="s">
        <v>21</v>
      </c>
      <c r="E1447" t="s">
        <v>22</v>
      </c>
      <c r="F1447" s="79">
        <v>45473</v>
      </c>
      <c r="G1447">
        <v>2024</v>
      </c>
      <c r="H1447" t="s">
        <v>699</v>
      </c>
      <c r="I1447" t="s">
        <v>729</v>
      </c>
      <c r="J1447">
        <v>40</v>
      </c>
      <c r="K1447">
        <v>53.85</v>
      </c>
      <c r="L1447" s="39">
        <f t="shared" si="110"/>
        <v>1.3</v>
      </c>
      <c r="M1447" s="39">
        <f t="shared" si="111"/>
        <v>1.3462499999999999</v>
      </c>
      <c r="P1447">
        <v>0</v>
      </c>
      <c r="Q1447">
        <v>0</v>
      </c>
      <c r="R1447" t="s">
        <v>3262</v>
      </c>
    </row>
    <row r="1448" spans="1:18" hidden="1" x14ac:dyDescent="0.3">
      <c r="A1448">
        <v>449</v>
      </c>
      <c r="B1448" t="s">
        <v>1277</v>
      </c>
      <c r="C1448" t="s">
        <v>732</v>
      </c>
      <c r="D1448" t="s">
        <v>21</v>
      </c>
      <c r="E1448" t="s">
        <v>22</v>
      </c>
      <c r="F1448" s="79">
        <v>45657</v>
      </c>
      <c r="G1448">
        <v>2024</v>
      </c>
      <c r="H1448" t="s">
        <v>23</v>
      </c>
      <c r="I1448" t="s">
        <v>30</v>
      </c>
      <c r="J1448">
        <v>100</v>
      </c>
      <c r="K1448">
        <v>100</v>
      </c>
      <c r="L1448" s="39">
        <f t="shared" si="110"/>
        <v>1</v>
      </c>
      <c r="M1448" s="39">
        <f t="shared" si="111"/>
        <v>1</v>
      </c>
      <c r="P1448">
        <v>0</v>
      </c>
      <c r="Q1448">
        <v>0</v>
      </c>
      <c r="R1448" t="s">
        <v>1278</v>
      </c>
    </row>
    <row r="1449" spans="1:18" hidden="1" x14ac:dyDescent="0.3">
      <c r="A1449">
        <v>451</v>
      </c>
      <c r="B1449" t="s">
        <v>1279</v>
      </c>
      <c r="C1449" t="s">
        <v>1078</v>
      </c>
      <c r="D1449" t="s">
        <v>27</v>
      </c>
      <c r="E1449" t="s">
        <v>22</v>
      </c>
      <c r="F1449" s="79">
        <v>45473</v>
      </c>
      <c r="G1449">
        <v>2024</v>
      </c>
      <c r="H1449" t="s">
        <v>699</v>
      </c>
      <c r="I1449" t="s">
        <v>729</v>
      </c>
      <c r="J1449">
        <v>0</v>
      </c>
      <c r="K1449">
        <v>34.9</v>
      </c>
      <c r="L1449" s="39" t="str">
        <f t="shared" si="110"/>
        <v/>
      </c>
      <c r="M1449" s="39" t="str">
        <f t="shared" si="111"/>
        <v/>
      </c>
      <c r="P1449">
        <v>0</v>
      </c>
      <c r="Q1449">
        <v>0</v>
      </c>
      <c r="R1449" t="s">
        <v>3063</v>
      </c>
    </row>
    <row r="1450" spans="1:18" hidden="1" x14ac:dyDescent="0.3">
      <c r="A1450">
        <v>451</v>
      </c>
      <c r="B1450" t="s">
        <v>1279</v>
      </c>
      <c r="C1450" t="s">
        <v>1078</v>
      </c>
      <c r="D1450" t="s">
        <v>27</v>
      </c>
      <c r="E1450" t="s">
        <v>22</v>
      </c>
      <c r="F1450" s="79">
        <v>45657</v>
      </c>
      <c r="G1450">
        <v>2024</v>
      </c>
      <c r="H1450" t="s">
        <v>23</v>
      </c>
      <c r="I1450" t="s">
        <v>30</v>
      </c>
      <c r="J1450">
        <v>0</v>
      </c>
      <c r="K1450">
        <v>42.7</v>
      </c>
      <c r="L1450" s="39" t="str">
        <f t="shared" si="110"/>
        <v/>
      </c>
      <c r="M1450" s="39" t="str">
        <f t="shared" si="111"/>
        <v/>
      </c>
      <c r="P1450">
        <v>0</v>
      </c>
      <c r="Q1450">
        <v>0</v>
      </c>
      <c r="R1450" t="s">
        <v>1280</v>
      </c>
    </row>
    <row r="1451" spans="1:18" hidden="1" x14ac:dyDescent="0.3">
      <c r="A1451">
        <v>451</v>
      </c>
      <c r="B1451" t="s">
        <v>1281</v>
      </c>
      <c r="C1451" t="s">
        <v>1078</v>
      </c>
      <c r="D1451" t="s">
        <v>21</v>
      </c>
      <c r="E1451" t="s">
        <v>22</v>
      </c>
      <c r="F1451" s="79">
        <v>45838</v>
      </c>
      <c r="G1451">
        <v>2025</v>
      </c>
      <c r="H1451" t="s">
        <v>699</v>
      </c>
      <c r="I1451" t="s">
        <v>700</v>
      </c>
      <c r="J1451">
        <v>100</v>
      </c>
      <c r="K1451">
        <v>119.5</v>
      </c>
      <c r="L1451" s="39">
        <f t="shared" si="110"/>
        <v>1.1950000000000001</v>
      </c>
      <c r="M1451" s="39">
        <f t="shared" si="111"/>
        <v>1.1950000000000001</v>
      </c>
      <c r="N1451" t="s">
        <v>25</v>
      </c>
      <c r="O1451" t="s">
        <v>25</v>
      </c>
      <c r="P1451">
        <v>0</v>
      </c>
      <c r="Q1451">
        <v>0</v>
      </c>
      <c r="R1451" t="s">
        <v>3064</v>
      </c>
    </row>
    <row r="1452" spans="1:18" hidden="1" x14ac:dyDescent="0.3">
      <c r="A1452">
        <v>451</v>
      </c>
      <c r="B1452" t="s">
        <v>1281</v>
      </c>
      <c r="C1452" t="s">
        <v>1078</v>
      </c>
      <c r="D1452" t="s">
        <v>21</v>
      </c>
      <c r="E1452" t="s">
        <v>22</v>
      </c>
      <c r="F1452" s="79">
        <v>46022</v>
      </c>
      <c r="G1452">
        <v>2025</v>
      </c>
      <c r="H1452" t="s">
        <v>23</v>
      </c>
      <c r="I1452" t="s">
        <v>32</v>
      </c>
      <c r="J1452">
        <v>100</v>
      </c>
      <c r="K1452">
        <v>130.80000000000001</v>
      </c>
      <c r="L1452" s="39">
        <f t="shared" si="110"/>
        <v>1.3</v>
      </c>
      <c r="M1452" s="39">
        <f t="shared" si="111"/>
        <v>1.3080000000000001</v>
      </c>
      <c r="N1452" t="s">
        <v>25</v>
      </c>
      <c r="O1452" t="s">
        <v>25</v>
      </c>
      <c r="P1452">
        <v>0</v>
      </c>
      <c r="Q1452">
        <v>0</v>
      </c>
      <c r="R1452" t="s">
        <v>1282</v>
      </c>
    </row>
    <row r="1453" spans="1:18" hidden="1" x14ac:dyDescent="0.3">
      <c r="A1453">
        <v>452</v>
      </c>
      <c r="B1453" t="s">
        <v>1283</v>
      </c>
      <c r="C1453" t="s">
        <v>1078</v>
      </c>
      <c r="D1453" t="s">
        <v>27</v>
      </c>
      <c r="E1453" t="s">
        <v>22</v>
      </c>
      <c r="F1453" s="79">
        <v>45473</v>
      </c>
      <c r="G1453">
        <v>2024</v>
      </c>
      <c r="H1453" t="s">
        <v>699</v>
      </c>
      <c r="I1453" t="s">
        <v>729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3065</v>
      </c>
    </row>
    <row r="1454" spans="1:18" hidden="1" x14ac:dyDescent="0.3">
      <c r="A1454">
        <v>452</v>
      </c>
      <c r="B1454" t="s">
        <v>1283</v>
      </c>
      <c r="C1454" t="s">
        <v>1078</v>
      </c>
      <c r="D1454" t="s">
        <v>27</v>
      </c>
      <c r="E1454" t="s">
        <v>22</v>
      </c>
      <c r="F1454" s="79">
        <v>45657</v>
      </c>
      <c r="G1454">
        <v>2024</v>
      </c>
      <c r="H1454" t="s">
        <v>23</v>
      </c>
      <c r="I1454" t="s">
        <v>30</v>
      </c>
      <c r="J1454">
        <v>100</v>
      </c>
      <c r="K1454">
        <v>160</v>
      </c>
      <c r="L1454" s="39">
        <f t="shared" si="110"/>
        <v>1.3</v>
      </c>
      <c r="M1454" s="39">
        <f t="shared" si="111"/>
        <v>1.6</v>
      </c>
      <c r="P1454">
        <v>0</v>
      </c>
      <c r="Q1454">
        <v>0</v>
      </c>
      <c r="R1454" t="s">
        <v>1284</v>
      </c>
    </row>
    <row r="1455" spans="1:18" hidden="1" x14ac:dyDescent="0.3">
      <c r="A1455">
        <v>452</v>
      </c>
      <c r="B1455" t="s">
        <v>1283</v>
      </c>
      <c r="C1455" t="s">
        <v>1078</v>
      </c>
      <c r="D1455" t="s">
        <v>21</v>
      </c>
      <c r="E1455" t="s">
        <v>22</v>
      </c>
      <c r="F1455" s="79">
        <v>45838</v>
      </c>
      <c r="G1455">
        <v>2025</v>
      </c>
      <c r="H1455" t="s">
        <v>699</v>
      </c>
      <c r="I1455" t="s">
        <v>700</v>
      </c>
      <c r="J1455">
        <v>100</v>
      </c>
      <c r="K1455">
        <v>102.27</v>
      </c>
      <c r="L1455" s="39">
        <f t="shared" si="110"/>
        <v>1.0226999999999999</v>
      </c>
      <c r="M1455" s="39">
        <f t="shared" si="111"/>
        <v>1.0226999999999999</v>
      </c>
      <c r="N1455" t="s">
        <v>25</v>
      </c>
      <c r="O1455" t="s">
        <v>25</v>
      </c>
      <c r="P1455">
        <v>0</v>
      </c>
      <c r="Q1455">
        <v>0</v>
      </c>
      <c r="R1455" t="s">
        <v>3066</v>
      </c>
    </row>
    <row r="1456" spans="1:18" hidden="1" x14ac:dyDescent="0.3">
      <c r="A1456">
        <v>452</v>
      </c>
      <c r="B1456" t="s">
        <v>1283</v>
      </c>
      <c r="C1456" t="s">
        <v>1078</v>
      </c>
      <c r="D1456" t="s">
        <v>21</v>
      </c>
      <c r="E1456" t="s">
        <v>22</v>
      </c>
      <c r="F1456" s="79">
        <v>46022</v>
      </c>
      <c r="G1456">
        <v>2025</v>
      </c>
      <c r="H1456" t="s">
        <v>23</v>
      </c>
      <c r="I1456" t="s">
        <v>32</v>
      </c>
      <c r="J1456">
        <v>100</v>
      </c>
      <c r="K1456">
        <v>200</v>
      </c>
      <c r="L1456" s="39">
        <f t="shared" si="110"/>
        <v>1.3</v>
      </c>
      <c r="M1456" s="39">
        <f t="shared" si="111"/>
        <v>2</v>
      </c>
      <c r="N1456" t="s">
        <v>25</v>
      </c>
      <c r="O1456" t="s">
        <v>25</v>
      </c>
      <c r="P1456">
        <v>0</v>
      </c>
      <c r="Q1456">
        <v>0</v>
      </c>
      <c r="R1456" t="s">
        <v>1285</v>
      </c>
    </row>
    <row r="1457" spans="1:18" hidden="1" x14ac:dyDescent="0.3">
      <c r="A1457">
        <v>453</v>
      </c>
      <c r="B1457" t="s">
        <v>1286</v>
      </c>
      <c r="C1457" t="s">
        <v>1089</v>
      </c>
      <c r="D1457" t="s">
        <v>21</v>
      </c>
      <c r="E1457" t="s">
        <v>22</v>
      </c>
      <c r="F1457" s="79">
        <v>45473</v>
      </c>
      <c r="G1457">
        <v>2024</v>
      </c>
      <c r="H1457" t="s">
        <v>699</v>
      </c>
      <c r="I1457" t="s">
        <v>729</v>
      </c>
      <c r="J1457">
        <v>25</v>
      </c>
      <c r="K1457">
        <v>48</v>
      </c>
      <c r="L1457" s="39">
        <f t="shared" si="110"/>
        <v>1.3</v>
      </c>
      <c r="M1457" s="39">
        <f t="shared" si="111"/>
        <v>1.92</v>
      </c>
      <c r="P1457">
        <v>0</v>
      </c>
      <c r="Q1457">
        <v>0</v>
      </c>
      <c r="R1457" t="s">
        <v>3068</v>
      </c>
    </row>
    <row r="1458" spans="1:18" hidden="1" x14ac:dyDescent="0.3">
      <c r="A1458">
        <v>453</v>
      </c>
      <c r="B1458" t="s">
        <v>1286</v>
      </c>
      <c r="C1458" t="s">
        <v>1089</v>
      </c>
      <c r="D1458" t="s">
        <v>21</v>
      </c>
      <c r="E1458" t="s">
        <v>22</v>
      </c>
      <c r="F1458" s="79">
        <v>45657</v>
      </c>
      <c r="G1458">
        <v>2024</v>
      </c>
      <c r="H1458" t="s">
        <v>23</v>
      </c>
      <c r="I1458" t="s">
        <v>30</v>
      </c>
      <c r="J1458">
        <v>50</v>
      </c>
      <c r="K1458">
        <v>112</v>
      </c>
      <c r="L1458" s="39">
        <f t="shared" si="110"/>
        <v>1.3</v>
      </c>
      <c r="M1458" s="39">
        <f t="shared" si="111"/>
        <v>2.2400000000000002</v>
      </c>
      <c r="P1458">
        <v>0</v>
      </c>
      <c r="Q1458">
        <v>0</v>
      </c>
      <c r="R1458" t="s">
        <v>1287</v>
      </c>
    </row>
    <row r="1459" spans="1:18" hidden="1" x14ac:dyDescent="0.3">
      <c r="A1459">
        <v>453</v>
      </c>
      <c r="B1459" t="s">
        <v>1286</v>
      </c>
      <c r="C1459" t="s">
        <v>1089</v>
      </c>
      <c r="D1459" t="s">
        <v>27</v>
      </c>
      <c r="E1459" t="s">
        <v>22</v>
      </c>
      <c r="F1459" s="79">
        <v>45838</v>
      </c>
      <c r="G1459">
        <v>2025</v>
      </c>
      <c r="H1459" t="s">
        <v>699</v>
      </c>
      <c r="I1459" t="s">
        <v>700</v>
      </c>
      <c r="J1459">
        <v>75</v>
      </c>
      <c r="K1459">
        <v>62</v>
      </c>
      <c r="L1459" s="39">
        <f t="shared" si="110"/>
        <v>0.82666666666666666</v>
      </c>
      <c r="M1459" s="39">
        <f t="shared" si="111"/>
        <v>0.82666666666666666</v>
      </c>
      <c r="P1459">
        <v>0</v>
      </c>
      <c r="Q1459">
        <v>0</v>
      </c>
      <c r="R1459" t="s">
        <v>3071</v>
      </c>
    </row>
    <row r="1460" spans="1:18" hidden="1" x14ac:dyDescent="0.3">
      <c r="A1460">
        <v>453</v>
      </c>
      <c r="B1460" t="s">
        <v>1286</v>
      </c>
      <c r="C1460" t="s">
        <v>1089</v>
      </c>
      <c r="D1460" t="s">
        <v>27</v>
      </c>
      <c r="E1460" t="s">
        <v>22</v>
      </c>
      <c r="F1460" s="79">
        <v>46022</v>
      </c>
      <c r="G1460">
        <v>2025</v>
      </c>
      <c r="H1460" t="s">
        <v>23</v>
      </c>
      <c r="I1460" t="s">
        <v>32</v>
      </c>
      <c r="J1460">
        <v>90</v>
      </c>
      <c r="K1460">
        <v>90</v>
      </c>
      <c r="L1460" s="39">
        <f t="shared" si="110"/>
        <v>1</v>
      </c>
      <c r="M1460" s="39">
        <f t="shared" si="111"/>
        <v>1</v>
      </c>
      <c r="P1460">
        <v>0</v>
      </c>
      <c r="Q1460">
        <v>0</v>
      </c>
      <c r="R1460" t="s">
        <v>1288</v>
      </c>
    </row>
    <row r="1461" spans="1:18" hidden="1" x14ac:dyDescent="0.3">
      <c r="A1461">
        <v>454</v>
      </c>
      <c r="B1461" t="s">
        <v>1289</v>
      </c>
      <c r="C1461" t="s">
        <v>1089</v>
      </c>
      <c r="D1461" t="s">
        <v>21</v>
      </c>
      <c r="E1461" t="s">
        <v>22</v>
      </c>
      <c r="F1461" s="79">
        <v>45473</v>
      </c>
      <c r="G1461">
        <v>2024</v>
      </c>
      <c r="H1461" t="s">
        <v>699</v>
      </c>
      <c r="I1461" t="s">
        <v>729</v>
      </c>
      <c r="L1461" s="39"/>
      <c r="M1461" s="39"/>
      <c r="P1461">
        <v>0</v>
      </c>
      <c r="Q1461">
        <v>0</v>
      </c>
      <c r="R1461" t="s">
        <v>3263</v>
      </c>
    </row>
    <row r="1462" spans="1:18" hidden="1" x14ac:dyDescent="0.3">
      <c r="A1462">
        <v>454</v>
      </c>
      <c r="B1462" t="s">
        <v>1289</v>
      </c>
      <c r="C1462" t="s">
        <v>1089</v>
      </c>
      <c r="D1462" t="s">
        <v>21</v>
      </c>
      <c r="E1462" t="s">
        <v>22</v>
      </c>
      <c r="F1462" s="79">
        <v>45657</v>
      </c>
      <c r="G1462">
        <v>2024</v>
      </c>
      <c r="H1462" t="s">
        <v>23</v>
      </c>
      <c r="I1462" t="s">
        <v>30</v>
      </c>
      <c r="J1462">
        <v>0</v>
      </c>
      <c r="K1462">
        <v>88</v>
      </c>
      <c r="L1462" s="39" t="str">
        <f>IFERROR(IF(OR(J1462=0,K1462=""),"",IF(E1462="Positivo",MIN(MAX(K1462/J1462,0),1.3),MIN(MAX(J1462/K1462,0),1.3))),"")</f>
        <v/>
      </c>
      <c r="M1462" s="39" t="str">
        <f>IFERROR(IF(OR(J1462=0,K1462=""),"",IF(E1462="Positivo",MAX(K1462/J1462,0),MAX(J1462/K1462,0))),"")</f>
        <v/>
      </c>
      <c r="P1462">
        <v>0</v>
      </c>
      <c r="Q1462">
        <v>0</v>
      </c>
      <c r="R1462" t="s">
        <v>1290</v>
      </c>
    </row>
    <row r="1463" spans="1:18" hidden="1" x14ac:dyDescent="0.3">
      <c r="A1463">
        <v>455</v>
      </c>
      <c r="B1463" t="s">
        <v>1291</v>
      </c>
      <c r="C1463" t="s">
        <v>1089</v>
      </c>
      <c r="D1463" t="s">
        <v>21</v>
      </c>
      <c r="E1463" t="s">
        <v>22</v>
      </c>
      <c r="F1463" s="79">
        <v>45473</v>
      </c>
      <c r="G1463">
        <v>2024</v>
      </c>
      <c r="H1463" t="s">
        <v>699</v>
      </c>
      <c r="I1463" t="s">
        <v>729</v>
      </c>
      <c r="L1463" s="39"/>
      <c r="M1463" s="39"/>
      <c r="P1463">
        <v>0</v>
      </c>
      <c r="Q1463">
        <v>0</v>
      </c>
      <c r="R1463" t="s">
        <v>3264</v>
      </c>
    </row>
    <row r="1464" spans="1:18" hidden="1" x14ac:dyDescent="0.3">
      <c r="A1464">
        <v>455</v>
      </c>
      <c r="B1464" t="s">
        <v>1291</v>
      </c>
      <c r="C1464" t="s">
        <v>1089</v>
      </c>
      <c r="D1464" t="s">
        <v>21</v>
      </c>
      <c r="E1464" t="s">
        <v>22</v>
      </c>
      <c r="F1464" s="79">
        <v>45657</v>
      </c>
      <c r="G1464">
        <v>2024</v>
      </c>
      <c r="H1464" t="s">
        <v>23</v>
      </c>
      <c r="I1464" t="s">
        <v>30</v>
      </c>
      <c r="J1464">
        <v>90</v>
      </c>
      <c r="K1464">
        <v>100</v>
      </c>
      <c r="L1464" s="39">
        <f t="shared" ref="L1464:L1475" si="112">IFERROR(IF(OR(J1464=0,K1464=""),"",IF(E1464="Positivo",MIN(MAX(K1464/J1464,0),1.3),MIN(MAX(J1464/K1464,0),1.3))),"")</f>
        <v>1.1111111111111112</v>
      </c>
      <c r="M1464" s="39">
        <f t="shared" ref="M1464:M1475" si="113">IFERROR(IF(OR(J1464=0,K1464=""),"",IF(E1464="Positivo",MAX(K1464/J1464,0),MAX(J1464/K1464,0))),"")</f>
        <v>1.1111111111111112</v>
      </c>
      <c r="P1464">
        <v>0</v>
      </c>
      <c r="Q1464">
        <v>0</v>
      </c>
      <c r="R1464" t="s">
        <v>1292</v>
      </c>
    </row>
    <row r="1465" spans="1:18" hidden="1" x14ac:dyDescent="0.3">
      <c r="A1465">
        <v>455</v>
      </c>
      <c r="B1465" t="s">
        <v>1291</v>
      </c>
      <c r="C1465" t="s">
        <v>1089</v>
      </c>
      <c r="D1465" t="s">
        <v>27</v>
      </c>
      <c r="E1465" t="s">
        <v>22</v>
      </c>
      <c r="F1465" s="79">
        <v>45838</v>
      </c>
      <c r="G1465">
        <v>2025</v>
      </c>
      <c r="H1465" t="s">
        <v>699</v>
      </c>
      <c r="I1465" t="s">
        <v>700</v>
      </c>
      <c r="J1465">
        <v>100</v>
      </c>
      <c r="K1465">
        <v>100</v>
      </c>
      <c r="L1465" s="39">
        <f t="shared" si="112"/>
        <v>1</v>
      </c>
      <c r="M1465" s="39">
        <f t="shared" si="113"/>
        <v>1</v>
      </c>
      <c r="N1465" t="s">
        <v>25</v>
      </c>
      <c r="O1465" t="s">
        <v>25</v>
      </c>
      <c r="P1465">
        <v>0</v>
      </c>
      <c r="Q1465">
        <v>0</v>
      </c>
      <c r="R1465" t="s">
        <v>3076</v>
      </c>
    </row>
    <row r="1466" spans="1:18" hidden="1" x14ac:dyDescent="0.3">
      <c r="A1466">
        <v>455</v>
      </c>
      <c r="B1466" t="s">
        <v>1291</v>
      </c>
      <c r="C1466" t="s">
        <v>1089</v>
      </c>
      <c r="D1466" t="s">
        <v>27</v>
      </c>
      <c r="E1466" t="s">
        <v>22</v>
      </c>
      <c r="F1466" s="79">
        <v>46022</v>
      </c>
      <c r="G1466">
        <v>2025</v>
      </c>
      <c r="H1466" t="s">
        <v>23</v>
      </c>
      <c r="I1466" t="s">
        <v>32</v>
      </c>
      <c r="J1466">
        <v>100</v>
      </c>
      <c r="K1466">
        <v>100</v>
      </c>
      <c r="L1466" s="39">
        <f t="shared" si="112"/>
        <v>1</v>
      </c>
      <c r="M1466" s="39">
        <f t="shared" si="113"/>
        <v>1</v>
      </c>
      <c r="N1466" t="s">
        <v>25</v>
      </c>
      <c r="O1466" t="s">
        <v>25</v>
      </c>
      <c r="P1466">
        <v>0</v>
      </c>
      <c r="Q1466">
        <v>0</v>
      </c>
      <c r="R1466" t="s">
        <v>1293</v>
      </c>
    </row>
    <row r="1467" spans="1:18" hidden="1" x14ac:dyDescent="0.3">
      <c r="A1467">
        <v>456</v>
      </c>
      <c r="B1467" t="s">
        <v>1294</v>
      </c>
      <c r="C1467" t="s">
        <v>149</v>
      </c>
      <c r="D1467" t="s">
        <v>27</v>
      </c>
      <c r="E1467" t="s">
        <v>22</v>
      </c>
      <c r="F1467" s="79">
        <v>45473</v>
      </c>
      <c r="G1467">
        <v>2024</v>
      </c>
      <c r="H1467" t="s">
        <v>699</v>
      </c>
      <c r="I1467" t="s">
        <v>729</v>
      </c>
      <c r="J1467">
        <v>100</v>
      </c>
      <c r="K1467">
        <v>100</v>
      </c>
      <c r="L1467" s="39">
        <f t="shared" si="112"/>
        <v>1</v>
      </c>
      <c r="M1467" s="39">
        <f t="shared" si="113"/>
        <v>1</v>
      </c>
      <c r="P1467">
        <v>0</v>
      </c>
      <c r="Q1467">
        <v>0</v>
      </c>
      <c r="R1467" t="s">
        <v>3078</v>
      </c>
    </row>
    <row r="1468" spans="1:18" hidden="1" x14ac:dyDescent="0.3">
      <c r="A1468">
        <v>456</v>
      </c>
      <c r="B1468" t="s">
        <v>1294</v>
      </c>
      <c r="C1468" t="s">
        <v>149</v>
      </c>
      <c r="D1468" t="s">
        <v>27</v>
      </c>
      <c r="E1468" t="s">
        <v>22</v>
      </c>
      <c r="F1468" s="79">
        <v>45657</v>
      </c>
      <c r="G1468">
        <v>2024</v>
      </c>
      <c r="H1468" t="s">
        <v>23</v>
      </c>
      <c r="I1468" t="s">
        <v>30</v>
      </c>
      <c r="J1468">
        <v>100</v>
      </c>
      <c r="K1468">
        <v>94.69</v>
      </c>
      <c r="L1468" s="39">
        <f t="shared" si="112"/>
        <v>0.94689999999999996</v>
      </c>
      <c r="M1468" s="39">
        <f t="shared" si="113"/>
        <v>0.94689999999999996</v>
      </c>
      <c r="P1468">
        <v>0</v>
      </c>
      <c r="Q1468">
        <v>0</v>
      </c>
      <c r="R1468" t="s">
        <v>1295</v>
      </c>
    </row>
    <row r="1469" spans="1:18" hidden="1" x14ac:dyDescent="0.3">
      <c r="A1469">
        <v>456</v>
      </c>
      <c r="B1469" t="s">
        <v>1294</v>
      </c>
      <c r="C1469" t="s">
        <v>149</v>
      </c>
      <c r="D1469" t="s">
        <v>27</v>
      </c>
      <c r="E1469" t="s">
        <v>22</v>
      </c>
      <c r="F1469" s="79">
        <v>45838</v>
      </c>
      <c r="G1469">
        <v>2025</v>
      </c>
      <c r="H1469" t="s">
        <v>699</v>
      </c>
      <c r="I1469" t="s">
        <v>700</v>
      </c>
      <c r="J1469">
        <v>100</v>
      </c>
      <c r="K1469">
        <v>105.185</v>
      </c>
      <c r="L1469" s="39">
        <f t="shared" si="112"/>
        <v>1.05185</v>
      </c>
      <c r="M1469" s="39">
        <f t="shared" si="113"/>
        <v>1.05185</v>
      </c>
      <c r="N1469" t="s">
        <v>25</v>
      </c>
      <c r="O1469" t="s">
        <v>25</v>
      </c>
      <c r="P1469">
        <v>0</v>
      </c>
      <c r="Q1469">
        <v>0</v>
      </c>
      <c r="R1469" t="s">
        <v>3080</v>
      </c>
    </row>
    <row r="1470" spans="1:18" hidden="1" x14ac:dyDescent="0.3">
      <c r="A1470">
        <v>456</v>
      </c>
      <c r="B1470" t="s">
        <v>1294</v>
      </c>
      <c r="C1470" t="s">
        <v>149</v>
      </c>
      <c r="D1470" t="s">
        <v>27</v>
      </c>
      <c r="E1470" t="s">
        <v>22</v>
      </c>
      <c r="F1470" s="79">
        <v>46022</v>
      </c>
      <c r="G1470">
        <v>2025</v>
      </c>
      <c r="H1470" t="s">
        <v>23</v>
      </c>
      <c r="I1470" t="s">
        <v>32</v>
      </c>
      <c r="J1470">
        <v>100</v>
      </c>
      <c r="K1470">
        <v>118</v>
      </c>
      <c r="L1470" s="39">
        <f t="shared" si="112"/>
        <v>1.18</v>
      </c>
      <c r="M1470" s="39">
        <f t="shared" si="113"/>
        <v>1.18</v>
      </c>
      <c r="N1470" t="s">
        <v>25</v>
      </c>
      <c r="O1470" t="s">
        <v>25</v>
      </c>
      <c r="P1470">
        <v>0</v>
      </c>
      <c r="Q1470">
        <v>0</v>
      </c>
      <c r="R1470" t="s">
        <v>1296</v>
      </c>
    </row>
    <row r="1471" spans="1:18" hidden="1" x14ac:dyDescent="0.3">
      <c r="A1471">
        <v>457</v>
      </c>
      <c r="B1471" t="s">
        <v>1297</v>
      </c>
      <c r="C1471" t="s">
        <v>149</v>
      </c>
      <c r="D1471" t="s">
        <v>27</v>
      </c>
      <c r="E1471" t="s">
        <v>22</v>
      </c>
      <c r="F1471" s="79">
        <v>45473</v>
      </c>
      <c r="G1471">
        <v>2024</v>
      </c>
      <c r="H1471" t="s">
        <v>699</v>
      </c>
      <c r="I1471" t="s">
        <v>729</v>
      </c>
      <c r="J1471">
        <v>100</v>
      </c>
      <c r="K1471">
        <v>90</v>
      </c>
      <c r="L1471" s="39">
        <f t="shared" si="112"/>
        <v>0.9</v>
      </c>
      <c r="M1471" s="39">
        <f t="shared" si="113"/>
        <v>0.9</v>
      </c>
      <c r="P1471">
        <v>0</v>
      </c>
      <c r="Q1471">
        <v>0</v>
      </c>
      <c r="R1471" t="s">
        <v>3082</v>
      </c>
    </row>
    <row r="1472" spans="1:18" hidden="1" x14ac:dyDescent="0.3">
      <c r="A1472">
        <v>457</v>
      </c>
      <c r="B1472" t="s">
        <v>1297</v>
      </c>
      <c r="C1472" t="s">
        <v>149</v>
      </c>
      <c r="D1472" t="s">
        <v>27</v>
      </c>
      <c r="E1472" t="s">
        <v>22</v>
      </c>
      <c r="F1472" s="79">
        <v>45657</v>
      </c>
      <c r="G1472">
        <v>2024</v>
      </c>
      <c r="H1472" t="s">
        <v>23</v>
      </c>
      <c r="I1472" t="s">
        <v>30</v>
      </c>
      <c r="J1472">
        <v>100</v>
      </c>
      <c r="K1472">
        <v>70</v>
      </c>
      <c r="L1472" s="39">
        <f t="shared" si="112"/>
        <v>0.7</v>
      </c>
      <c r="M1472" s="39">
        <f t="shared" si="113"/>
        <v>0.7</v>
      </c>
      <c r="P1472">
        <v>0</v>
      </c>
      <c r="Q1472">
        <v>0</v>
      </c>
      <c r="R1472" t="s">
        <v>1298</v>
      </c>
    </row>
    <row r="1473" spans="1:18" hidden="1" x14ac:dyDescent="0.3">
      <c r="A1473">
        <v>457</v>
      </c>
      <c r="B1473" t="s">
        <v>1297</v>
      </c>
      <c r="C1473" t="s">
        <v>149</v>
      </c>
      <c r="D1473" t="s">
        <v>27</v>
      </c>
      <c r="E1473" t="s">
        <v>22</v>
      </c>
      <c r="F1473" s="79">
        <v>45838</v>
      </c>
      <c r="G1473">
        <v>2025</v>
      </c>
      <c r="H1473" t="s">
        <v>699</v>
      </c>
      <c r="I1473" t="s">
        <v>700</v>
      </c>
      <c r="J1473">
        <v>100</v>
      </c>
      <c r="K1473">
        <v>141.66499999999999</v>
      </c>
      <c r="L1473" s="39">
        <f t="shared" si="112"/>
        <v>1.3</v>
      </c>
      <c r="M1473" s="39">
        <f t="shared" si="113"/>
        <v>1.41665</v>
      </c>
      <c r="N1473" t="s">
        <v>25</v>
      </c>
      <c r="O1473" t="s">
        <v>25</v>
      </c>
      <c r="P1473">
        <v>0</v>
      </c>
      <c r="Q1473">
        <v>0</v>
      </c>
      <c r="R1473" t="s">
        <v>3084</v>
      </c>
    </row>
    <row r="1474" spans="1:18" hidden="1" x14ac:dyDescent="0.3">
      <c r="A1474">
        <v>457</v>
      </c>
      <c r="B1474" t="s">
        <v>1297</v>
      </c>
      <c r="C1474" t="s">
        <v>149</v>
      </c>
      <c r="D1474" t="s">
        <v>27</v>
      </c>
      <c r="E1474" t="s">
        <v>22</v>
      </c>
      <c r="F1474" s="79">
        <v>46022</v>
      </c>
      <c r="G1474">
        <v>2025</v>
      </c>
      <c r="H1474" t="s">
        <v>23</v>
      </c>
      <c r="I1474" t="s">
        <v>32</v>
      </c>
      <c r="J1474">
        <v>100</v>
      </c>
      <c r="K1474">
        <v>84.52</v>
      </c>
      <c r="L1474" s="39">
        <f t="shared" si="112"/>
        <v>0.84519999999999995</v>
      </c>
      <c r="M1474" s="39">
        <f t="shared" si="113"/>
        <v>0.84519999999999995</v>
      </c>
      <c r="N1474" t="s">
        <v>25</v>
      </c>
      <c r="O1474" t="s">
        <v>25</v>
      </c>
      <c r="P1474">
        <v>0</v>
      </c>
      <c r="Q1474">
        <v>0</v>
      </c>
      <c r="R1474" t="s">
        <v>1299</v>
      </c>
    </row>
    <row r="1475" spans="1:18" hidden="1" x14ac:dyDescent="0.3">
      <c r="A1475">
        <v>459</v>
      </c>
      <c r="B1475" t="s">
        <v>1300</v>
      </c>
      <c r="C1475" t="s">
        <v>1078</v>
      </c>
      <c r="D1475" t="s">
        <v>21</v>
      </c>
      <c r="E1475" t="s">
        <v>22</v>
      </c>
      <c r="F1475" s="79">
        <v>45473</v>
      </c>
      <c r="G1475">
        <v>2024</v>
      </c>
      <c r="H1475" t="s">
        <v>699</v>
      </c>
      <c r="I1475" t="s">
        <v>729</v>
      </c>
      <c r="J1475">
        <v>100</v>
      </c>
      <c r="K1475">
        <v>130.43</v>
      </c>
      <c r="L1475" s="39">
        <f t="shared" si="112"/>
        <v>1.3</v>
      </c>
      <c r="M1475" s="39">
        <f t="shared" si="113"/>
        <v>1.3043</v>
      </c>
      <c r="P1475">
        <v>0</v>
      </c>
      <c r="Q1475">
        <v>0</v>
      </c>
      <c r="R1475" t="s">
        <v>3086</v>
      </c>
    </row>
    <row r="1476" spans="1:18" hidden="1" x14ac:dyDescent="0.3">
      <c r="A1476">
        <v>459</v>
      </c>
      <c r="B1476" t="s">
        <v>1300</v>
      </c>
      <c r="C1476" t="s">
        <v>1078</v>
      </c>
      <c r="D1476" t="s">
        <v>21</v>
      </c>
      <c r="E1476" t="s">
        <v>22</v>
      </c>
      <c r="F1476" s="79">
        <v>45657</v>
      </c>
      <c r="G1476">
        <v>2024</v>
      </c>
      <c r="H1476" t="s">
        <v>23</v>
      </c>
      <c r="I1476" t="s">
        <v>30</v>
      </c>
      <c r="J1476">
        <v>100</v>
      </c>
      <c r="L1476" s="39"/>
      <c r="M1476" s="39"/>
      <c r="N1476" t="s">
        <v>128</v>
      </c>
      <c r="O1476" t="s">
        <v>1949</v>
      </c>
      <c r="P1476">
        <v>0</v>
      </c>
      <c r="Q1476">
        <v>0</v>
      </c>
      <c r="R1476" t="s">
        <v>1301</v>
      </c>
    </row>
    <row r="1477" spans="1:18" hidden="1" x14ac:dyDescent="0.3">
      <c r="A1477">
        <v>460</v>
      </c>
      <c r="B1477" t="s">
        <v>1302</v>
      </c>
      <c r="C1477" t="s">
        <v>40</v>
      </c>
      <c r="D1477" t="s">
        <v>71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80</v>
      </c>
      <c r="K1477">
        <v>91.439688715953324</v>
      </c>
      <c r="L1477" s="39">
        <f t="shared" ref="L1477:L1495" si="114">IFERROR(IF(OR(J1477=0,K1477=""),"",IF(E1477="Positivo",MIN(MAX(K1477/J1477,0),1.3),MIN(MAX(J1477/K1477,0),1.3))),"")</f>
        <v>1.1429961089494165</v>
      </c>
      <c r="M1477" s="39">
        <f t="shared" ref="M1477:M1514" si="115">IFERROR(IF(OR(J1477=0,K1477=""),"",IF(E1477="Positivo",MAX(K1477/J1477,0),MAX(J1477/K1477,0))),"")</f>
        <v>1.1429961089494165</v>
      </c>
      <c r="P1477">
        <v>0</v>
      </c>
      <c r="Q1477">
        <v>0</v>
      </c>
      <c r="R1477" t="s">
        <v>1303</v>
      </c>
    </row>
    <row r="1478" spans="1:18" hidden="1" x14ac:dyDescent="0.3">
      <c r="A1478">
        <v>460</v>
      </c>
      <c r="B1478" t="s">
        <v>1302</v>
      </c>
      <c r="C1478" t="s">
        <v>40</v>
      </c>
      <c r="D1478" t="s">
        <v>71</v>
      </c>
      <c r="E1478" t="s">
        <v>22</v>
      </c>
      <c r="F1478" s="79">
        <v>46022</v>
      </c>
      <c r="G1478">
        <v>2025</v>
      </c>
      <c r="H1478" t="s">
        <v>23</v>
      </c>
      <c r="I1478" t="s">
        <v>32</v>
      </c>
      <c r="J1478">
        <v>80</v>
      </c>
      <c r="K1478">
        <v>84.18</v>
      </c>
      <c r="L1478" s="39">
        <f t="shared" si="114"/>
        <v>1.0522500000000001</v>
      </c>
      <c r="M1478" s="39">
        <f t="shared" si="115"/>
        <v>1.0522500000000001</v>
      </c>
      <c r="N1478" t="s">
        <v>25</v>
      </c>
      <c r="O1478" t="s">
        <v>25</v>
      </c>
      <c r="P1478">
        <v>0</v>
      </c>
      <c r="Q1478">
        <v>1</v>
      </c>
      <c r="R1478" t="s">
        <v>1305</v>
      </c>
    </row>
    <row r="1479" spans="1:18" hidden="1" x14ac:dyDescent="0.3">
      <c r="A1479">
        <v>462</v>
      </c>
      <c r="B1479" t="s">
        <v>1306</v>
      </c>
      <c r="C1479" t="s">
        <v>308</v>
      </c>
      <c r="D1479" t="s">
        <v>27</v>
      </c>
      <c r="E1479" t="s">
        <v>22</v>
      </c>
      <c r="F1479" s="79">
        <v>45473</v>
      </c>
      <c r="G1479">
        <v>2024</v>
      </c>
      <c r="H1479" t="s">
        <v>699</v>
      </c>
      <c r="I1479" t="s">
        <v>729</v>
      </c>
      <c r="J1479">
        <v>85</v>
      </c>
      <c r="K1479">
        <v>100</v>
      </c>
      <c r="L1479" s="39">
        <f t="shared" si="114"/>
        <v>1.1764705882352942</v>
      </c>
      <c r="M1479" s="39">
        <f t="shared" si="115"/>
        <v>1.1764705882352942</v>
      </c>
      <c r="P1479">
        <v>0</v>
      </c>
      <c r="Q1479">
        <v>0</v>
      </c>
      <c r="R1479" t="s">
        <v>3088</v>
      </c>
    </row>
    <row r="1480" spans="1:18" hidden="1" x14ac:dyDescent="0.3">
      <c r="A1480">
        <v>462</v>
      </c>
      <c r="B1480" t="s">
        <v>1306</v>
      </c>
      <c r="C1480" t="s">
        <v>308</v>
      </c>
      <c r="D1480" t="s">
        <v>27</v>
      </c>
      <c r="E1480" t="s">
        <v>22</v>
      </c>
      <c r="F1480" s="79">
        <v>45657</v>
      </c>
      <c r="G1480">
        <v>2024</v>
      </c>
      <c r="H1480" t="s">
        <v>23</v>
      </c>
      <c r="I1480" t="s">
        <v>30</v>
      </c>
      <c r="J1480">
        <v>85</v>
      </c>
      <c r="K1480">
        <v>100</v>
      </c>
      <c r="L1480" s="39">
        <f t="shared" si="114"/>
        <v>1.1764705882352942</v>
      </c>
      <c r="M1480" s="39">
        <f t="shared" si="115"/>
        <v>1.1764705882352942</v>
      </c>
      <c r="P1480">
        <v>0</v>
      </c>
      <c r="Q1480">
        <v>0</v>
      </c>
      <c r="R1480" t="s">
        <v>1307</v>
      </c>
    </row>
    <row r="1481" spans="1:18" hidden="1" x14ac:dyDescent="0.3">
      <c r="A1481">
        <v>463</v>
      </c>
      <c r="B1481" t="s">
        <v>1308</v>
      </c>
      <c r="C1481" t="s">
        <v>40</v>
      </c>
      <c r="D1481" t="s">
        <v>27</v>
      </c>
      <c r="E1481" t="s">
        <v>22</v>
      </c>
      <c r="F1481" s="79">
        <v>45473</v>
      </c>
      <c r="G1481">
        <v>2024</v>
      </c>
      <c r="H1481" t="s">
        <v>699</v>
      </c>
      <c r="I1481" t="s">
        <v>729</v>
      </c>
      <c r="J1481">
        <v>100</v>
      </c>
      <c r="K1481">
        <v>95</v>
      </c>
      <c r="L1481" s="39">
        <f t="shared" si="114"/>
        <v>0.95</v>
      </c>
      <c r="M1481" s="39">
        <f t="shared" si="115"/>
        <v>0.95</v>
      </c>
      <c r="P1481">
        <v>0</v>
      </c>
      <c r="Q1481">
        <v>0</v>
      </c>
      <c r="R1481" t="s">
        <v>3089</v>
      </c>
    </row>
    <row r="1482" spans="1:18" hidden="1" x14ac:dyDescent="0.3">
      <c r="A1482">
        <v>463</v>
      </c>
      <c r="B1482" t="s">
        <v>1308</v>
      </c>
      <c r="C1482" t="s">
        <v>40</v>
      </c>
      <c r="D1482" t="s">
        <v>27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100</v>
      </c>
      <c r="K1482">
        <v>100</v>
      </c>
      <c r="L1482" s="39">
        <f t="shared" si="114"/>
        <v>1</v>
      </c>
      <c r="M1482" s="39">
        <f t="shared" si="115"/>
        <v>1</v>
      </c>
      <c r="P1482">
        <v>0</v>
      </c>
      <c r="Q1482">
        <v>0</v>
      </c>
      <c r="R1482" t="s">
        <v>1309</v>
      </c>
    </row>
    <row r="1483" spans="1:18" hidden="1" x14ac:dyDescent="0.3">
      <c r="A1483">
        <v>465</v>
      </c>
      <c r="B1483" t="s">
        <v>1310</v>
      </c>
      <c r="C1483" t="s">
        <v>922</v>
      </c>
      <c r="D1483" t="s">
        <v>27</v>
      </c>
      <c r="E1483" t="s">
        <v>22</v>
      </c>
      <c r="F1483" s="79">
        <v>45473</v>
      </c>
      <c r="G1483">
        <v>2024</v>
      </c>
      <c r="H1483" t="s">
        <v>699</v>
      </c>
      <c r="I1483" t="s">
        <v>729</v>
      </c>
      <c r="J1483">
        <v>70</v>
      </c>
      <c r="K1483">
        <v>57.86</v>
      </c>
      <c r="L1483" s="39">
        <f t="shared" si="114"/>
        <v>0.82657142857142851</v>
      </c>
      <c r="M1483" s="39">
        <f t="shared" si="115"/>
        <v>0.82657142857142851</v>
      </c>
      <c r="P1483">
        <v>0</v>
      </c>
      <c r="Q1483">
        <v>0</v>
      </c>
      <c r="R1483" t="s">
        <v>3090</v>
      </c>
    </row>
    <row r="1484" spans="1:18" hidden="1" x14ac:dyDescent="0.3">
      <c r="A1484">
        <v>465</v>
      </c>
      <c r="B1484" t="s">
        <v>1310</v>
      </c>
      <c r="C1484" t="s">
        <v>922</v>
      </c>
      <c r="D1484" t="s">
        <v>27</v>
      </c>
      <c r="E1484" t="s">
        <v>22</v>
      </c>
      <c r="F1484" s="79">
        <v>45657</v>
      </c>
      <c r="G1484">
        <v>2024</v>
      </c>
      <c r="H1484" t="s">
        <v>23</v>
      </c>
      <c r="I1484" t="s">
        <v>30</v>
      </c>
      <c r="J1484">
        <v>100</v>
      </c>
      <c r="K1484">
        <v>56.83</v>
      </c>
      <c r="L1484" s="39">
        <f t="shared" si="114"/>
        <v>0.56830000000000003</v>
      </c>
      <c r="M1484" s="39">
        <f t="shared" si="115"/>
        <v>0.56830000000000003</v>
      </c>
      <c r="P1484">
        <v>0</v>
      </c>
      <c r="Q1484">
        <v>0</v>
      </c>
      <c r="R1484" t="s">
        <v>1311</v>
      </c>
    </row>
    <row r="1485" spans="1:18" hidden="1" x14ac:dyDescent="0.3">
      <c r="A1485">
        <v>466</v>
      </c>
      <c r="B1485" t="s">
        <v>1312</v>
      </c>
      <c r="C1485" t="s">
        <v>333</v>
      </c>
      <c r="D1485" t="s">
        <v>27</v>
      </c>
      <c r="E1485" t="s">
        <v>22</v>
      </c>
      <c r="F1485" s="79">
        <v>45473</v>
      </c>
      <c r="G1485">
        <v>2024</v>
      </c>
      <c r="H1485" t="s">
        <v>699</v>
      </c>
      <c r="I1485" t="s">
        <v>729</v>
      </c>
      <c r="J1485">
        <v>50</v>
      </c>
      <c r="K1485">
        <v>59.6</v>
      </c>
      <c r="L1485" s="39">
        <f t="shared" si="114"/>
        <v>1.1919999999999999</v>
      </c>
      <c r="M1485" s="39">
        <f t="shared" si="115"/>
        <v>1.1919999999999999</v>
      </c>
      <c r="N1485" t="s">
        <v>128</v>
      </c>
      <c r="O1485" t="s">
        <v>136</v>
      </c>
      <c r="P1485">
        <v>1</v>
      </c>
      <c r="Q1485">
        <v>1</v>
      </c>
      <c r="R1485" t="s">
        <v>3091</v>
      </c>
    </row>
    <row r="1486" spans="1:18" hidden="1" x14ac:dyDescent="0.3">
      <c r="A1486">
        <v>466</v>
      </c>
      <c r="B1486" t="s">
        <v>1312</v>
      </c>
      <c r="C1486" t="s">
        <v>653</v>
      </c>
      <c r="D1486" t="s">
        <v>27</v>
      </c>
      <c r="E1486" t="s">
        <v>22</v>
      </c>
      <c r="F1486" s="79">
        <v>45657</v>
      </c>
      <c r="G1486">
        <v>2024</v>
      </c>
      <c r="H1486" t="s">
        <v>23</v>
      </c>
      <c r="I1486" t="s">
        <v>30</v>
      </c>
      <c r="J1486">
        <v>50</v>
      </c>
      <c r="K1486">
        <v>53.8</v>
      </c>
      <c r="L1486" s="39">
        <f t="shared" si="114"/>
        <v>1.0759999999999998</v>
      </c>
      <c r="M1486" s="39">
        <f t="shared" si="115"/>
        <v>1.0759999999999998</v>
      </c>
      <c r="O1486" t="s">
        <v>136</v>
      </c>
      <c r="P1486">
        <v>0</v>
      </c>
      <c r="Q1486">
        <v>0</v>
      </c>
      <c r="R1486" t="s">
        <v>1313</v>
      </c>
    </row>
    <row r="1487" spans="1:18" hidden="1" x14ac:dyDescent="0.3">
      <c r="A1487">
        <v>466</v>
      </c>
      <c r="B1487" t="s">
        <v>1312</v>
      </c>
      <c r="C1487" t="s">
        <v>653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32</v>
      </c>
      <c r="J1487">
        <v>55</v>
      </c>
      <c r="K1487">
        <v>58.6</v>
      </c>
      <c r="L1487" s="39">
        <f t="shared" si="114"/>
        <v>1.0654545454545454</v>
      </c>
      <c r="M1487" s="39">
        <f t="shared" si="115"/>
        <v>1.0654545454545454</v>
      </c>
      <c r="O1487" t="s">
        <v>136</v>
      </c>
      <c r="P1487">
        <v>0</v>
      </c>
      <c r="Q1487">
        <v>0</v>
      </c>
      <c r="R1487" t="s">
        <v>1314</v>
      </c>
    </row>
    <row r="1488" spans="1:18" hidden="1" x14ac:dyDescent="0.3">
      <c r="A1488">
        <v>467</v>
      </c>
      <c r="B1488" t="s">
        <v>1315</v>
      </c>
      <c r="C1488" t="s">
        <v>653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100</v>
      </c>
      <c r="K1488">
        <v>121.25</v>
      </c>
      <c r="L1488" s="39">
        <f t="shared" si="114"/>
        <v>1.2124999999999999</v>
      </c>
      <c r="M1488" s="39">
        <f t="shared" si="115"/>
        <v>1.2124999999999999</v>
      </c>
      <c r="P1488">
        <v>0</v>
      </c>
      <c r="Q1488">
        <v>0</v>
      </c>
      <c r="R1488" t="s">
        <v>3093</v>
      </c>
    </row>
    <row r="1489" spans="1:18" hidden="1" x14ac:dyDescent="0.3">
      <c r="A1489">
        <v>467</v>
      </c>
      <c r="B1489" t="s">
        <v>1315</v>
      </c>
      <c r="C1489" t="s">
        <v>653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121.83</v>
      </c>
      <c r="L1489" s="39">
        <f t="shared" si="114"/>
        <v>1.2182999999999999</v>
      </c>
      <c r="M1489" s="39">
        <f t="shared" si="115"/>
        <v>1.2182999999999999</v>
      </c>
      <c r="P1489">
        <v>0</v>
      </c>
      <c r="Q1489">
        <v>0</v>
      </c>
      <c r="R1489" t="s">
        <v>1316</v>
      </c>
    </row>
    <row r="1490" spans="1:18" hidden="1" x14ac:dyDescent="0.3">
      <c r="A1490">
        <v>467</v>
      </c>
      <c r="B1490" t="s">
        <v>1315</v>
      </c>
      <c r="C1490" t="s">
        <v>653</v>
      </c>
      <c r="D1490" t="s">
        <v>21</v>
      </c>
      <c r="E1490" t="s">
        <v>22</v>
      </c>
      <c r="F1490" s="79">
        <v>45838</v>
      </c>
      <c r="G1490">
        <v>2025</v>
      </c>
      <c r="H1490" t="s">
        <v>699</v>
      </c>
      <c r="I1490" t="s">
        <v>700</v>
      </c>
      <c r="J1490">
        <v>100</v>
      </c>
      <c r="K1490">
        <v>118</v>
      </c>
      <c r="L1490" s="39">
        <f t="shared" si="114"/>
        <v>1.18</v>
      </c>
      <c r="M1490" s="39">
        <f t="shared" si="115"/>
        <v>1.18</v>
      </c>
      <c r="N1490" t="s">
        <v>128</v>
      </c>
      <c r="O1490" t="s">
        <v>136</v>
      </c>
      <c r="P1490">
        <v>0</v>
      </c>
      <c r="Q1490">
        <v>1</v>
      </c>
      <c r="R1490" t="s">
        <v>3094</v>
      </c>
    </row>
    <row r="1491" spans="1:18" hidden="1" x14ac:dyDescent="0.3">
      <c r="A1491">
        <v>467</v>
      </c>
      <c r="B1491" t="s">
        <v>1315</v>
      </c>
      <c r="C1491" t="s">
        <v>653</v>
      </c>
      <c r="D1491" t="s">
        <v>21</v>
      </c>
      <c r="E1491" t="s">
        <v>22</v>
      </c>
      <c r="F1491" s="79">
        <v>46022</v>
      </c>
      <c r="G1491">
        <v>2025</v>
      </c>
      <c r="H1491" t="s">
        <v>23</v>
      </c>
      <c r="I1491" t="s">
        <v>32</v>
      </c>
      <c r="J1491">
        <v>100</v>
      </c>
      <c r="K1491">
        <v>99.5</v>
      </c>
      <c r="L1491" s="39">
        <f t="shared" si="114"/>
        <v>0.995</v>
      </c>
      <c r="M1491" s="39">
        <f t="shared" si="115"/>
        <v>0.995</v>
      </c>
      <c r="N1491" t="s">
        <v>128</v>
      </c>
      <c r="O1491" t="s">
        <v>136</v>
      </c>
      <c r="P1491">
        <v>0</v>
      </c>
      <c r="Q1491">
        <v>1</v>
      </c>
      <c r="R1491" t="s">
        <v>1317</v>
      </c>
    </row>
    <row r="1492" spans="1:18" hidden="1" x14ac:dyDescent="0.3">
      <c r="A1492">
        <v>468</v>
      </c>
      <c r="B1492" t="s">
        <v>1318</v>
      </c>
      <c r="C1492" t="s">
        <v>653</v>
      </c>
      <c r="D1492" t="s">
        <v>27</v>
      </c>
      <c r="E1492" t="s">
        <v>41</v>
      </c>
      <c r="F1492" s="79">
        <v>45473</v>
      </c>
      <c r="G1492">
        <v>2024</v>
      </c>
      <c r="H1492" t="s">
        <v>699</v>
      </c>
      <c r="I1492" t="s">
        <v>729</v>
      </c>
      <c r="J1492">
        <v>3</v>
      </c>
      <c r="K1492">
        <v>2.85</v>
      </c>
      <c r="L1492" s="39">
        <f t="shared" si="114"/>
        <v>1.0526315789473684</v>
      </c>
      <c r="M1492" s="39">
        <f t="shared" si="115"/>
        <v>1.0526315789473684</v>
      </c>
      <c r="P1492">
        <v>0</v>
      </c>
      <c r="Q1492">
        <v>0</v>
      </c>
      <c r="R1492" t="s">
        <v>3095</v>
      </c>
    </row>
    <row r="1493" spans="1:18" hidden="1" x14ac:dyDescent="0.3">
      <c r="A1493">
        <v>468</v>
      </c>
      <c r="B1493" t="s">
        <v>1318</v>
      </c>
      <c r="C1493" t="s">
        <v>653</v>
      </c>
      <c r="D1493" t="s">
        <v>27</v>
      </c>
      <c r="E1493" t="s">
        <v>41</v>
      </c>
      <c r="F1493" s="79">
        <v>45657</v>
      </c>
      <c r="G1493">
        <v>2024</v>
      </c>
      <c r="H1493" t="s">
        <v>23</v>
      </c>
      <c r="I1493" t="s">
        <v>30</v>
      </c>
      <c r="J1493">
        <v>3</v>
      </c>
      <c r="K1493">
        <v>2.6</v>
      </c>
      <c r="L1493" s="39">
        <f t="shared" si="114"/>
        <v>1.1538461538461537</v>
      </c>
      <c r="M1493" s="39">
        <f t="shared" si="115"/>
        <v>1.1538461538461537</v>
      </c>
      <c r="P1493">
        <v>0</v>
      </c>
      <c r="Q1493">
        <v>0</v>
      </c>
      <c r="R1493" t="s">
        <v>1319</v>
      </c>
    </row>
    <row r="1494" spans="1:18" hidden="1" x14ac:dyDescent="0.3">
      <c r="A1494">
        <v>468</v>
      </c>
      <c r="B1494" t="s">
        <v>1318</v>
      </c>
      <c r="C1494" t="s">
        <v>653</v>
      </c>
      <c r="D1494" t="s">
        <v>21</v>
      </c>
      <c r="E1494" t="s">
        <v>41</v>
      </c>
      <c r="F1494" s="79">
        <v>45838</v>
      </c>
      <c r="G1494">
        <v>2025</v>
      </c>
      <c r="H1494" t="s">
        <v>699</v>
      </c>
      <c r="I1494" t="s">
        <v>700</v>
      </c>
      <c r="J1494">
        <v>2.5</v>
      </c>
      <c r="K1494">
        <v>2.4</v>
      </c>
      <c r="L1494" s="39">
        <f t="shared" si="114"/>
        <v>1.0416666666666667</v>
      </c>
      <c r="M1494" s="39">
        <f t="shared" si="115"/>
        <v>1.0416666666666667</v>
      </c>
      <c r="N1494" t="s">
        <v>136</v>
      </c>
      <c r="O1494" t="s">
        <v>136</v>
      </c>
      <c r="P1494">
        <v>1</v>
      </c>
      <c r="Q1494">
        <v>1</v>
      </c>
      <c r="R1494" t="s">
        <v>3096</v>
      </c>
    </row>
    <row r="1495" spans="1:18" hidden="1" x14ac:dyDescent="0.3">
      <c r="A1495">
        <v>468</v>
      </c>
      <c r="B1495" t="s">
        <v>1318</v>
      </c>
      <c r="C1495" t="s">
        <v>653</v>
      </c>
      <c r="D1495" t="s">
        <v>21</v>
      </c>
      <c r="E1495" t="s">
        <v>41</v>
      </c>
      <c r="F1495" s="79">
        <v>46022</v>
      </c>
      <c r="G1495">
        <v>2025</v>
      </c>
      <c r="H1495" t="s">
        <v>23</v>
      </c>
      <c r="I1495" t="s">
        <v>32</v>
      </c>
      <c r="J1495">
        <v>2.5</v>
      </c>
      <c r="K1495">
        <v>2.1</v>
      </c>
      <c r="L1495" s="39">
        <f t="shared" si="114"/>
        <v>1.1904761904761905</v>
      </c>
      <c r="M1495" s="39">
        <f t="shared" si="115"/>
        <v>1.1904761904761905</v>
      </c>
      <c r="N1495" t="s">
        <v>136</v>
      </c>
      <c r="O1495" t="s">
        <v>136</v>
      </c>
      <c r="P1495">
        <v>1</v>
      </c>
      <c r="Q1495">
        <v>1</v>
      </c>
      <c r="R1495" t="s">
        <v>1320</v>
      </c>
    </row>
    <row r="1496" spans="1:18" hidden="1" x14ac:dyDescent="0.3">
      <c r="A1496">
        <v>469</v>
      </c>
      <c r="B1496" t="s">
        <v>1176</v>
      </c>
      <c r="C1496" t="s">
        <v>567</v>
      </c>
      <c r="D1496" t="s">
        <v>21</v>
      </c>
      <c r="E1496" t="s">
        <v>22</v>
      </c>
      <c r="F1496" s="79">
        <v>45473</v>
      </c>
      <c r="G1496">
        <v>2024</v>
      </c>
      <c r="H1496" t="s">
        <v>699</v>
      </c>
      <c r="I1496" t="s">
        <v>729</v>
      </c>
      <c r="J1496">
        <v>100</v>
      </c>
      <c r="K1496">
        <v>114.33</v>
      </c>
      <c r="L1496" s="39">
        <f t="shared" ref="L1496:L1507" si="116">IFERROR(IF(OR(J1496=0,K1496=""),"",IF(E1496="Positivo",MIN(MAX(K1496/J1496,0),1),MIN(MAX(J1496/K1496,0),1))),"")</f>
        <v>1</v>
      </c>
      <c r="M1496" s="39">
        <f t="shared" si="115"/>
        <v>1.1433</v>
      </c>
      <c r="P1496">
        <v>0</v>
      </c>
      <c r="Q1496">
        <v>0</v>
      </c>
      <c r="R1496" t="s">
        <v>3099</v>
      </c>
    </row>
    <row r="1497" spans="1:18" hidden="1" x14ac:dyDescent="0.3">
      <c r="A1497">
        <v>469</v>
      </c>
      <c r="B1497" t="s">
        <v>1176</v>
      </c>
      <c r="C1497" t="s">
        <v>567</v>
      </c>
      <c r="D1497" t="s">
        <v>21</v>
      </c>
      <c r="E1497" t="s">
        <v>22</v>
      </c>
      <c r="F1497" s="79">
        <v>45657</v>
      </c>
      <c r="G1497">
        <v>2024</v>
      </c>
      <c r="H1497" t="s">
        <v>23</v>
      </c>
      <c r="I1497" t="s">
        <v>30</v>
      </c>
      <c r="J1497">
        <v>100</v>
      </c>
      <c r="K1497">
        <v>99.7</v>
      </c>
      <c r="L1497" s="39">
        <f t="shared" si="116"/>
        <v>0.997</v>
      </c>
      <c r="M1497" s="39">
        <f t="shared" si="115"/>
        <v>0.997</v>
      </c>
      <c r="P1497">
        <v>0</v>
      </c>
      <c r="Q1497">
        <v>0</v>
      </c>
      <c r="R1497" t="s">
        <v>1321</v>
      </c>
    </row>
    <row r="1498" spans="1:18" hidden="1" x14ac:dyDescent="0.3">
      <c r="A1498">
        <v>469</v>
      </c>
      <c r="B1498" t="s">
        <v>1176</v>
      </c>
      <c r="C1498" t="s">
        <v>567</v>
      </c>
      <c r="D1498" t="s">
        <v>27</v>
      </c>
      <c r="E1498" t="s">
        <v>22</v>
      </c>
      <c r="F1498" s="79">
        <v>45838</v>
      </c>
      <c r="G1498">
        <v>2025</v>
      </c>
      <c r="H1498" t="s">
        <v>699</v>
      </c>
      <c r="I1498" t="s">
        <v>700</v>
      </c>
      <c r="J1498">
        <v>100</v>
      </c>
      <c r="K1498">
        <v>103.52</v>
      </c>
      <c r="L1498" s="39">
        <f t="shared" si="116"/>
        <v>1</v>
      </c>
      <c r="M1498" s="39">
        <f t="shared" si="115"/>
        <v>1.0351999999999999</v>
      </c>
      <c r="N1498" t="s">
        <v>25</v>
      </c>
      <c r="O1498" t="s">
        <v>25</v>
      </c>
      <c r="P1498">
        <v>0</v>
      </c>
      <c r="Q1498">
        <v>0</v>
      </c>
      <c r="R1498" t="s">
        <v>3102</v>
      </c>
    </row>
    <row r="1499" spans="1:18" hidden="1" x14ac:dyDescent="0.3">
      <c r="A1499">
        <v>469</v>
      </c>
      <c r="B1499" t="s">
        <v>1176</v>
      </c>
      <c r="C1499" t="s">
        <v>567</v>
      </c>
      <c r="D1499" t="s">
        <v>27</v>
      </c>
      <c r="E1499" t="s">
        <v>22</v>
      </c>
      <c r="F1499" s="79">
        <v>46022</v>
      </c>
      <c r="G1499">
        <v>2025</v>
      </c>
      <c r="H1499" t="s">
        <v>23</v>
      </c>
      <c r="I1499" t="s">
        <v>32</v>
      </c>
      <c r="J1499">
        <v>100</v>
      </c>
      <c r="K1499">
        <v>99.13</v>
      </c>
      <c r="L1499" s="39">
        <f t="shared" si="116"/>
        <v>0.99129999999999996</v>
      </c>
      <c r="M1499" s="39">
        <f t="shared" si="115"/>
        <v>0.99129999999999996</v>
      </c>
      <c r="N1499" t="s">
        <v>25</v>
      </c>
      <c r="O1499" t="s">
        <v>25</v>
      </c>
      <c r="P1499">
        <v>0</v>
      </c>
      <c r="Q1499">
        <v>0</v>
      </c>
      <c r="R1499" t="s">
        <v>1322</v>
      </c>
    </row>
    <row r="1500" spans="1:18" hidden="1" x14ac:dyDescent="0.3">
      <c r="A1500">
        <v>470</v>
      </c>
      <c r="B1500" t="s">
        <v>1323</v>
      </c>
      <c r="C1500" t="s">
        <v>567</v>
      </c>
      <c r="D1500" t="s">
        <v>21</v>
      </c>
      <c r="E1500" t="s">
        <v>22</v>
      </c>
      <c r="F1500" s="79">
        <v>45473</v>
      </c>
      <c r="G1500">
        <v>2024</v>
      </c>
      <c r="H1500" t="s">
        <v>699</v>
      </c>
      <c r="I1500" t="s">
        <v>729</v>
      </c>
      <c r="J1500">
        <v>100</v>
      </c>
      <c r="K1500">
        <v>118.1</v>
      </c>
      <c r="L1500" s="39">
        <f t="shared" si="116"/>
        <v>1</v>
      </c>
      <c r="M1500" s="39">
        <f t="shared" si="115"/>
        <v>1.181</v>
      </c>
      <c r="P1500">
        <v>0</v>
      </c>
      <c r="Q1500">
        <v>0</v>
      </c>
      <c r="R1500" t="s">
        <v>3105</v>
      </c>
    </row>
    <row r="1501" spans="1:18" hidden="1" x14ac:dyDescent="0.3">
      <c r="A1501">
        <v>470</v>
      </c>
      <c r="B1501" t="s">
        <v>1323</v>
      </c>
      <c r="C1501" t="s">
        <v>567</v>
      </c>
      <c r="D1501" t="s">
        <v>21</v>
      </c>
      <c r="E1501" t="s">
        <v>22</v>
      </c>
      <c r="F1501" s="79">
        <v>45657</v>
      </c>
      <c r="G1501">
        <v>2024</v>
      </c>
      <c r="H1501" t="s">
        <v>23</v>
      </c>
      <c r="I1501" t="s">
        <v>30</v>
      </c>
      <c r="J1501">
        <v>100</v>
      </c>
      <c r="K1501">
        <v>100</v>
      </c>
      <c r="L1501" s="39">
        <f t="shared" si="116"/>
        <v>1</v>
      </c>
      <c r="M1501" s="39">
        <f t="shared" si="115"/>
        <v>1</v>
      </c>
      <c r="P1501">
        <v>0</v>
      </c>
      <c r="Q1501">
        <v>0</v>
      </c>
      <c r="R1501" t="s">
        <v>1324</v>
      </c>
    </row>
    <row r="1502" spans="1:18" hidden="1" x14ac:dyDescent="0.3">
      <c r="A1502">
        <v>470</v>
      </c>
      <c r="B1502" t="s">
        <v>1323</v>
      </c>
      <c r="C1502" t="s">
        <v>567</v>
      </c>
      <c r="D1502" t="s">
        <v>27</v>
      </c>
      <c r="E1502" t="s">
        <v>22</v>
      </c>
      <c r="F1502" s="79">
        <v>45838</v>
      </c>
      <c r="G1502">
        <v>2025</v>
      </c>
      <c r="H1502" t="s">
        <v>699</v>
      </c>
      <c r="I1502" t="s">
        <v>700</v>
      </c>
      <c r="J1502">
        <v>100</v>
      </c>
      <c r="K1502">
        <v>148.38</v>
      </c>
      <c r="L1502" s="39">
        <f t="shared" si="116"/>
        <v>1</v>
      </c>
      <c r="M1502" s="39">
        <f t="shared" si="115"/>
        <v>1.4838</v>
      </c>
      <c r="N1502" t="s">
        <v>25</v>
      </c>
      <c r="O1502" t="s">
        <v>25</v>
      </c>
      <c r="P1502">
        <v>0</v>
      </c>
      <c r="Q1502">
        <v>0</v>
      </c>
      <c r="R1502" t="s">
        <v>3108</v>
      </c>
    </row>
    <row r="1503" spans="1:18" hidden="1" x14ac:dyDescent="0.3">
      <c r="A1503">
        <v>470</v>
      </c>
      <c r="B1503" t="s">
        <v>1323</v>
      </c>
      <c r="C1503" t="s">
        <v>567</v>
      </c>
      <c r="D1503" t="s">
        <v>27</v>
      </c>
      <c r="E1503" t="s">
        <v>22</v>
      </c>
      <c r="F1503" s="79">
        <v>46022</v>
      </c>
      <c r="G1503">
        <v>2025</v>
      </c>
      <c r="H1503" t="s">
        <v>23</v>
      </c>
      <c r="I1503" t="s">
        <v>32</v>
      </c>
      <c r="J1503">
        <v>100</v>
      </c>
      <c r="K1503">
        <v>100</v>
      </c>
      <c r="L1503" s="39">
        <f t="shared" si="116"/>
        <v>1</v>
      </c>
      <c r="M1503" s="39">
        <f t="shared" si="115"/>
        <v>1</v>
      </c>
      <c r="N1503" t="s">
        <v>25</v>
      </c>
      <c r="O1503" t="s">
        <v>25</v>
      </c>
      <c r="P1503">
        <v>0</v>
      </c>
      <c r="Q1503">
        <v>0</v>
      </c>
      <c r="R1503" t="s">
        <v>1325</v>
      </c>
    </row>
    <row r="1504" spans="1:18" hidden="1" x14ac:dyDescent="0.3">
      <c r="A1504">
        <v>471</v>
      </c>
      <c r="B1504" t="s">
        <v>1326</v>
      </c>
      <c r="C1504" t="s">
        <v>567</v>
      </c>
      <c r="D1504" t="s">
        <v>21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105.56</v>
      </c>
      <c r="L1504" s="39">
        <f t="shared" si="116"/>
        <v>1</v>
      </c>
      <c r="M1504" s="39">
        <f t="shared" si="115"/>
        <v>1.0556000000000001</v>
      </c>
      <c r="P1504">
        <v>0</v>
      </c>
      <c r="Q1504">
        <v>0</v>
      </c>
      <c r="R1504" t="s">
        <v>3111</v>
      </c>
    </row>
    <row r="1505" spans="1:19" hidden="1" x14ac:dyDescent="0.3">
      <c r="A1505">
        <v>471</v>
      </c>
      <c r="B1505" t="s">
        <v>1326</v>
      </c>
      <c r="C1505" t="s">
        <v>567</v>
      </c>
      <c r="D1505" t="s">
        <v>21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99</v>
      </c>
      <c r="L1505" s="39">
        <f t="shared" si="116"/>
        <v>0.99</v>
      </c>
      <c r="M1505" s="39">
        <f t="shared" si="115"/>
        <v>0.99</v>
      </c>
      <c r="P1505">
        <v>0</v>
      </c>
      <c r="Q1505">
        <v>0</v>
      </c>
      <c r="R1505" t="s">
        <v>1327</v>
      </c>
    </row>
    <row r="1506" spans="1:19" hidden="1" x14ac:dyDescent="0.3">
      <c r="A1506">
        <v>471</v>
      </c>
      <c r="B1506" t="s">
        <v>1326</v>
      </c>
      <c r="C1506" t="s">
        <v>567</v>
      </c>
      <c r="D1506" t="s">
        <v>27</v>
      </c>
      <c r="E1506" t="s">
        <v>22</v>
      </c>
      <c r="F1506" s="79">
        <v>45838</v>
      </c>
      <c r="G1506">
        <v>2025</v>
      </c>
      <c r="H1506" t="s">
        <v>699</v>
      </c>
      <c r="I1506" t="s">
        <v>700</v>
      </c>
      <c r="J1506">
        <v>100</v>
      </c>
      <c r="K1506">
        <v>94.02</v>
      </c>
      <c r="L1506" s="39">
        <f t="shared" si="116"/>
        <v>0.94019999999999992</v>
      </c>
      <c r="M1506" s="39">
        <f t="shared" si="115"/>
        <v>0.94019999999999992</v>
      </c>
      <c r="N1506" t="s">
        <v>25</v>
      </c>
      <c r="O1506" t="s">
        <v>25</v>
      </c>
      <c r="P1506">
        <v>0</v>
      </c>
      <c r="Q1506">
        <v>0</v>
      </c>
      <c r="R1506" t="s">
        <v>3114</v>
      </c>
    </row>
    <row r="1507" spans="1:19" hidden="1" x14ac:dyDescent="0.3">
      <c r="A1507">
        <v>471</v>
      </c>
      <c r="B1507" t="s">
        <v>1326</v>
      </c>
      <c r="C1507" t="s">
        <v>567</v>
      </c>
      <c r="D1507" t="s">
        <v>27</v>
      </c>
      <c r="E1507" t="s">
        <v>22</v>
      </c>
      <c r="F1507" s="79">
        <v>46022</v>
      </c>
      <c r="G1507">
        <v>2025</v>
      </c>
      <c r="H1507" t="s">
        <v>23</v>
      </c>
      <c r="I1507" t="s">
        <v>32</v>
      </c>
      <c r="J1507">
        <v>100</v>
      </c>
      <c r="K1507">
        <v>99.86</v>
      </c>
      <c r="L1507" s="39">
        <f t="shared" si="116"/>
        <v>0.99860000000000004</v>
      </c>
      <c r="M1507" s="39">
        <f t="shared" si="115"/>
        <v>0.99860000000000004</v>
      </c>
      <c r="N1507" t="s">
        <v>25</v>
      </c>
      <c r="O1507" t="s">
        <v>25</v>
      </c>
      <c r="P1507">
        <v>0</v>
      </c>
      <c r="Q1507">
        <v>0</v>
      </c>
      <c r="R1507" t="s">
        <v>1328</v>
      </c>
    </row>
    <row r="1508" spans="1:19" hidden="1" x14ac:dyDescent="0.3">
      <c r="A1508">
        <v>472</v>
      </c>
      <c r="B1508" t="s">
        <v>1329</v>
      </c>
      <c r="C1508" t="s">
        <v>922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82.1</v>
      </c>
      <c r="L1508" s="39">
        <f t="shared" ref="L1508:L1514" si="117">IFERROR(IF(OR(J1508=0,K1508=""),"",IF(E1508="Positivo",MIN(MAX(K1508/J1508,0),1.3),MIN(MAX(J1508/K1508,0),1.3))),"")</f>
        <v>0.82099999999999995</v>
      </c>
      <c r="M1508" s="39">
        <f t="shared" si="115"/>
        <v>0.82099999999999995</v>
      </c>
      <c r="P1508">
        <v>0</v>
      </c>
      <c r="Q1508">
        <v>0</v>
      </c>
      <c r="R1508" t="s">
        <v>3116</v>
      </c>
    </row>
    <row r="1509" spans="1:19" hidden="1" x14ac:dyDescent="0.3">
      <c r="A1509">
        <v>472</v>
      </c>
      <c r="B1509" t="s">
        <v>1329</v>
      </c>
      <c r="C1509" t="s">
        <v>922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100</v>
      </c>
      <c r="L1509" s="39">
        <f t="shared" si="117"/>
        <v>1</v>
      </c>
      <c r="M1509" s="39">
        <f t="shared" si="115"/>
        <v>1</v>
      </c>
      <c r="P1509">
        <v>0</v>
      </c>
      <c r="Q1509">
        <v>0</v>
      </c>
      <c r="R1509" t="s">
        <v>1330</v>
      </c>
    </row>
    <row r="1510" spans="1:19" hidden="1" x14ac:dyDescent="0.3">
      <c r="A1510">
        <v>473</v>
      </c>
      <c r="B1510" t="s">
        <v>3117</v>
      </c>
      <c r="C1510" t="s">
        <v>549</v>
      </c>
      <c r="D1510" t="s">
        <v>27</v>
      </c>
      <c r="E1510" t="s">
        <v>22</v>
      </c>
      <c r="F1510" s="79">
        <v>45473</v>
      </c>
      <c r="G1510">
        <v>2024</v>
      </c>
      <c r="H1510" t="s">
        <v>699</v>
      </c>
      <c r="I1510" t="s">
        <v>729</v>
      </c>
      <c r="J1510">
        <v>100</v>
      </c>
      <c r="K1510">
        <v>100</v>
      </c>
      <c r="L1510" s="39">
        <f t="shared" si="117"/>
        <v>1</v>
      </c>
      <c r="M1510" s="39">
        <f t="shared" si="115"/>
        <v>1</v>
      </c>
      <c r="P1510">
        <v>0</v>
      </c>
      <c r="Q1510">
        <v>0</v>
      </c>
      <c r="R1510" t="s">
        <v>3118</v>
      </c>
    </row>
    <row r="1511" spans="1:19" hidden="1" x14ac:dyDescent="0.3">
      <c r="A1511">
        <v>473</v>
      </c>
      <c r="B1511" t="s">
        <v>1331</v>
      </c>
      <c r="C1511" t="s">
        <v>549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100</v>
      </c>
      <c r="L1511" s="39">
        <f t="shared" si="117"/>
        <v>1</v>
      </c>
      <c r="M1511" s="39">
        <f t="shared" si="115"/>
        <v>1</v>
      </c>
      <c r="P1511">
        <v>0</v>
      </c>
      <c r="Q1511">
        <v>0</v>
      </c>
      <c r="R1511" t="s">
        <v>1332</v>
      </c>
    </row>
    <row r="1512" spans="1:19" hidden="1" x14ac:dyDescent="0.3">
      <c r="A1512">
        <v>473</v>
      </c>
      <c r="B1512" t="s">
        <v>1331</v>
      </c>
      <c r="C1512" t="s">
        <v>549</v>
      </c>
      <c r="D1512" t="s">
        <v>27</v>
      </c>
      <c r="E1512" t="s">
        <v>22</v>
      </c>
      <c r="F1512" s="79">
        <v>45838</v>
      </c>
      <c r="G1512">
        <v>2025</v>
      </c>
      <c r="H1512" t="s">
        <v>699</v>
      </c>
      <c r="I1512" t="s">
        <v>700</v>
      </c>
      <c r="J1512">
        <v>100</v>
      </c>
      <c r="K1512">
        <v>100</v>
      </c>
      <c r="L1512" s="39">
        <f t="shared" si="117"/>
        <v>1</v>
      </c>
      <c r="M1512" s="39">
        <f t="shared" si="115"/>
        <v>1</v>
      </c>
      <c r="P1512">
        <v>0</v>
      </c>
      <c r="Q1512">
        <v>0</v>
      </c>
      <c r="R1512" t="s">
        <v>1333</v>
      </c>
    </row>
    <row r="1513" spans="1:19" hidden="1" x14ac:dyDescent="0.3">
      <c r="A1513">
        <v>474</v>
      </c>
      <c r="B1513" t="s">
        <v>1334</v>
      </c>
      <c r="C1513" t="s">
        <v>1059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100</v>
      </c>
      <c r="L1513" s="39">
        <f t="shared" si="117"/>
        <v>1</v>
      </c>
      <c r="M1513" s="39">
        <f t="shared" si="115"/>
        <v>1</v>
      </c>
      <c r="P1513">
        <v>0</v>
      </c>
      <c r="Q1513">
        <v>0</v>
      </c>
      <c r="R1513" t="s">
        <v>3120</v>
      </c>
    </row>
    <row r="1514" spans="1:19" hidden="1" x14ac:dyDescent="0.3">
      <c r="A1514">
        <v>474</v>
      </c>
      <c r="B1514" t="s">
        <v>1334</v>
      </c>
      <c r="C1514" t="s">
        <v>1059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1335</v>
      </c>
    </row>
    <row r="1515" spans="1:19" hidden="1" x14ac:dyDescent="0.3">
      <c r="A1515">
        <v>474</v>
      </c>
      <c r="B1515" t="s">
        <v>1334</v>
      </c>
      <c r="C1515" t="s">
        <v>1059</v>
      </c>
      <c r="D1515" t="s">
        <v>21</v>
      </c>
      <c r="E1515" t="s">
        <v>22</v>
      </c>
      <c r="F1515" s="79">
        <v>45838</v>
      </c>
      <c r="G1515">
        <v>2025</v>
      </c>
      <c r="H1515" t="s">
        <v>699</v>
      </c>
      <c r="I1515" t="s">
        <v>700</v>
      </c>
      <c r="K1515">
        <v>0</v>
      </c>
      <c r="L1515" s="39"/>
      <c r="M1515" s="39"/>
      <c r="N1515" t="s">
        <v>128</v>
      </c>
      <c r="O1515" t="s">
        <v>128</v>
      </c>
      <c r="P1515">
        <v>0</v>
      </c>
      <c r="Q1515">
        <v>0</v>
      </c>
      <c r="R1515" t="s">
        <v>3121</v>
      </c>
    </row>
    <row r="1516" spans="1:19" hidden="1" x14ac:dyDescent="0.3">
      <c r="A1516">
        <v>475</v>
      </c>
      <c r="B1516" t="s">
        <v>1337</v>
      </c>
      <c r="C1516" t="s">
        <v>819</v>
      </c>
      <c r="D1516" t="s">
        <v>27</v>
      </c>
      <c r="E1516" t="s">
        <v>22</v>
      </c>
      <c r="F1516" s="79">
        <v>45473</v>
      </c>
      <c r="G1516">
        <v>2024</v>
      </c>
      <c r="H1516" t="s">
        <v>699</v>
      </c>
      <c r="I1516" t="s">
        <v>729</v>
      </c>
      <c r="L1516" s="39"/>
      <c r="M1516" s="39"/>
      <c r="P1516">
        <v>0</v>
      </c>
      <c r="Q1516">
        <v>0</v>
      </c>
      <c r="R1516" t="s">
        <v>3122</v>
      </c>
      <c r="S1516" t="s">
        <v>302</v>
      </c>
    </row>
    <row r="1517" spans="1:19" hidden="1" x14ac:dyDescent="0.3">
      <c r="A1517">
        <v>475</v>
      </c>
      <c r="B1517" t="s">
        <v>1337</v>
      </c>
      <c r="C1517" t="s">
        <v>819</v>
      </c>
      <c r="D1517" t="s">
        <v>27</v>
      </c>
      <c r="E1517" t="s">
        <v>22</v>
      </c>
      <c r="F1517" s="79">
        <v>45657</v>
      </c>
      <c r="G1517">
        <v>2024</v>
      </c>
      <c r="H1517" t="s">
        <v>23</v>
      </c>
      <c r="I1517" t="s">
        <v>30</v>
      </c>
      <c r="J1517">
        <v>10</v>
      </c>
      <c r="K1517">
        <v>14</v>
      </c>
      <c r="L1517" s="39">
        <f t="shared" ref="L1517:L1524" si="118">IFERROR(IF(OR(J1517=0,K1517=""),"",IF(E1517="Positivo",MIN(MAX(K1517/J1517,0),1.3),MIN(MAX(J1517/K1517,0),1.3))),"")</f>
        <v>1.3</v>
      </c>
      <c r="M1517" s="39">
        <f t="shared" ref="M1517:M1524" si="119">IFERROR(IF(OR(J1517=0,K1517=""),"",IF(E1517="Positivo",MAX(K1517/J1517,0),MAX(J1517/K1517,0))),"")</f>
        <v>1.4</v>
      </c>
      <c r="N1517" t="s">
        <v>128</v>
      </c>
      <c r="O1517" t="s">
        <v>128</v>
      </c>
      <c r="P1517">
        <v>0</v>
      </c>
      <c r="Q1517">
        <v>0</v>
      </c>
      <c r="R1517" t="s">
        <v>1338</v>
      </c>
    </row>
    <row r="1518" spans="1:19" hidden="1" x14ac:dyDescent="0.3">
      <c r="A1518">
        <v>475</v>
      </c>
      <c r="B1518" t="s">
        <v>1337</v>
      </c>
      <c r="C1518" t="s">
        <v>819</v>
      </c>
      <c r="D1518" t="s">
        <v>21</v>
      </c>
      <c r="E1518" t="s">
        <v>22</v>
      </c>
      <c r="F1518" s="79">
        <v>46022</v>
      </c>
      <c r="G1518">
        <v>2025</v>
      </c>
      <c r="H1518" t="s">
        <v>23</v>
      </c>
      <c r="I1518" t="s">
        <v>32</v>
      </c>
      <c r="J1518">
        <v>5</v>
      </c>
      <c r="K1518">
        <v>5</v>
      </c>
      <c r="L1518" s="39">
        <f t="shared" si="118"/>
        <v>1</v>
      </c>
      <c r="M1518" s="39">
        <f t="shared" si="119"/>
        <v>1</v>
      </c>
      <c r="N1518" t="s">
        <v>128</v>
      </c>
      <c r="O1518" t="s">
        <v>128</v>
      </c>
      <c r="P1518">
        <v>0</v>
      </c>
      <c r="Q1518">
        <v>0</v>
      </c>
      <c r="R1518" t="s">
        <v>1339</v>
      </c>
    </row>
    <row r="1519" spans="1:19" hidden="1" x14ac:dyDescent="0.3">
      <c r="A1519">
        <v>476</v>
      </c>
      <c r="B1519" t="s">
        <v>1340</v>
      </c>
      <c r="C1519" t="s">
        <v>549</v>
      </c>
      <c r="D1519" t="s">
        <v>27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100</v>
      </c>
      <c r="L1519" s="39">
        <f t="shared" si="118"/>
        <v>1</v>
      </c>
      <c r="M1519" s="39">
        <f t="shared" si="119"/>
        <v>1</v>
      </c>
      <c r="P1519">
        <v>0</v>
      </c>
      <c r="Q1519">
        <v>0</v>
      </c>
      <c r="R1519" t="s">
        <v>3124</v>
      </c>
    </row>
    <row r="1520" spans="1:19" hidden="1" x14ac:dyDescent="0.3">
      <c r="A1520">
        <v>476</v>
      </c>
      <c r="B1520" t="s">
        <v>1340</v>
      </c>
      <c r="C1520" t="s">
        <v>549</v>
      </c>
      <c r="D1520" t="s">
        <v>27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100</v>
      </c>
      <c r="L1520" s="39">
        <f t="shared" si="118"/>
        <v>1</v>
      </c>
      <c r="M1520" s="39">
        <f t="shared" si="119"/>
        <v>1</v>
      </c>
      <c r="P1520">
        <v>0</v>
      </c>
      <c r="Q1520">
        <v>0</v>
      </c>
      <c r="R1520" t="s">
        <v>1341</v>
      </c>
    </row>
    <row r="1521" spans="1:18" hidden="1" x14ac:dyDescent="0.3">
      <c r="A1521">
        <v>476</v>
      </c>
      <c r="B1521" t="s">
        <v>1340</v>
      </c>
      <c r="C1521" t="s">
        <v>549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100</v>
      </c>
      <c r="L1521" s="39">
        <f t="shared" si="118"/>
        <v>1</v>
      </c>
      <c r="M1521" s="39">
        <f t="shared" si="119"/>
        <v>1</v>
      </c>
      <c r="N1521" t="s">
        <v>128</v>
      </c>
      <c r="O1521" t="s">
        <v>128</v>
      </c>
      <c r="P1521">
        <v>0</v>
      </c>
      <c r="Q1521">
        <v>0</v>
      </c>
      <c r="R1521" t="s">
        <v>3125</v>
      </c>
    </row>
    <row r="1522" spans="1:18" hidden="1" x14ac:dyDescent="0.3">
      <c r="A1522">
        <v>476</v>
      </c>
      <c r="B1522" t="s">
        <v>1340</v>
      </c>
      <c r="C1522" t="s">
        <v>549</v>
      </c>
      <c r="D1522" t="s">
        <v>21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100</v>
      </c>
      <c r="L1522" s="39">
        <f t="shared" si="118"/>
        <v>1</v>
      </c>
      <c r="M1522" s="39">
        <f t="shared" si="119"/>
        <v>1</v>
      </c>
      <c r="N1522" t="s">
        <v>128</v>
      </c>
      <c r="O1522" t="s">
        <v>128</v>
      </c>
      <c r="P1522">
        <v>0</v>
      </c>
      <c r="Q1522">
        <v>0</v>
      </c>
      <c r="R1522" t="s">
        <v>1342</v>
      </c>
    </row>
    <row r="1523" spans="1:18" hidden="1" x14ac:dyDescent="0.3">
      <c r="A1523">
        <v>477</v>
      </c>
      <c r="B1523" t="s">
        <v>1343</v>
      </c>
      <c r="C1523" t="s">
        <v>1059</v>
      </c>
      <c r="D1523" t="s">
        <v>27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P1523">
        <v>0</v>
      </c>
      <c r="Q1523">
        <v>0</v>
      </c>
      <c r="R1523" t="s">
        <v>3126</v>
      </c>
    </row>
    <row r="1524" spans="1:18" hidden="1" x14ac:dyDescent="0.3">
      <c r="A1524">
        <v>477</v>
      </c>
      <c r="B1524" t="s">
        <v>1343</v>
      </c>
      <c r="C1524" t="s">
        <v>1059</v>
      </c>
      <c r="D1524" t="s">
        <v>27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1344</v>
      </c>
    </row>
    <row r="1525" spans="1:18" hidden="1" x14ac:dyDescent="0.3">
      <c r="A1525">
        <v>478</v>
      </c>
      <c r="B1525" t="s">
        <v>1345</v>
      </c>
      <c r="C1525" t="s">
        <v>1059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L1525" s="39"/>
      <c r="M1525" s="39"/>
      <c r="N1525" t="s">
        <v>128</v>
      </c>
      <c r="O1525" t="s">
        <v>1949</v>
      </c>
      <c r="P1525">
        <v>0</v>
      </c>
      <c r="Q1525">
        <v>0</v>
      </c>
      <c r="R1525" t="s">
        <v>3128</v>
      </c>
    </row>
    <row r="1526" spans="1:18" hidden="1" x14ac:dyDescent="0.3">
      <c r="A1526">
        <v>478</v>
      </c>
      <c r="B1526" t="s">
        <v>1345</v>
      </c>
      <c r="C1526" t="s">
        <v>1059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>IFERROR(IF(OR(J1526=0,K1526=""),"",IF(E1526="Positivo",MIN(MAX(K1526/J1526,0),1.3),MIN(MAX(J1526/K1526,0),1.3))),"")</f>
        <v>1</v>
      </c>
      <c r="M1526" s="39">
        <f>IFERROR(IF(OR(J1526=0,K1526=""),"",IF(E1526="Positivo",MAX(K1526/J1526,0),MAX(J1526/K1526,0))),"")</f>
        <v>1</v>
      </c>
      <c r="P1526">
        <v>0</v>
      </c>
      <c r="Q1526">
        <v>0</v>
      </c>
      <c r="R1526" t="s">
        <v>1346</v>
      </c>
    </row>
    <row r="1527" spans="1:18" hidden="1" x14ac:dyDescent="0.3">
      <c r="A1527">
        <v>478</v>
      </c>
      <c r="B1527" t="s">
        <v>1345</v>
      </c>
      <c r="C1527" t="s">
        <v>1059</v>
      </c>
      <c r="D1527" t="s">
        <v>21</v>
      </c>
      <c r="E1527" t="s">
        <v>22</v>
      </c>
      <c r="F1527" s="79">
        <v>45838</v>
      </c>
      <c r="G1527">
        <v>2025</v>
      </c>
      <c r="H1527" t="s">
        <v>699</v>
      </c>
      <c r="I1527" t="s">
        <v>700</v>
      </c>
      <c r="K1527">
        <v>0</v>
      </c>
      <c r="L1527" s="39"/>
      <c r="M1527" s="39"/>
      <c r="N1527" t="s">
        <v>128</v>
      </c>
      <c r="O1527" t="s">
        <v>128</v>
      </c>
      <c r="P1527">
        <v>0</v>
      </c>
      <c r="Q1527">
        <v>0</v>
      </c>
      <c r="R1527" t="s">
        <v>3129</v>
      </c>
    </row>
    <row r="1528" spans="1:18" hidden="1" x14ac:dyDescent="0.3">
      <c r="A1528">
        <v>479</v>
      </c>
      <c r="B1528" t="s">
        <v>1348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>IFERROR(IF(OR(J1528=0,K1528=""),"",IF(E1528="Positivo",MIN(MAX(K1528/J1528,0),1.3),MIN(MAX(J1528/K1528,0),1.3))),"")</f>
        <v>1</v>
      </c>
      <c r="M1528" s="39">
        <f>IFERROR(IF(OR(J1528=0,K1528=""),"",IF(E1528="Positivo",MAX(K1528/J1528,0),MAX(J1528/K1528,0))),"")</f>
        <v>1</v>
      </c>
      <c r="P1528">
        <v>0</v>
      </c>
      <c r="Q1528">
        <v>0</v>
      </c>
      <c r="R1528" t="s">
        <v>3130</v>
      </c>
    </row>
    <row r="1529" spans="1:18" hidden="1" x14ac:dyDescent="0.3">
      <c r="A1529">
        <v>479</v>
      </c>
      <c r="B1529" t="s">
        <v>1348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>IFERROR(IF(OR(J1529=0,K1529=""),"",IF(E1529="Positivo",MIN(MAX(K1529/J1529,0),1.3),MIN(MAX(J1529/K1529,0),1.3))),"")</f>
        <v>1</v>
      </c>
      <c r="M1529" s="39">
        <f>IFERROR(IF(OR(J1529=0,K1529=""),"",IF(E1529="Positivo",MAX(K1529/J1529,0),MAX(J1529/K1529,0))),"")</f>
        <v>1</v>
      </c>
      <c r="P1529">
        <v>0</v>
      </c>
      <c r="Q1529">
        <v>0</v>
      </c>
      <c r="R1529" t="s">
        <v>1349</v>
      </c>
    </row>
    <row r="1530" spans="1:18" hidden="1" x14ac:dyDescent="0.3">
      <c r="A1530">
        <v>480</v>
      </c>
      <c r="B1530" t="s">
        <v>1350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>IFERROR(IF(OR(J1530=0,K1530=""),"",IF(E1530="Positivo",MIN(MAX(K1530/J1530,0),1.3),MIN(MAX(J1530/K1530,0),1.3))),"")</f>
        <v>1</v>
      </c>
      <c r="M1530" s="39">
        <f>IFERROR(IF(OR(J1530=0,K1530=""),"",IF(E1530="Positivo",MAX(K1530/J1530,0),MAX(J1530/K1530,0))),"")</f>
        <v>1</v>
      </c>
      <c r="P1530">
        <v>0</v>
      </c>
      <c r="Q1530">
        <v>0</v>
      </c>
      <c r="R1530" t="s">
        <v>3132</v>
      </c>
    </row>
    <row r="1531" spans="1:18" hidden="1" x14ac:dyDescent="0.3">
      <c r="A1531">
        <v>480</v>
      </c>
      <c r="B1531" t="s">
        <v>1350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1351</v>
      </c>
    </row>
    <row r="1532" spans="1:18" hidden="1" x14ac:dyDescent="0.3">
      <c r="A1532">
        <v>481</v>
      </c>
      <c r="B1532" t="s">
        <v>1352</v>
      </c>
      <c r="C1532" t="s">
        <v>549</v>
      </c>
      <c r="D1532" t="s">
        <v>27</v>
      </c>
      <c r="E1532" t="s">
        <v>22</v>
      </c>
      <c r="F1532" s="79">
        <v>45473</v>
      </c>
      <c r="G1532">
        <v>2024</v>
      </c>
      <c r="H1532" t="s">
        <v>699</v>
      </c>
      <c r="I1532" t="s">
        <v>729</v>
      </c>
      <c r="J1532">
        <v>100</v>
      </c>
      <c r="K1532">
        <v>100</v>
      </c>
      <c r="L1532" s="39">
        <f>IFERROR(IF(OR(J1532=0,K1532=""),"",IF(E1532="Positivo",MIN(MAX(K1532/J1532,0),1.3),MIN(MAX(J1532/K1532,0),1.3))),"")</f>
        <v>1</v>
      </c>
      <c r="M1532" s="39">
        <f>IFERROR(IF(OR(J1532=0,K1532=""),"",IF(E1532="Positivo",MAX(K1532/J1532,0),MAX(J1532/K1532,0))),"")</f>
        <v>1</v>
      </c>
      <c r="P1532">
        <v>0</v>
      </c>
      <c r="Q1532">
        <v>0</v>
      </c>
      <c r="R1532" t="s">
        <v>3134</v>
      </c>
    </row>
    <row r="1533" spans="1:18" hidden="1" x14ac:dyDescent="0.3">
      <c r="A1533">
        <v>481</v>
      </c>
      <c r="B1533" t="s">
        <v>1352</v>
      </c>
      <c r="C1533" t="s">
        <v>549</v>
      </c>
      <c r="D1533" t="s">
        <v>27</v>
      </c>
      <c r="E1533" t="s">
        <v>22</v>
      </c>
      <c r="F1533" s="79">
        <v>45657</v>
      </c>
      <c r="G1533">
        <v>2024</v>
      </c>
      <c r="H1533" t="s">
        <v>23</v>
      </c>
      <c r="I1533" t="s">
        <v>30</v>
      </c>
      <c r="J1533">
        <v>100</v>
      </c>
      <c r="L1533" s="39"/>
      <c r="M1533" s="39"/>
      <c r="N1533" t="s">
        <v>128</v>
      </c>
      <c r="O1533" t="s">
        <v>1949</v>
      </c>
      <c r="P1533">
        <v>0</v>
      </c>
      <c r="Q1533">
        <v>0</v>
      </c>
      <c r="R1533" t="s">
        <v>1353</v>
      </c>
    </row>
    <row r="1534" spans="1:18" hidden="1" x14ac:dyDescent="0.3">
      <c r="A1534">
        <v>481</v>
      </c>
      <c r="B1534" t="s">
        <v>1352</v>
      </c>
      <c r="C1534" t="s">
        <v>549</v>
      </c>
      <c r="D1534" t="s">
        <v>21</v>
      </c>
      <c r="E1534" t="s">
        <v>22</v>
      </c>
      <c r="F1534" s="79">
        <v>45838</v>
      </c>
      <c r="G1534">
        <v>2025</v>
      </c>
      <c r="H1534" t="s">
        <v>699</v>
      </c>
      <c r="I1534" t="s">
        <v>700</v>
      </c>
      <c r="J1534">
        <v>100</v>
      </c>
      <c r="K1534">
        <v>100</v>
      </c>
      <c r="L1534" s="39">
        <f t="shared" ref="L1534:L1539" si="120">IFERROR(IF(OR(J1534=0,K1534=""),"",IF(E1534="Positivo",MIN(MAX(K1534/J1534,0),1.3),MIN(MAX(J1534/K1534,0),1.3))),"")</f>
        <v>1</v>
      </c>
      <c r="M1534" s="39">
        <f t="shared" ref="M1534:M1539" si="121">IFERROR(IF(OR(J1534=0,K1534=""),"",IF(E1534="Positivo",MAX(K1534/J1534,0),MAX(J1534/K1534,0))),"")</f>
        <v>1</v>
      </c>
      <c r="N1534" t="s">
        <v>25</v>
      </c>
      <c r="O1534" t="s">
        <v>25</v>
      </c>
      <c r="P1534">
        <v>0</v>
      </c>
      <c r="Q1534">
        <v>0</v>
      </c>
      <c r="R1534" t="s">
        <v>3135</v>
      </c>
    </row>
    <row r="1535" spans="1:18" hidden="1" x14ac:dyDescent="0.3">
      <c r="A1535">
        <v>483</v>
      </c>
      <c r="B1535" t="s">
        <v>1355</v>
      </c>
      <c r="C1535" t="s">
        <v>1066</v>
      </c>
      <c r="D1535" t="s">
        <v>71</v>
      </c>
      <c r="E1535" t="s">
        <v>22</v>
      </c>
      <c r="F1535" s="79">
        <v>45657</v>
      </c>
      <c r="G1535">
        <v>2024</v>
      </c>
      <c r="H1535" t="s">
        <v>23</v>
      </c>
      <c r="I1535" t="s">
        <v>30</v>
      </c>
      <c r="J1535">
        <v>10</v>
      </c>
      <c r="K1535">
        <v>91.65</v>
      </c>
      <c r="L1535" s="39">
        <f t="shared" si="120"/>
        <v>1.3</v>
      </c>
      <c r="M1535" s="39">
        <f t="shared" si="121"/>
        <v>9.1650000000000009</v>
      </c>
      <c r="P1535">
        <v>0</v>
      </c>
      <c r="Q1535">
        <v>0</v>
      </c>
      <c r="R1535" t="s">
        <v>1356</v>
      </c>
    </row>
    <row r="1536" spans="1:18" hidden="1" x14ac:dyDescent="0.3">
      <c r="A1536">
        <v>484</v>
      </c>
      <c r="B1536" t="s">
        <v>1357</v>
      </c>
      <c r="C1536" t="s">
        <v>70</v>
      </c>
      <c r="D1536" t="s">
        <v>21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90</v>
      </c>
      <c r="K1536">
        <v>100</v>
      </c>
      <c r="L1536" s="39">
        <f t="shared" si="120"/>
        <v>1.1111111111111112</v>
      </c>
      <c r="M1536" s="39">
        <f t="shared" si="121"/>
        <v>1.1111111111111112</v>
      </c>
      <c r="P1536">
        <v>0</v>
      </c>
      <c r="Q1536">
        <v>0</v>
      </c>
      <c r="R1536" t="s">
        <v>3136</v>
      </c>
    </row>
    <row r="1537" spans="1:18" hidden="1" x14ac:dyDescent="0.3">
      <c r="A1537">
        <v>484</v>
      </c>
      <c r="B1537" t="s">
        <v>1357</v>
      </c>
      <c r="C1537" t="s">
        <v>70</v>
      </c>
      <c r="D1537" t="s">
        <v>21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90</v>
      </c>
      <c r="K1537">
        <v>100</v>
      </c>
      <c r="L1537" s="39">
        <f t="shared" si="120"/>
        <v>1.1111111111111112</v>
      </c>
      <c r="M1537" s="39">
        <f t="shared" si="121"/>
        <v>1.1111111111111112</v>
      </c>
      <c r="P1537">
        <v>0</v>
      </c>
      <c r="Q1537">
        <v>0</v>
      </c>
      <c r="R1537" t="s">
        <v>1358</v>
      </c>
    </row>
    <row r="1538" spans="1:18" hidden="1" x14ac:dyDescent="0.3">
      <c r="A1538">
        <v>484</v>
      </c>
      <c r="B1538" t="s">
        <v>1357</v>
      </c>
      <c r="C1538" t="s">
        <v>70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J1538">
        <v>90</v>
      </c>
      <c r="K1538">
        <v>100</v>
      </c>
      <c r="L1538" s="39">
        <f t="shared" si="120"/>
        <v>1.1111111111111112</v>
      </c>
      <c r="M1538" s="39">
        <f t="shared" si="121"/>
        <v>1.1111111111111112</v>
      </c>
      <c r="N1538" t="s">
        <v>25</v>
      </c>
      <c r="O1538" t="s">
        <v>25</v>
      </c>
      <c r="P1538">
        <v>0</v>
      </c>
      <c r="Q1538">
        <v>0</v>
      </c>
      <c r="R1538" t="s">
        <v>3139</v>
      </c>
    </row>
    <row r="1539" spans="1:18" hidden="1" x14ac:dyDescent="0.3">
      <c r="A1539">
        <v>484</v>
      </c>
      <c r="B1539" t="s">
        <v>1357</v>
      </c>
      <c r="C1539" t="s">
        <v>70</v>
      </c>
      <c r="D1539" t="s">
        <v>27</v>
      </c>
      <c r="E1539" t="s">
        <v>22</v>
      </c>
      <c r="F1539" s="79">
        <v>46022</v>
      </c>
      <c r="G1539">
        <v>2025</v>
      </c>
      <c r="H1539" t="s">
        <v>23</v>
      </c>
      <c r="I1539" t="s">
        <v>32</v>
      </c>
      <c r="J1539">
        <v>90</v>
      </c>
      <c r="K1539">
        <v>100</v>
      </c>
      <c r="L1539" s="39">
        <f t="shared" si="120"/>
        <v>1.1111111111111112</v>
      </c>
      <c r="M1539" s="39">
        <f t="shared" si="121"/>
        <v>1.1111111111111112</v>
      </c>
      <c r="N1539" t="s">
        <v>25</v>
      </c>
      <c r="O1539" t="s">
        <v>25</v>
      </c>
      <c r="P1539">
        <v>0</v>
      </c>
      <c r="Q1539">
        <v>0</v>
      </c>
      <c r="R1539" t="s">
        <v>1359</v>
      </c>
    </row>
    <row r="1540" spans="1:18" hidden="1" x14ac:dyDescent="0.3">
      <c r="A1540">
        <v>485</v>
      </c>
      <c r="B1540" t="s">
        <v>1360</v>
      </c>
      <c r="C1540" t="s">
        <v>198</v>
      </c>
      <c r="D1540" t="s">
        <v>54</v>
      </c>
      <c r="E1540" t="s">
        <v>22</v>
      </c>
      <c r="F1540" s="79">
        <v>45473</v>
      </c>
      <c r="G1540">
        <v>2024</v>
      </c>
      <c r="H1540" t="s">
        <v>699</v>
      </c>
      <c r="I1540" t="s">
        <v>729</v>
      </c>
      <c r="L1540" s="39"/>
      <c r="M1540" s="39"/>
      <c r="P1540">
        <v>0</v>
      </c>
      <c r="Q1540">
        <v>0</v>
      </c>
      <c r="R1540" t="s">
        <v>3146</v>
      </c>
    </row>
    <row r="1541" spans="1:18" hidden="1" x14ac:dyDescent="0.3">
      <c r="A1541">
        <v>485</v>
      </c>
      <c r="B1541" t="s">
        <v>1360</v>
      </c>
      <c r="C1541" t="s">
        <v>198</v>
      </c>
      <c r="D1541" t="s">
        <v>54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80</v>
      </c>
      <c r="K1541">
        <v>91.666666666666657</v>
      </c>
      <c r="L1541" s="39">
        <f>IFERROR(IF(OR(J1541=0,K1541=""),"",IF(E1541="Positivo",MIN(MAX(K1541/J1541,0),1.3),MIN(MAX(J1541/K1541,0),1.3))),"")</f>
        <v>1.1458333333333333</v>
      </c>
      <c r="M1541" s="39">
        <f>IFERROR(IF(OR(J1541=0,K1541=""),"",IF(E1541="Positivo",MAX(K1541/J1541,0),MAX(J1541/K1541,0))),"")</f>
        <v>1.1458333333333333</v>
      </c>
      <c r="P1541">
        <v>0</v>
      </c>
      <c r="Q1541">
        <v>0</v>
      </c>
      <c r="R1541" t="s">
        <v>1361</v>
      </c>
    </row>
    <row r="1542" spans="1:18" hidden="1" x14ac:dyDescent="0.3">
      <c r="A1542">
        <v>485</v>
      </c>
      <c r="B1542" t="s">
        <v>1360</v>
      </c>
      <c r="C1542" t="s">
        <v>198</v>
      </c>
      <c r="D1542" t="s">
        <v>54</v>
      </c>
      <c r="E1542" t="s">
        <v>22</v>
      </c>
      <c r="F1542" s="79">
        <v>45838</v>
      </c>
      <c r="G1542">
        <v>2025</v>
      </c>
      <c r="H1542" t="s">
        <v>699</v>
      </c>
      <c r="I1542" t="s">
        <v>700</v>
      </c>
      <c r="J1542">
        <v>80</v>
      </c>
      <c r="K1542">
        <v>86.111666666666665</v>
      </c>
      <c r="L1542" s="39">
        <f>IFERROR(IF(OR(J1542=0,K1542=""),"",IF(E1542="Positivo",MIN(MAX(K1542/J1542,0),1.3),MIN(MAX(J1542/K1542,0),1.3))),"")</f>
        <v>1.0763958333333332</v>
      </c>
      <c r="M1542" s="39">
        <f>IFERROR(IF(OR(J1542=0,K1542=""),"",IF(E1542="Positivo",MAX(K1542/J1542,0),MAX(J1542/K1542,0))),"")</f>
        <v>1.0763958333333332</v>
      </c>
      <c r="N1542" t="s">
        <v>25</v>
      </c>
      <c r="O1542" t="s">
        <v>25</v>
      </c>
      <c r="P1542">
        <v>0</v>
      </c>
      <c r="Q1542">
        <v>0</v>
      </c>
      <c r="R1542" t="s">
        <v>3156</v>
      </c>
    </row>
    <row r="1543" spans="1:18" hidden="1" x14ac:dyDescent="0.3">
      <c r="A1543">
        <v>485</v>
      </c>
      <c r="B1543" t="s">
        <v>1360</v>
      </c>
      <c r="C1543" t="s">
        <v>198</v>
      </c>
      <c r="D1543" t="s">
        <v>54</v>
      </c>
      <c r="E1543" t="s">
        <v>22</v>
      </c>
      <c r="F1543" s="79">
        <v>46022</v>
      </c>
      <c r="G1543">
        <v>2025</v>
      </c>
      <c r="H1543" t="s">
        <v>23</v>
      </c>
      <c r="I1543" t="s">
        <v>32</v>
      </c>
      <c r="J1543">
        <v>80</v>
      </c>
      <c r="K1543">
        <v>72.975999999999999</v>
      </c>
      <c r="L1543" s="39">
        <f>IFERROR(IF(OR(J1543=0,K1543=""),"",IF(E1543="Positivo",MIN(MAX(K1543/J1543,0),1.3),MIN(MAX(J1543/K1543,0),1.3))),"")</f>
        <v>0.91220000000000001</v>
      </c>
      <c r="M1543" s="39">
        <f>IFERROR(IF(OR(J1543=0,K1543=""),"",IF(E1543="Positivo",MAX(K1543/J1543,0),MAX(J1543/K1543,0))),"")</f>
        <v>0.91220000000000001</v>
      </c>
      <c r="N1543" t="s">
        <v>25</v>
      </c>
      <c r="O1543" t="s">
        <v>25</v>
      </c>
      <c r="P1543">
        <v>0</v>
      </c>
      <c r="Q1543">
        <v>0</v>
      </c>
      <c r="R1543" t="s">
        <v>1362</v>
      </c>
    </row>
    <row r="1544" spans="1:18" hidden="1" x14ac:dyDescent="0.3">
      <c r="A1544">
        <v>486</v>
      </c>
      <c r="B1544" t="s">
        <v>1363</v>
      </c>
      <c r="C1544" t="s">
        <v>149</v>
      </c>
      <c r="D1544" t="s">
        <v>27</v>
      </c>
      <c r="E1544" t="s">
        <v>22</v>
      </c>
      <c r="F1544" s="79">
        <v>45473</v>
      </c>
      <c r="G1544">
        <v>2024</v>
      </c>
      <c r="H1544" t="s">
        <v>699</v>
      </c>
      <c r="I1544" t="s">
        <v>729</v>
      </c>
      <c r="J1544">
        <v>0</v>
      </c>
      <c r="K1544">
        <v>4900000</v>
      </c>
      <c r="L1544" s="39" t="str">
        <f>IFERROR(IF(OR(J1544=0,K1544=""),"",IF(E1544="Positivo",MIN(MAX(K1544/J1544,0),1.3),MIN(MAX(J1544/K1544,0),1.3))),"")</f>
        <v/>
      </c>
      <c r="M1544" s="39" t="str">
        <f>IFERROR(IF(OR(J1544=0,K1544=""),"",IF(E1544="Positivo",MAX(K1544/J1544,0),MAX(J1544/K1544,0))),"")</f>
        <v/>
      </c>
      <c r="P1544">
        <v>0</v>
      </c>
      <c r="Q1544">
        <v>0</v>
      </c>
      <c r="R1544" t="s">
        <v>3162</v>
      </c>
    </row>
    <row r="1545" spans="1:18" hidden="1" x14ac:dyDescent="0.3">
      <c r="A1545">
        <v>486</v>
      </c>
      <c r="B1545" t="s">
        <v>1363</v>
      </c>
      <c r="C1545" t="s">
        <v>149</v>
      </c>
      <c r="D1545" t="s">
        <v>27</v>
      </c>
      <c r="E1545" t="s">
        <v>22</v>
      </c>
      <c r="F1545" s="79">
        <v>45657</v>
      </c>
      <c r="G1545">
        <v>2024</v>
      </c>
      <c r="H1545" t="s">
        <v>23</v>
      </c>
      <c r="I1545" t="s">
        <v>30</v>
      </c>
      <c r="J1545">
        <v>0</v>
      </c>
      <c r="K1545">
        <v>2700000</v>
      </c>
      <c r="L1545" s="39" t="str">
        <f>IFERROR(IF(OR(J1545=0,K1545=""),"",IF(E1545="Positivo",MIN(MAX(K1545/J1545,0),1.3),MIN(MAX(J1545/K1545,0),1.3))),"")</f>
        <v/>
      </c>
      <c r="M1545" s="39" t="str">
        <f>IFERROR(IF(OR(J1545=0,K1545=""),"",IF(E1545="Positivo",MAX(K1545/J1545,0),MAX(J1545/K1545,0))),"")</f>
        <v/>
      </c>
      <c r="P1545">
        <v>0</v>
      </c>
      <c r="Q1545">
        <v>0</v>
      </c>
      <c r="R1545" t="s">
        <v>1364</v>
      </c>
    </row>
    <row r="1546" spans="1:18" hidden="1" x14ac:dyDescent="0.3">
      <c r="A1546">
        <v>486</v>
      </c>
      <c r="B1546" t="s">
        <v>1363</v>
      </c>
      <c r="C1546" t="s">
        <v>149</v>
      </c>
      <c r="D1546" t="s">
        <v>21</v>
      </c>
      <c r="E1546" t="s">
        <v>22</v>
      </c>
      <c r="F1546" s="79">
        <v>45838</v>
      </c>
      <c r="G1546">
        <v>2025</v>
      </c>
      <c r="H1546" t="s">
        <v>699</v>
      </c>
      <c r="I1546" t="s">
        <v>700</v>
      </c>
      <c r="K1546">
        <v>2890610</v>
      </c>
      <c r="L1546" s="39"/>
      <c r="M1546" s="39"/>
      <c r="N1546" t="s">
        <v>25</v>
      </c>
      <c r="O1546" t="s">
        <v>25</v>
      </c>
      <c r="P1546">
        <v>0</v>
      </c>
      <c r="Q1546">
        <v>0</v>
      </c>
      <c r="R1546" t="s">
        <v>3163</v>
      </c>
    </row>
    <row r="1547" spans="1:18" hidden="1" x14ac:dyDescent="0.3">
      <c r="A1547">
        <v>486</v>
      </c>
      <c r="B1547" t="s">
        <v>1363</v>
      </c>
      <c r="C1547" t="s">
        <v>149</v>
      </c>
      <c r="D1547" t="s">
        <v>21</v>
      </c>
      <c r="E1547" t="s">
        <v>22</v>
      </c>
      <c r="F1547" s="79">
        <v>46022</v>
      </c>
      <c r="G1547">
        <v>2025</v>
      </c>
      <c r="H1547" t="s">
        <v>23</v>
      </c>
      <c r="I1547" t="s">
        <v>32</v>
      </c>
      <c r="K1547">
        <v>2703941</v>
      </c>
      <c r="L1547" s="39"/>
      <c r="M1547" s="39"/>
      <c r="N1547" t="s">
        <v>25</v>
      </c>
      <c r="O1547" t="s">
        <v>25</v>
      </c>
      <c r="P1547">
        <v>0</v>
      </c>
      <c r="Q1547">
        <v>0</v>
      </c>
      <c r="R1547" t="s">
        <v>1365</v>
      </c>
    </row>
    <row r="1548" spans="1:18" hidden="1" x14ac:dyDescent="0.3">
      <c r="A1548">
        <v>487</v>
      </c>
      <c r="B1548" t="s">
        <v>1366</v>
      </c>
      <c r="C1548" t="s">
        <v>619</v>
      </c>
      <c r="D1548" t="s">
        <v>71</v>
      </c>
      <c r="E1548" t="s">
        <v>22</v>
      </c>
      <c r="F1548" s="79">
        <v>45657</v>
      </c>
      <c r="G1548">
        <v>2024</v>
      </c>
      <c r="H1548" t="s">
        <v>23</v>
      </c>
      <c r="I1548" t="s">
        <v>30</v>
      </c>
      <c r="J1548">
        <v>20</v>
      </c>
      <c r="K1548">
        <v>6.06</v>
      </c>
      <c r="L1548" s="39">
        <f>IFERROR(IF(OR(J1548=0,K1548=""),"",IF(E1548="Positivo",MIN(MAX(K1548/J1548,0),1.3),MIN(MAX(J1548/K1548,0),1.3))),"")</f>
        <v>0.30299999999999999</v>
      </c>
      <c r="M1548" s="39">
        <f>IFERROR(IF(OR(J1548=0,K1548=""),"",IF(E1548="Positivo",MAX(K1548/J1548,0),MAX(J1548/K1548,0))),"")</f>
        <v>0.30299999999999999</v>
      </c>
      <c r="P1548">
        <v>0</v>
      </c>
      <c r="Q1548">
        <v>0</v>
      </c>
      <c r="R1548" t="s">
        <v>1367</v>
      </c>
    </row>
    <row r="1549" spans="1:18" hidden="1" x14ac:dyDescent="0.3">
      <c r="A1549">
        <v>487</v>
      </c>
      <c r="B1549" t="s">
        <v>3164</v>
      </c>
      <c r="C1549" t="s">
        <v>619</v>
      </c>
      <c r="D1549" t="s">
        <v>71</v>
      </c>
      <c r="E1549" t="s">
        <v>22</v>
      </c>
      <c r="F1549" s="79">
        <v>46022</v>
      </c>
      <c r="G1549">
        <v>2025</v>
      </c>
      <c r="H1549" t="s">
        <v>23</v>
      </c>
      <c r="I1549" t="s">
        <v>32</v>
      </c>
      <c r="J1549">
        <v>20</v>
      </c>
      <c r="K1549">
        <v>58.86</v>
      </c>
      <c r="L1549" s="39">
        <f>IFERROR(IF(OR(J1549=0,K1549=""),"",IF(E1549="Positivo",MIN(MAX(K1549/J1549,0),1.3),MIN(MAX(J1549/K1549,0),1.3))),"")</f>
        <v>1.3</v>
      </c>
      <c r="M1549" s="39">
        <f>IFERROR(IF(OR(J1549=0,K1549=""),"",IF(E1549="Positivo",MAX(K1549/J1549,0),MAX(J1549/K1549,0))),"")</f>
        <v>2.9430000000000001</v>
      </c>
      <c r="N1549" t="s">
        <v>25</v>
      </c>
      <c r="O1549" t="s">
        <v>25</v>
      </c>
      <c r="P1549">
        <v>0</v>
      </c>
      <c r="Q1549">
        <v>0</v>
      </c>
      <c r="R1549" t="s">
        <v>1368</v>
      </c>
    </row>
    <row r="1550" spans="1:18" hidden="1" x14ac:dyDescent="0.3">
      <c r="A1550">
        <v>488</v>
      </c>
      <c r="B1550" t="s">
        <v>1369</v>
      </c>
      <c r="C1550" t="s">
        <v>198</v>
      </c>
      <c r="D1550" t="s">
        <v>54</v>
      </c>
      <c r="E1550" t="s">
        <v>22</v>
      </c>
      <c r="F1550" s="79">
        <v>45473</v>
      </c>
      <c r="G1550">
        <v>2024</v>
      </c>
      <c r="H1550" t="s">
        <v>699</v>
      </c>
      <c r="I1550" t="s">
        <v>729</v>
      </c>
      <c r="L1550" s="39"/>
      <c r="M1550" s="39"/>
      <c r="P1550">
        <v>0</v>
      </c>
      <c r="Q1550">
        <v>0</v>
      </c>
      <c r="R1550" t="s">
        <v>3170</v>
      </c>
    </row>
    <row r="1551" spans="1:18" hidden="1" x14ac:dyDescent="0.3">
      <c r="A1551">
        <v>488</v>
      </c>
      <c r="B1551" t="s">
        <v>1369</v>
      </c>
      <c r="C1551" t="s">
        <v>198</v>
      </c>
      <c r="D1551" t="s">
        <v>54</v>
      </c>
      <c r="E1551" t="s">
        <v>22</v>
      </c>
      <c r="F1551" s="79">
        <v>45657</v>
      </c>
      <c r="G1551">
        <v>2024</v>
      </c>
      <c r="H1551" t="s">
        <v>23</v>
      </c>
      <c r="I1551" t="s">
        <v>30</v>
      </c>
      <c r="J1551">
        <v>85</v>
      </c>
      <c r="K1551">
        <v>92.961288460795018</v>
      </c>
      <c r="L1551" s="39">
        <f>IFERROR(IF(OR(J1551=0,K1551=""),"",IF(E1551="Positivo",MIN(MAX(K1551/J1551,0),1.3),MIN(MAX(J1551/K1551,0),1.3))),"")</f>
        <v>1.0936622171858237</v>
      </c>
      <c r="M1551" s="39">
        <f>IFERROR(IF(OR(J1551=0,K1551=""),"",IF(E1551="Positivo",MAX(K1551/J1551,0),MAX(J1551/K1551,0))),"")</f>
        <v>1.0936622171858237</v>
      </c>
      <c r="P1551">
        <v>0</v>
      </c>
      <c r="Q1551">
        <v>0</v>
      </c>
      <c r="R1551" t="s">
        <v>1370</v>
      </c>
    </row>
    <row r="1552" spans="1:18" hidden="1" x14ac:dyDescent="0.3">
      <c r="A1552">
        <v>488</v>
      </c>
      <c r="B1552" t="s">
        <v>1369</v>
      </c>
      <c r="C1552" t="s">
        <v>198</v>
      </c>
      <c r="D1552" t="s">
        <v>54</v>
      </c>
      <c r="E1552" t="s">
        <v>22</v>
      </c>
      <c r="F1552" s="79">
        <v>45838</v>
      </c>
      <c r="G1552">
        <v>2025</v>
      </c>
      <c r="H1552" t="s">
        <v>699</v>
      </c>
      <c r="I1552" t="s">
        <v>700</v>
      </c>
      <c r="J1552">
        <v>85</v>
      </c>
      <c r="K1552">
        <v>72.086932568149209</v>
      </c>
      <c r="L1552" s="39">
        <f>IFERROR(IF(OR(J1552=0,K1552=""),"",IF(E1552="Positivo",MIN(MAX(K1552/J1552,0),1.3),MIN(MAX(J1552/K1552,0),1.3))),"")</f>
        <v>0.84808155962528475</v>
      </c>
      <c r="M1552" s="39">
        <f>IFERROR(IF(OR(J1552=0,K1552=""),"",IF(E1552="Positivo",MAX(K1552/J1552,0),MAX(J1552/K1552,0))),"")</f>
        <v>0.84808155962528475</v>
      </c>
      <c r="N1552" t="s">
        <v>25</v>
      </c>
      <c r="O1552" t="s">
        <v>25</v>
      </c>
      <c r="P1552">
        <v>0</v>
      </c>
      <c r="Q1552">
        <v>0</v>
      </c>
      <c r="R1552" t="s">
        <v>3181</v>
      </c>
    </row>
    <row r="1553" spans="1:18" hidden="1" x14ac:dyDescent="0.3">
      <c r="A1553">
        <v>488</v>
      </c>
      <c r="B1553" t="s">
        <v>1369</v>
      </c>
      <c r="C1553" t="s">
        <v>198</v>
      </c>
      <c r="D1553" t="s">
        <v>54</v>
      </c>
      <c r="E1553" t="s">
        <v>22</v>
      </c>
      <c r="F1553" s="79">
        <v>46022</v>
      </c>
      <c r="G1553">
        <v>2025</v>
      </c>
      <c r="H1553" t="s">
        <v>23</v>
      </c>
      <c r="I1553" t="s">
        <v>32</v>
      </c>
      <c r="J1553">
        <v>85</v>
      </c>
      <c r="K1553">
        <v>81.461666666666659</v>
      </c>
      <c r="L1553" s="39">
        <f>IFERROR(IF(OR(J1553=0,K1553=""),"",IF(E1553="Positivo",MIN(MAX(K1553/J1553,0),1.3),MIN(MAX(J1553/K1553,0),1.3))),"")</f>
        <v>0.95837254901960778</v>
      </c>
      <c r="M1553" s="39">
        <f>IFERROR(IF(OR(J1553=0,K1553=""),"",IF(E1553="Positivo",MAX(K1553/J1553,0),MAX(J1553/K1553,0))),"")</f>
        <v>0.95837254901960778</v>
      </c>
      <c r="N1553" t="s">
        <v>25</v>
      </c>
      <c r="O1553" t="s">
        <v>25</v>
      </c>
      <c r="P1553">
        <v>0</v>
      </c>
      <c r="Q1553">
        <v>0</v>
      </c>
      <c r="R1553" t="s">
        <v>1371</v>
      </c>
    </row>
    <row r="1554" spans="1:18" hidden="1" x14ac:dyDescent="0.3">
      <c r="A1554">
        <v>489</v>
      </c>
      <c r="B1554" t="s">
        <v>1373</v>
      </c>
      <c r="C1554" t="s">
        <v>198</v>
      </c>
      <c r="D1554" t="s">
        <v>54</v>
      </c>
      <c r="E1554" t="s">
        <v>22</v>
      </c>
      <c r="F1554" s="79">
        <v>45473</v>
      </c>
      <c r="G1554">
        <v>2024</v>
      </c>
      <c r="H1554" t="s">
        <v>699</v>
      </c>
      <c r="I1554" t="s">
        <v>729</v>
      </c>
      <c r="L1554" s="39"/>
      <c r="M1554" s="39"/>
      <c r="P1554">
        <v>0</v>
      </c>
      <c r="Q1554">
        <v>0</v>
      </c>
      <c r="R1554" t="s">
        <v>3265</v>
      </c>
    </row>
    <row r="1555" spans="1:18" hidden="1" x14ac:dyDescent="0.3">
      <c r="A1555">
        <v>489</v>
      </c>
      <c r="B1555" t="s">
        <v>1373</v>
      </c>
      <c r="C1555" t="s">
        <v>198</v>
      </c>
      <c r="D1555" t="s">
        <v>54</v>
      </c>
      <c r="E1555" t="s">
        <v>22</v>
      </c>
      <c r="F1555" s="79">
        <v>45657</v>
      </c>
      <c r="G1555">
        <v>2024</v>
      </c>
      <c r="H1555" t="s">
        <v>23</v>
      </c>
      <c r="I1555" t="s">
        <v>30</v>
      </c>
      <c r="J1555">
        <v>80</v>
      </c>
      <c r="K1555">
        <v>100</v>
      </c>
      <c r="L1555" s="39">
        <f t="shared" ref="L1555:L1596" si="122">IFERROR(IF(OR(J1555=0,K1555=""),"",IF(E1555="Positivo",MIN(MAX(K1555/J1555,0),1.3),MIN(MAX(J1555/K1555,0),1.3))),"")</f>
        <v>1.25</v>
      </c>
      <c r="M1555" s="39">
        <f t="shared" ref="M1555:M1596" si="123">IFERROR(IF(OR(J1555=0,K1555=""),"",IF(E1555="Positivo",MAX(K1555/J1555,0),MAX(J1555/K1555,0))),"")</f>
        <v>1.25</v>
      </c>
      <c r="P1555">
        <v>0</v>
      </c>
      <c r="Q1555">
        <v>0</v>
      </c>
      <c r="R1555" t="s">
        <v>1374</v>
      </c>
    </row>
    <row r="1556" spans="1:18" hidden="1" x14ac:dyDescent="0.3">
      <c r="A1556">
        <v>490</v>
      </c>
      <c r="B1556" t="s">
        <v>1375</v>
      </c>
      <c r="C1556" t="s">
        <v>567</v>
      </c>
      <c r="D1556" t="s">
        <v>71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80</v>
      </c>
      <c r="K1556">
        <v>88</v>
      </c>
      <c r="L1556" s="39">
        <f t="shared" si="122"/>
        <v>1.1000000000000001</v>
      </c>
      <c r="M1556" s="39">
        <f t="shared" si="123"/>
        <v>1.1000000000000001</v>
      </c>
      <c r="N1556" t="s">
        <v>25</v>
      </c>
      <c r="O1556" t="s">
        <v>25</v>
      </c>
      <c r="P1556">
        <v>0</v>
      </c>
      <c r="Q1556">
        <v>0</v>
      </c>
      <c r="R1556" t="s">
        <v>1376</v>
      </c>
    </row>
    <row r="1557" spans="1:18" hidden="1" x14ac:dyDescent="0.3">
      <c r="A1557">
        <v>490</v>
      </c>
      <c r="B1557" t="s">
        <v>1375</v>
      </c>
      <c r="C1557" t="s">
        <v>567</v>
      </c>
      <c r="D1557" t="s">
        <v>71</v>
      </c>
      <c r="E1557" t="s">
        <v>22</v>
      </c>
      <c r="F1557" s="79">
        <v>46022</v>
      </c>
      <c r="G1557">
        <v>2025</v>
      </c>
      <c r="H1557" t="s">
        <v>23</v>
      </c>
      <c r="I1557" t="s">
        <v>32</v>
      </c>
      <c r="J1557">
        <v>80</v>
      </c>
      <c r="K1557">
        <v>100</v>
      </c>
      <c r="L1557" s="39">
        <f t="shared" si="122"/>
        <v>1.25</v>
      </c>
      <c r="M1557" s="39">
        <f t="shared" si="123"/>
        <v>1.25</v>
      </c>
      <c r="N1557" t="s">
        <v>25</v>
      </c>
      <c r="O1557" t="s">
        <v>25</v>
      </c>
      <c r="P1557">
        <v>0</v>
      </c>
      <c r="Q1557">
        <v>0</v>
      </c>
      <c r="R1557" t="s">
        <v>1377</v>
      </c>
    </row>
    <row r="1558" spans="1:18" hidden="1" x14ac:dyDescent="0.3">
      <c r="A1558">
        <v>491</v>
      </c>
      <c r="B1558" t="s">
        <v>1378</v>
      </c>
      <c r="C1558" t="s">
        <v>511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88</v>
      </c>
      <c r="L1558" s="39">
        <f t="shared" si="122"/>
        <v>1.1000000000000001</v>
      </c>
      <c r="M1558" s="39">
        <f t="shared" si="123"/>
        <v>1.1000000000000001</v>
      </c>
      <c r="P1558">
        <v>0</v>
      </c>
      <c r="Q1558">
        <v>0</v>
      </c>
      <c r="R1558" t="s">
        <v>1379</v>
      </c>
    </row>
    <row r="1559" spans="1:18" hidden="1" x14ac:dyDescent="0.3">
      <c r="A1559">
        <v>491</v>
      </c>
      <c r="B1559" t="s">
        <v>1378</v>
      </c>
      <c r="C1559" t="s">
        <v>511</v>
      </c>
      <c r="D1559" t="s">
        <v>71</v>
      </c>
      <c r="E1559" t="s">
        <v>22</v>
      </c>
      <c r="F1559" s="79">
        <v>46022</v>
      </c>
      <c r="G1559">
        <v>2025</v>
      </c>
      <c r="H1559" t="s">
        <v>23</v>
      </c>
      <c r="I1559" t="s">
        <v>32</v>
      </c>
      <c r="J1559">
        <v>80</v>
      </c>
      <c r="K1559">
        <v>100</v>
      </c>
      <c r="L1559" s="39">
        <f t="shared" si="122"/>
        <v>1.25</v>
      </c>
      <c r="M1559" s="39">
        <f t="shared" si="123"/>
        <v>1.25</v>
      </c>
      <c r="N1559" t="s">
        <v>25</v>
      </c>
      <c r="O1559" t="s">
        <v>25</v>
      </c>
      <c r="P1559">
        <v>0</v>
      </c>
      <c r="Q1559">
        <v>0</v>
      </c>
      <c r="R1559" t="s">
        <v>1380</v>
      </c>
    </row>
    <row r="1560" spans="1:18" hidden="1" x14ac:dyDescent="0.3">
      <c r="A1560">
        <v>492</v>
      </c>
      <c r="B1560" t="s">
        <v>1381</v>
      </c>
      <c r="C1560" t="s">
        <v>554</v>
      </c>
      <c r="D1560" t="s">
        <v>71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83</v>
      </c>
      <c r="L1560" s="39">
        <f t="shared" si="122"/>
        <v>1.0375000000000001</v>
      </c>
      <c r="M1560" s="39">
        <f t="shared" si="123"/>
        <v>1.0375000000000001</v>
      </c>
      <c r="P1560">
        <v>0</v>
      </c>
      <c r="Q1560">
        <v>0</v>
      </c>
      <c r="R1560" t="s">
        <v>1382</v>
      </c>
    </row>
    <row r="1561" spans="1:18" hidden="1" x14ac:dyDescent="0.3">
      <c r="A1561">
        <v>492</v>
      </c>
      <c r="B1561" t="s">
        <v>1381</v>
      </c>
      <c r="C1561" t="s">
        <v>554</v>
      </c>
      <c r="D1561" t="s">
        <v>71</v>
      </c>
      <c r="E1561" t="s">
        <v>22</v>
      </c>
      <c r="F1561" s="79">
        <v>46022</v>
      </c>
      <c r="G1561">
        <v>2025</v>
      </c>
      <c r="H1561" t="s">
        <v>23</v>
      </c>
      <c r="I1561" t="s">
        <v>32</v>
      </c>
      <c r="J1561">
        <v>80</v>
      </c>
      <c r="K1561">
        <v>95</v>
      </c>
      <c r="L1561" s="39">
        <f t="shared" si="122"/>
        <v>1.1875</v>
      </c>
      <c r="M1561" s="39">
        <f t="shared" si="123"/>
        <v>1.1875</v>
      </c>
      <c r="N1561" t="s">
        <v>25</v>
      </c>
      <c r="O1561" t="s">
        <v>25</v>
      </c>
      <c r="P1561">
        <v>0</v>
      </c>
      <c r="Q1561">
        <v>0</v>
      </c>
      <c r="R1561" t="s">
        <v>1383</v>
      </c>
    </row>
    <row r="1562" spans="1:18" hidden="1" x14ac:dyDescent="0.3">
      <c r="A1562">
        <v>493</v>
      </c>
      <c r="B1562" t="s">
        <v>1384</v>
      </c>
      <c r="C1562" t="s">
        <v>595</v>
      </c>
      <c r="D1562" t="s">
        <v>71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80</v>
      </c>
      <c r="K1562">
        <v>81</v>
      </c>
      <c r="L1562" s="39">
        <f t="shared" si="122"/>
        <v>1.0125</v>
      </c>
      <c r="M1562" s="39">
        <f t="shared" si="123"/>
        <v>1.0125</v>
      </c>
      <c r="P1562">
        <v>0</v>
      </c>
      <c r="Q1562">
        <v>0</v>
      </c>
      <c r="R1562" t="s">
        <v>1385</v>
      </c>
    </row>
    <row r="1563" spans="1:18" hidden="1" x14ac:dyDescent="0.3">
      <c r="A1563">
        <v>493</v>
      </c>
      <c r="B1563" t="s">
        <v>1384</v>
      </c>
      <c r="C1563" t="s">
        <v>595</v>
      </c>
      <c r="D1563" t="s">
        <v>71</v>
      </c>
      <c r="E1563" t="s">
        <v>22</v>
      </c>
      <c r="F1563" s="79">
        <v>46022</v>
      </c>
      <c r="G1563">
        <v>2025</v>
      </c>
      <c r="H1563" t="s">
        <v>23</v>
      </c>
      <c r="I1563" t="s">
        <v>32</v>
      </c>
      <c r="J1563">
        <v>80</v>
      </c>
      <c r="K1563">
        <v>77</v>
      </c>
      <c r="L1563" s="39">
        <f t="shared" si="122"/>
        <v>0.96250000000000002</v>
      </c>
      <c r="M1563" s="39">
        <f t="shared" si="123"/>
        <v>0.96250000000000002</v>
      </c>
      <c r="N1563" t="s">
        <v>25</v>
      </c>
      <c r="O1563" t="s">
        <v>25</v>
      </c>
      <c r="P1563">
        <v>0</v>
      </c>
      <c r="Q1563">
        <v>0</v>
      </c>
      <c r="R1563" t="s">
        <v>1386</v>
      </c>
    </row>
    <row r="1564" spans="1:18" hidden="1" x14ac:dyDescent="0.3">
      <c r="A1564">
        <v>494</v>
      </c>
      <c r="B1564" t="s">
        <v>1387</v>
      </c>
      <c r="C1564" t="s">
        <v>739</v>
      </c>
      <c r="D1564" t="s">
        <v>71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89</v>
      </c>
      <c r="L1564" s="39">
        <f t="shared" si="122"/>
        <v>1.1125</v>
      </c>
      <c r="M1564" s="39">
        <f t="shared" si="123"/>
        <v>1.1125</v>
      </c>
      <c r="P1564">
        <v>0</v>
      </c>
      <c r="Q1564">
        <v>0</v>
      </c>
      <c r="R1564" t="s">
        <v>1388</v>
      </c>
    </row>
    <row r="1565" spans="1:18" hidden="1" x14ac:dyDescent="0.3">
      <c r="A1565">
        <v>494</v>
      </c>
      <c r="B1565" t="s">
        <v>1387</v>
      </c>
      <c r="C1565" t="s">
        <v>739</v>
      </c>
      <c r="D1565" t="s">
        <v>71</v>
      </c>
      <c r="E1565" t="s">
        <v>22</v>
      </c>
      <c r="F1565" s="79">
        <v>46022</v>
      </c>
      <c r="G1565">
        <v>2025</v>
      </c>
      <c r="H1565" t="s">
        <v>23</v>
      </c>
      <c r="I1565" t="s">
        <v>32</v>
      </c>
      <c r="J1565">
        <v>80</v>
      </c>
      <c r="K1565">
        <v>93</v>
      </c>
      <c r="L1565" s="39">
        <f t="shared" si="122"/>
        <v>1.1625000000000001</v>
      </c>
      <c r="M1565" s="39">
        <f t="shared" si="123"/>
        <v>1.1625000000000001</v>
      </c>
      <c r="N1565" t="s">
        <v>25</v>
      </c>
      <c r="O1565" t="s">
        <v>25</v>
      </c>
      <c r="P1565">
        <v>0</v>
      </c>
      <c r="Q1565">
        <v>0</v>
      </c>
      <c r="R1565" t="s">
        <v>1389</v>
      </c>
    </row>
    <row r="1566" spans="1:18" hidden="1" x14ac:dyDescent="0.3">
      <c r="A1566">
        <v>495</v>
      </c>
      <c r="B1566" t="s">
        <v>1390</v>
      </c>
      <c r="C1566" t="s">
        <v>901</v>
      </c>
      <c r="D1566" t="s">
        <v>71</v>
      </c>
      <c r="E1566" t="s">
        <v>22</v>
      </c>
      <c r="F1566" s="79">
        <v>45657</v>
      </c>
      <c r="G1566">
        <v>2024</v>
      </c>
      <c r="H1566" t="s">
        <v>23</v>
      </c>
      <c r="I1566" t="s">
        <v>30</v>
      </c>
      <c r="J1566">
        <v>80</v>
      </c>
      <c r="K1566">
        <v>92</v>
      </c>
      <c r="L1566" s="39">
        <f t="shared" si="122"/>
        <v>1.1499999999999999</v>
      </c>
      <c r="M1566" s="39">
        <f t="shared" si="123"/>
        <v>1.1499999999999999</v>
      </c>
      <c r="P1566">
        <v>0</v>
      </c>
      <c r="Q1566">
        <v>0</v>
      </c>
      <c r="R1566" t="s">
        <v>1391</v>
      </c>
    </row>
    <row r="1567" spans="1:18" hidden="1" x14ac:dyDescent="0.3">
      <c r="A1567">
        <v>495</v>
      </c>
      <c r="B1567" t="s">
        <v>1390</v>
      </c>
      <c r="C1567" t="s">
        <v>901</v>
      </c>
      <c r="D1567" t="s">
        <v>71</v>
      </c>
      <c r="E1567" t="s">
        <v>22</v>
      </c>
      <c r="F1567" s="79">
        <v>46022</v>
      </c>
      <c r="G1567">
        <v>2025</v>
      </c>
      <c r="H1567" t="s">
        <v>23</v>
      </c>
      <c r="I1567" t="s">
        <v>32</v>
      </c>
      <c r="J1567">
        <v>80</v>
      </c>
      <c r="K1567">
        <v>63</v>
      </c>
      <c r="L1567" s="39">
        <f t="shared" si="122"/>
        <v>0.78749999999999998</v>
      </c>
      <c r="M1567" s="39">
        <f t="shared" si="123"/>
        <v>0.78749999999999998</v>
      </c>
      <c r="N1567" t="s">
        <v>25</v>
      </c>
      <c r="O1567" t="s">
        <v>25</v>
      </c>
      <c r="P1567">
        <v>0</v>
      </c>
      <c r="Q1567">
        <v>0</v>
      </c>
      <c r="R1567" t="s">
        <v>1392</v>
      </c>
    </row>
    <row r="1568" spans="1:18" hidden="1" x14ac:dyDescent="0.3">
      <c r="A1568">
        <v>496</v>
      </c>
      <c r="B1568" t="s">
        <v>1393</v>
      </c>
      <c r="C1568" t="s">
        <v>159</v>
      </c>
      <c r="D1568" t="s">
        <v>71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88</v>
      </c>
      <c r="L1568" s="39">
        <f t="shared" si="122"/>
        <v>1.1000000000000001</v>
      </c>
      <c r="M1568" s="39">
        <f t="shared" si="123"/>
        <v>1.1000000000000001</v>
      </c>
      <c r="P1568">
        <v>0</v>
      </c>
      <c r="Q1568">
        <v>0</v>
      </c>
      <c r="R1568" t="s">
        <v>1394</v>
      </c>
    </row>
    <row r="1569" spans="1:19" hidden="1" x14ac:dyDescent="0.3">
      <c r="A1569">
        <v>496</v>
      </c>
      <c r="B1569" t="s">
        <v>1393</v>
      </c>
      <c r="C1569" t="s">
        <v>159</v>
      </c>
      <c r="D1569" t="s">
        <v>71</v>
      </c>
      <c r="E1569" t="s">
        <v>22</v>
      </c>
      <c r="F1569" s="79">
        <v>46022</v>
      </c>
      <c r="G1569">
        <v>2025</v>
      </c>
      <c r="H1569" t="s">
        <v>23</v>
      </c>
      <c r="I1569" t="s">
        <v>32</v>
      </c>
      <c r="J1569">
        <v>80</v>
      </c>
      <c r="K1569">
        <v>100</v>
      </c>
      <c r="L1569" s="39">
        <f t="shared" si="122"/>
        <v>1.25</v>
      </c>
      <c r="M1569" s="39">
        <f t="shared" si="123"/>
        <v>1.25</v>
      </c>
      <c r="N1569" t="s">
        <v>25</v>
      </c>
      <c r="O1569" t="s">
        <v>25</v>
      </c>
      <c r="P1569">
        <v>0</v>
      </c>
      <c r="Q1569">
        <v>0</v>
      </c>
      <c r="R1569" t="s">
        <v>1395</v>
      </c>
    </row>
    <row r="1570" spans="1:19" hidden="1" x14ac:dyDescent="0.3">
      <c r="A1570">
        <v>497</v>
      </c>
      <c r="B1570" t="s">
        <v>1396</v>
      </c>
      <c r="C1570" t="s">
        <v>927</v>
      </c>
      <c r="D1570" t="s">
        <v>71</v>
      </c>
      <c r="E1570" t="s">
        <v>22</v>
      </c>
      <c r="F1570" s="79">
        <v>45657</v>
      </c>
      <c r="G1570">
        <v>2024</v>
      </c>
      <c r="H1570" t="s">
        <v>23</v>
      </c>
      <c r="I1570" t="s">
        <v>30</v>
      </c>
      <c r="J1570">
        <v>80</v>
      </c>
      <c r="K1570">
        <v>83</v>
      </c>
      <c r="L1570" s="39">
        <f t="shared" si="122"/>
        <v>1.0375000000000001</v>
      </c>
      <c r="M1570" s="39">
        <f t="shared" si="123"/>
        <v>1.0375000000000001</v>
      </c>
      <c r="P1570">
        <v>0</v>
      </c>
      <c r="Q1570">
        <v>0</v>
      </c>
      <c r="R1570" t="s">
        <v>1397</v>
      </c>
    </row>
    <row r="1571" spans="1:19" hidden="1" x14ac:dyDescent="0.3">
      <c r="A1571">
        <v>498</v>
      </c>
      <c r="B1571" t="s">
        <v>1398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1399</v>
      </c>
    </row>
    <row r="1572" spans="1:19" hidden="1" x14ac:dyDescent="0.3">
      <c r="A1572">
        <v>498</v>
      </c>
      <c r="B1572" t="s">
        <v>1398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95</v>
      </c>
      <c r="L1572" s="39">
        <f t="shared" si="122"/>
        <v>1.1875</v>
      </c>
      <c r="M1572" s="39">
        <f t="shared" si="123"/>
        <v>1.1875</v>
      </c>
      <c r="N1572" t="s">
        <v>25</v>
      </c>
      <c r="O1572" t="s">
        <v>25</v>
      </c>
      <c r="P1572">
        <v>0</v>
      </c>
      <c r="Q1572">
        <v>0</v>
      </c>
      <c r="R1572" t="s">
        <v>1400</v>
      </c>
    </row>
    <row r="1573" spans="1:19" hidden="1" x14ac:dyDescent="0.3">
      <c r="A1573">
        <v>499</v>
      </c>
      <c r="B1573" t="s">
        <v>1401</v>
      </c>
      <c r="C1573" t="s">
        <v>922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87</v>
      </c>
      <c r="L1573" s="39">
        <f t="shared" si="122"/>
        <v>1.0874999999999999</v>
      </c>
      <c r="M1573" s="39">
        <f t="shared" si="123"/>
        <v>1.0874999999999999</v>
      </c>
      <c r="P1573">
        <v>0</v>
      </c>
      <c r="Q1573">
        <v>0</v>
      </c>
      <c r="R1573" t="s">
        <v>1402</v>
      </c>
    </row>
    <row r="1574" spans="1:19" hidden="1" x14ac:dyDescent="0.3">
      <c r="A1574">
        <v>499</v>
      </c>
      <c r="B1574" t="s">
        <v>1401</v>
      </c>
      <c r="C1574" t="s">
        <v>922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L1574" s="39" t="str">
        <f t="shared" si="122"/>
        <v/>
      </c>
      <c r="M1574" s="39" t="str">
        <f t="shared" si="123"/>
        <v/>
      </c>
      <c r="N1574" t="s">
        <v>25</v>
      </c>
      <c r="O1574" t="s">
        <v>25</v>
      </c>
      <c r="P1574">
        <v>0</v>
      </c>
      <c r="Q1574">
        <v>0</v>
      </c>
      <c r="R1574" t="s">
        <v>1403</v>
      </c>
      <c r="S1574" t="s">
        <v>302</v>
      </c>
    </row>
    <row r="1575" spans="1:19" hidden="1" x14ac:dyDescent="0.3">
      <c r="A1575">
        <v>500</v>
      </c>
      <c r="B1575" t="s">
        <v>1404</v>
      </c>
      <c r="C1575" t="s">
        <v>753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89</v>
      </c>
      <c r="L1575" s="39">
        <f t="shared" si="122"/>
        <v>1.1125</v>
      </c>
      <c r="M1575" s="39">
        <f t="shared" si="123"/>
        <v>1.1125</v>
      </c>
      <c r="P1575">
        <v>0</v>
      </c>
      <c r="Q1575">
        <v>0</v>
      </c>
      <c r="R1575" t="s">
        <v>1405</v>
      </c>
    </row>
    <row r="1576" spans="1:19" hidden="1" x14ac:dyDescent="0.3">
      <c r="A1576">
        <v>500</v>
      </c>
      <c r="B1576" t="s">
        <v>1404</v>
      </c>
      <c r="C1576" t="s">
        <v>753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80</v>
      </c>
      <c r="K1576">
        <v>100</v>
      </c>
      <c r="L1576" s="39">
        <f t="shared" si="122"/>
        <v>1.25</v>
      </c>
      <c r="M1576" s="39">
        <f t="shared" si="123"/>
        <v>1.25</v>
      </c>
      <c r="N1576" t="s">
        <v>25</v>
      </c>
      <c r="O1576" t="s">
        <v>25</v>
      </c>
      <c r="P1576">
        <v>0</v>
      </c>
      <c r="Q1576">
        <v>0</v>
      </c>
      <c r="R1576" t="s">
        <v>1406</v>
      </c>
    </row>
    <row r="1577" spans="1:19" hidden="1" x14ac:dyDescent="0.3">
      <c r="A1577">
        <v>501</v>
      </c>
      <c r="B1577" t="s">
        <v>1407</v>
      </c>
      <c r="C1577" t="s">
        <v>549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88</v>
      </c>
      <c r="L1577" s="39">
        <f t="shared" si="122"/>
        <v>1.1000000000000001</v>
      </c>
      <c r="M1577" s="39">
        <f t="shared" si="123"/>
        <v>1.1000000000000001</v>
      </c>
      <c r="P1577">
        <v>0</v>
      </c>
      <c r="Q1577">
        <v>0</v>
      </c>
      <c r="R1577" t="s">
        <v>1408</v>
      </c>
    </row>
    <row r="1578" spans="1:19" hidden="1" x14ac:dyDescent="0.3">
      <c r="A1578">
        <v>501</v>
      </c>
      <c r="B1578" t="s">
        <v>1407</v>
      </c>
      <c r="C1578" t="s">
        <v>549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100</v>
      </c>
      <c r="L1578" s="39">
        <f t="shared" si="122"/>
        <v>1.25</v>
      </c>
      <c r="M1578" s="39">
        <f t="shared" si="123"/>
        <v>1.25</v>
      </c>
      <c r="N1578" t="s">
        <v>25</v>
      </c>
      <c r="O1578" t="s">
        <v>25</v>
      </c>
      <c r="P1578">
        <v>0</v>
      </c>
      <c r="Q1578">
        <v>0</v>
      </c>
      <c r="R1578" t="s">
        <v>1409</v>
      </c>
    </row>
    <row r="1579" spans="1:19" hidden="1" x14ac:dyDescent="0.3">
      <c r="A1579">
        <v>502</v>
      </c>
      <c r="B1579" t="s">
        <v>1410</v>
      </c>
      <c r="C1579" t="s">
        <v>274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90</v>
      </c>
      <c r="L1579" s="39">
        <f t="shared" si="122"/>
        <v>1.125</v>
      </c>
      <c r="M1579" s="39">
        <f t="shared" si="123"/>
        <v>1.125</v>
      </c>
      <c r="P1579">
        <v>0</v>
      </c>
      <c r="Q1579">
        <v>0</v>
      </c>
      <c r="R1579" t="s">
        <v>1411</v>
      </c>
    </row>
    <row r="1580" spans="1:19" hidden="1" x14ac:dyDescent="0.3">
      <c r="A1580">
        <v>502</v>
      </c>
      <c r="B1580" t="s">
        <v>1410</v>
      </c>
      <c r="C1580" t="s">
        <v>274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97</v>
      </c>
      <c r="L1580" s="39">
        <f t="shared" si="122"/>
        <v>1.2124999999999999</v>
      </c>
      <c r="M1580" s="39">
        <f t="shared" si="123"/>
        <v>1.2124999999999999</v>
      </c>
      <c r="N1580" t="s">
        <v>25</v>
      </c>
      <c r="O1580" t="s">
        <v>25</v>
      </c>
      <c r="P1580">
        <v>0</v>
      </c>
      <c r="Q1580">
        <v>0</v>
      </c>
      <c r="R1580" t="s">
        <v>1412</v>
      </c>
    </row>
    <row r="1581" spans="1:19" hidden="1" x14ac:dyDescent="0.3">
      <c r="A1581">
        <v>503</v>
      </c>
      <c r="B1581" t="s">
        <v>1413</v>
      </c>
      <c r="C1581" t="s">
        <v>1059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86</v>
      </c>
      <c r="L1581" s="39">
        <f t="shared" si="122"/>
        <v>1.075</v>
      </c>
      <c r="M1581" s="39">
        <f t="shared" si="123"/>
        <v>1.075</v>
      </c>
      <c r="P1581">
        <v>0</v>
      </c>
      <c r="Q1581">
        <v>0</v>
      </c>
      <c r="R1581" t="s">
        <v>1414</v>
      </c>
    </row>
    <row r="1582" spans="1:19" hidden="1" x14ac:dyDescent="0.3">
      <c r="A1582">
        <v>503</v>
      </c>
      <c r="B1582" t="s">
        <v>1413</v>
      </c>
      <c r="C1582" t="s">
        <v>1059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94</v>
      </c>
      <c r="L1582" s="39">
        <f t="shared" si="122"/>
        <v>1.175</v>
      </c>
      <c r="M1582" s="39">
        <f t="shared" si="123"/>
        <v>1.175</v>
      </c>
      <c r="N1582" t="s">
        <v>25</v>
      </c>
      <c r="O1582" t="s">
        <v>25</v>
      </c>
      <c r="P1582">
        <v>0</v>
      </c>
      <c r="Q1582">
        <v>0</v>
      </c>
      <c r="R1582" t="s">
        <v>1415</v>
      </c>
    </row>
    <row r="1583" spans="1:19" hidden="1" x14ac:dyDescent="0.3">
      <c r="A1583">
        <v>504</v>
      </c>
      <c r="B1583" t="s">
        <v>1416</v>
      </c>
      <c r="C1583" t="s">
        <v>1110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88</v>
      </c>
      <c r="L1583" s="39">
        <f t="shared" si="122"/>
        <v>1.1000000000000001</v>
      </c>
      <c r="M1583" s="39">
        <f t="shared" si="123"/>
        <v>1.1000000000000001</v>
      </c>
      <c r="P1583">
        <v>0</v>
      </c>
      <c r="Q1583">
        <v>0</v>
      </c>
      <c r="R1583" t="s">
        <v>1417</v>
      </c>
    </row>
    <row r="1584" spans="1:19" hidden="1" x14ac:dyDescent="0.3">
      <c r="A1584">
        <v>504</v>
      </c>
      <c r="B1584" t="s">
        <v>1416</v>
      </c>
      <c r="C1584" t="s">
        <v>1110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88</v>
      </c>
      <c r="L1584" s="39">
        <f t="shared" si="122"/>
        <v>1.1000000000000001</v>
      </c>
      <c r="M1584" s="39">
        <f t="shared" si="123"/>
        <v>1.1000000000000001</v>
      </c>
      <c r="N1584" t="s">
        <v>25</v>
      </c>
      <c r="O1584" t="s">
        <v>25</v>
      </c>
      <c r="P1584">
        <v>0</v>
      </c>
      <c r="Q1584">
        <v>0</v>
      </c>
      <c r="R1584" t="s">
        <v>1418</v>
      </c>
    </row>
    <row r="1585" spans="1:18" hidden="1" x14ac:dyDescent="0.3">
      <c r="A1585">
        <v>505</v>
      </c>
      <c r="B1585" t="s">
        <v>1419</v>
      </c>
      <c r="C1585" t="s">
        <v>1183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85</v>
      </c>
      <c r="L1585" s="39">
        <f t="shared" si="122"/>
        <v>1.0625</v>
      </c>
      <c r="M1585" s="39">
        <f t="shared" si="123"/>
        <v>1.0625</v>
      </c>
      <c r="P1585">
        <v>0</v>
      </c>
      <c r="Q1585">
        <v>0</v>
      </c>
      <c r="R1585" t="s">
        <v>1420</v>
      </c>
    </row>
    <row r="1586" spans="1:18" hidden="1" x14ac:dyDescent="0.3">
      <c r="A1586">
        <v>505</v>
      </c>
      <c r="B1586" t="s">
        <v>1419</v>
      </c>
      <c r="C1586" t="s">
        <v>1183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N1586" t="s">
        <v>25</v>
      </c>
      <c r="O1586" t="s">
        <v>25</v>
      </c>
      <c r="P1586">
        <v>0</v>
      </c>
      <c r="Q1586">
        <v>0</v>
      </c>
      <c r="R1586" t="s">
        <v>1421</v>
      </c>
    </row>
    <row r="1587" spans="1:18" hidden="1" x14ac:dyDescent="0.3">
      <c r="A1587">
        <v>506</v>
      </c>
      <c r="B1587" t="s">
        <v>1422</v>
      </c>
      <c r="C1587" t="s">
        <v>941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67</v>
      </c>
      <c r="L1587" s="39">
        <f t="shared" si="122"/>
        <v>0.83750000000000002</v>
      </c>
      <c r="M1587" s="39">
        <f t="shared" si="123"/>
        <v>0.83750000000000002</v>
      </c>
      <c r="P1587">
        <v>0</v>
      </c>
      <c r="Q1587">
        <v>0</v>
      </c>
      <c r="R1587" t="s">
        <v>1423</v>
      </c>
    </row>
    <row r="1588" spans="1:18" hidden="1" x14ac:dyDescent="0.3">
      <c r="A1588">
        <v>506</v>
      </c>
      <c r="B1588" t="s">
        <v>1422</v>
      </c>
      <c r="C1588" t="s">
        <v>941</v>
      </c>
      <c r="D1588" t="s">
        <v>21</v>
      </c>
      <c r="E1588" t="s">
        <v>22</v>
      </c>
      <c r="F1588" s="79">
        <v>45838</v>
      </c>
      <c r="G1588">
        <v>2025</v>
      </c>
      <c r="H1588" t="s">
        <v>699</v>
      </c>
      <c r="I1588" t="s">
        <v>700</v>
      </c>
      <c r="J1588">
        <v>80</v>
      </c>
      <c r="K1588">
        <v>95</v>
      </c>
      <c r="L1588" s="39">
        <f t="shared" si="122"/>
        <v>1.1875</v>
      </c>
      <c r="M1588" s="39">
        <f t="shared" si="123"/>
        <v>1.1875</v>
      </c>
      <c r="N1588" t="s">
        <v>25</v>
      </c>
      <c r="O1588" t="s">
        <v>25</v>
      </c>
      <c r="P1588">
        <v>0</v>
      </c>
      <c r="Q1588">
        <v>0</v>
      </c>
      <c r="R1588" t="s">
        <v>3189</v>
      </c>
    </row>
    <row r="1589" spans="1:18" hidden="1" x14ac:dyDescent="0.3">
      <c r="A1589">
        <v>506</v>
      </c>
      <c r="B1589" t="s">
        <v>1422</v>
      </c>
      <c r="C1589" t="s">
        <v>941</v>
      </c>
      <c r="D1589" t="s">
        <v>21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92.5</v>
      </c>
      <c r="L1589" s="39">
        <f t="shared" si="122"/>
        <v>1.15625</v>
      </c>
      <c r="M1589" s="39">
        <f t="shared" si="123"/>
        <v>1.15625</v>
      </c>
      <c r="N1589" t="s">
        <v>25</v>
      </c>
      <c r="O1589" t="s">
        <v>25</v>
      </c>
      <c r="P1589">
        <v>0</v>
      </c>
      <c r="Q1589">
        <v>0</v>
      </c>
      <c r="R1589" t="s">
        <v>1424</v>
      </c>
    </row>
    <row r="1590" spans="1:18" hidden="1" x14ac:dyDescent="0.3">
      <c r="A1590">
        <v>507</v>
      </c>
      <c r="B1590" t="s">
        <v>1425</v>
      </c>
      <c r="C1590" t="s">
        <v>711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77</v>
      </c>
      <c r="L1590" s="39">
        <f t="shared" si="122"/>
        <v>0.96250000000000002</v>
      </c>
      <c r="M1590" s="39">
        <f t="shared" si="123"/>
        <v>0.96250000000000002</v>
      </c>
      <c r="P1590">
        <v>0</v>
      </c>
      <c r="Q1590">
        <v>0</v>
      </c>
      <c r="R1590" t="s">
        <v>1426</v>
      </c>
    </row>
    <row r="1591" spans="1:18" hidden="1" x14ac:dyDescent="0.3">
      <c r="A1591">
        <v>507</v>
      </c>
      <c r="B1591" t="s">
        <v>1425</v>
      </c>
      <c r="C1591" t="s">
        <v>711</v>
      </c>
      <c r="D1591" t="s">
        <v>21</v>
      </c>
      <c r="E1591" t="s">
        <v>22</v>
      </c>
      <c r="F1591" s="79">
        <v>45838</v>
      </c>
      <c r="G1591">
        <v>2025</v>
      </c>
      <c r="H1591" t="s">
        <v>699</v>
      </c>
      <c r="I1591" t="s">
        <v>700</v>
      </c>
      <c r="J1591">
        <v>80</v>
      </c>
      <c r="K1591">
        <v>98.75</v>
      </c>
      <c r="L1591" s="39">
        <f t="shared" si="122"/>
        <v>1.234375</v>
      </c>
      <c r="M1591" s="39">
        <f t="shared" si="123"/>
        <v>1.234375</v>
      </c>
      <c r="N1591" t="s">
        <v>25</v>
      </c>
      <c r="O1591" t="s">
        <v>25</v>
      </c>
      <c r="P1591">
        <v>0</v>
      </c>
      <c r="Q1591">
        <v>0</v>
      </c>
      <c r="R1591" t="s">
        <v>3190</v>
      </c>
    </row>
    <row r="1592" spans="1:18" hidden="1" x14ac:dyDescent="0.3">
      <c r="A1592">
        <v>507</v>
      </c>
      <c r="B1592" t="s">
        <v>1425</v>
      </c>
      <c r="C1592" t="s">
        <v>711</v>
      </c>
      <c r="D1592" t="s">
        <v>21</v>
      </c>
      <c r="E1592" t="s">
        <v>22</v>
      </c>
      <c r="F1592" s="79">
        <v>46022</v>
      </c>
      <c r="G1592">
        <v>2025</v>
      </c>
      <c r="H1592" t="s">
        <v>23</v>
      </c>
      <c r="I1592" t="s">
        <v>32</v>
      </c>
      <c r="J1592">
        <v>80</v>
      </c>
      <c r="K1592">
        <v>99</v>
      </c>
      <c r="L1592" s="39">
        <f t="shared" si="122"/>
        <v>1.2375</v>
      </c>
      <c r="M1592" s="39">
        <f t="shared" si="123"/>
        <v>1.2375</v>
      </c>
      <c r="N1592" t="s">
        <v>25</v>
      </c>
      <c r="O1592" t="s">
        <v>25</v>
      </c>
      <c r="P1592">
        <v>0</v>
      </c>
      <c r="Q1592">
        <v>0</v>
      </c>
      <c r="R1592" t="s">
        <v>1427</v>
      </c>
    </row>
    <row r="1593" spans="1:18" hidden="1" x14ac:dyDescent="0.3">
      <c r="A1593">
        <v>508</v>
      </c>
      <c r="B1593" t="s">
        <v>1428</v>
      </c>
      <c r="C1593" t="s">
        <v>1089</v>
      </c>
      <c r="D1593" t="s">
        <v>71</v>
      </c>
      <c r="E1593" t="s">
        <v>22</v>
      </c>
      <c r="F1593" s="79">
        <v>45657</v>
      </c>
      <c r="G1593">
        <v>2024</v>
      </c>
      <c r="H1593" t="s">
        <v>23</v>
      </c>
      <c r="I1593" t="s">
        <v>30</v>
      </c>
      <c r="J1593">
        <v>80</v>
      </c>
      <c r="K1593">
        <v>88</v>
      </c>
      <c r="L1593" s="39">
        <f t="shared" si="122"/>
        <v>1.1000000000000001</v>
      </c>
      <c r="M1593" s="39">
        <f t="shared" si="123"/>
        <v>1.1000000000000001</v>
      </c>
      <c r="P1593">
        <v>0</v>
      </c>
      <c r="Q1593">
        <v>0</v>
      </c>
      <c r="R1593" t="s">
        <v>1429</v>
      </c>
    </row>
    <row r="1594" spans="1:18" hidden="1" x14ac:dyDescent="0.3">
      <c r="A1594">
        <v>508</v>
      </c>
      <c r="B1594" t="s">
        <v>1428</v>
      </c>
      <c r="C1594" t="s">
        <v>1089</v>
      </c>
      <c r="D1594" t="s">
        <v>71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89</v>
      </c>
      <c r="L1594" s="39">
        <f t="shared" si="122"/>
        <v>1.1125</v>
      </c>
      <c r="M1594" s="39">
        <f t="shared" si="123"/>
        <v>1.1125</v>
      </c>
      <c r="N1594" t="s">
        <v>25</v>
      </c>
      <c r="O1594" t="s">
        <v>25</v>
      </c>
      <c r="P1594">
        <v>0</v>
      </c>
      <c r="Q1594">
        <v>0</v>
      </c>
      <c r="R1594" t="s">
        <v>1430</v>
      </c>
    </row>
    <row r="1595" spans="1:18" hidden="1" x14ac:dyDescent="0.3">
      <c r="A1595">
        <v>509</v>
      </c>
      <c r="B1595" t="s">
        <v>1431</v>
      </c>
      <c r="C1595" t="s">
        <v>511</v>
      </c>
      <c r="D1595" t="s">
        <v>54</v>
      </c>
      <c r="E1595" t="s">
        <v>22</v>
      </c>
      <c r="F1595" s="79">
        <v>45838</v>
      </c>
      <c r="G1595">
        <v>2025</v>
      </c>
      <c r="H1595" t="s">
        <v>699</v>
      </c>
      <c r="I1595" t="s">
        <v>700</v>
      </c>
      <c r="J1595">
        <v>90</v>
      </c>
      <c r="K1595">
        <v>100.59</v>
      </c>
      <c r="L1595" s="39">
        <f t="shared" si="122"/>
        <v>1.1176666666666668</v>
      </c>
      <c r="M1595" s="39">
        <f t="shared" si="123"/>
        <v>1.1176666666666668</v>
      </c>
      <c r="N1595" t="s">
        <v>25</v>
      </c>
      <c r="O1595" t="s">
        <v>25</v>
      </c>
      <c r="P1595">
        <v>0</v>
      </c>
      <c r="Q1595">
        <v>0</v>
      </c>
      <c r="R1595" t="s">
        <v>3196</v>
      </c>
    </row>
    <row r="1596" spans="1:18" hidden="1" x14ac:dyDescent="0.3">
      <c r="A1596">
        <v>509</v>
      </c>
      <c r="B1596" t="s">
        <v>1431</v>
      </c>
      <c r="C1596" t="s">
        <v>511</v>
      </c>
      <c r="D1596" t="s">
        <v>54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90</v>
      </c>
      <c r="K1596">
        <v>97.33</v>
      </c>
      <c r="L1596" s="39">
        <f t="shared" si="122"/>
        <v>1.0814444444444444</v>
      </c>
      <c r="M1596" s="39">
        <f t="shared" si="123"/>
        <v>1.0814444444444444</v>
      </c>
      <c r="N1596" t="s">
        <v>25</v>
      </c>
      <c r="O1596" t="s">
        <v>25</v>
      </c>
      <c r="P1596">
        <v>0</v>
      </c>
      <c r="Q1596">
        <v>0</v>
      </c>
      <c r="R1596" t="s">
        <v>1432</v>
      </c>
    </row>
    <row r="1597" spans="1:18" hidden="1" x14ac:dyDescent="0.3">
      <c r="A1597">
        <v>510</v>
      </c>
      <c r="B1597" t="s">
        <v>1433</v>
      </c>
      <c r="C1597" t="s">
        <v>732</v>
      </c>
      <c r="D1597" t="s">
        <v>27</v>
      </c>
      <c r="E1597" t="s">
        <v>22</v>
      </c>
      <c r="F1597" s="79">
        <v>45838</v>
      </c>
      <c r="G1597">
        <v>2025</v>
      </c>
      <c r="H1597" t="s">
        <v>699</v>
      </c>
      <c r="I1597" t="s">
        <v>700</v>
      </c>
      <c r="K1597">
        <v>0</v>
      </c>
      <c r="L1597" s="39"/>
      <c r="M1597" s="39"/>
      <c r="N1597" t="s">
        <v>355</v>
      </c>
      <c r="O1597" t="s">
        <v>25</v>
      </c>
      <c r="P1597">
        <v>0</v>
      </c>
      <c r="Q1597">
        <v>0</v>
      </c>
      <c r="R1597" t="s">
        <v>3203</v>
      </c>
    </row>
    <row r="1598" spans="1:18" hidden="1" x14ac:dyDescent="0.3">
      <c r="A1598">
        <v>510</v>
      </c>
      <c r="B1598" t="s">
        <v>1433</v>
      </c>
      <c r="C1598" t="s">
        <v>732</v>
      </c>
      <c r="D1598" t="s">
        <v>27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K1598">
        <v>0</v>
      </c>
      <c r="L1598" s="39"/>
      <c r="M1598" s="39"/>
      <c r="N1598" t="s">
        <v>355</v>
      </c>
      <c r="O1598" t="s">
        <v>25</v>
      </c>
      <c r="P1598">
        <v>0</v>
      </c>
      <c r="Q1598">
        <v>0</v>
      </c>
      <c r="R1598" t="s">
        <v>1434</v>
      </c>
    </row>
    <row r="1599" spans="1:18" hidden="1" x14ac:dyDescent="0.3">
      <c r="A1599">
        <v>511</v>
      </c>
      <c r="B1599" t="s">
        <v>1435</v>
      </c>
      <c r="C1599" t="s">
        <v>732</v>
      </c>
      <c r="D1599" t="s">
        <v>27</v>
      </c>
      <c r="E1599" t="s">
        <v>22</v>
      </c>
      <c r="F1599" s="79">
        <v>45838</v>
      </c>
      <c r="G1599">
        <v>2025</v>
      </c>
      <c r="H1599" t="s">
        <v>699</v>
      </c>
      <c r="I1599" t="s">
        <v>700</v>
      </c>
      <c r="K1599">
        <v>86.36</v>
      </c>
      <c r="L1599" s="39"/>
      <c r="M1599" s="39"/>
      <c r="N1599" t="s">
        <v>355</v>
      </c>
      <c r="O1599" t="s">
        <v>25</v>
      </c>
      <c r="P1599">
        <v>0</v>
      </c>
      <c r="Q1599">
        <v>0</v>
      </c>
      <c r="R1599" t="s">
        <v>3206</v>
      </c>
    </row>
    <row r="1600" spans="1:18" hidden="1" x14ac:dyDescent="0.3">
      <c r="A1600">
        <v>511</v>
      </c>
      <c r="B1600" t="s">
        <v>1435</v>
      </c>
      <c r="C1600" t="s">
        <v>732</v>
      </c>
      <c r="D1600" t="s">
        <v>27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K1600">
        <v>171.12</v>
      </c>
      <c r="L1600" s="39"/>
      <c r="M1600" s="39"/>
      <c r="N1600" t="s">
        <v>355</v>
      </c>
      <c r="O1600" t="s">
        <v>25</v>
      </c>
      <c r="P1600">
        <v>0</v>
      </c>
      <c r="Q1600">
        <v>0</v>
      </c>
      <c r="R1600" t="s">
        <v>1436</v>
      </c>
    </row>
    <row r="1601" spans="1:19" hidden="1" x14ac:dyDescent="0.3">
      <c r="A1601">
        <v>513</v>
      </c>
      <c r="B1601" t="s">
        <v>1437</v>
      </c>
      <c r="C1601" t="s">
        <v>732</v>
      </c>
      <c r="D1601" t="s">
        <v>27</v>
      </c>
      <c r="E1601" t="s">
        <v>22</v>
      </c>
      <c r="F1601" s="79">
        <v>45838</v>
      </c>
      <c r="G1601">
        <v>2025</v>
      </c>
      <c r="H1601" t="s">
        <v>699</v>
      </c>
      <c r="I1601" t="s">
        <v>700</v>
      </c>
      <c r="K1601">
        <v>100</v>
      </c>
      <c r="L1601" s="39"/>
      <c r="M1601" s="39"/>
      <c r="N1601" t="s">
        <v>355</v>
      </c>
      <c r="O1601" t="s">
        <v>25</v>
      </c>
      <c r="P1601">
        <v>0</v>
      </c>
      <c r="Q1601">
        <v>0</v>
      </c>
      <c r="R1601" t="s">
        <v>3209</v>
      </c>
    </row>
    <row r="1602" spans="1:19" hidden="1" x14ac:dyDescent="0.3">
      <c r="A1602">
        <v>514</v>
      </c>
      <c r="B1602" t="s">
        <v>1439</v>
      </c>
      <c r="C1602" t="s">
        <v>732</v>
      </c>
      <c r="D1602" t="s">
        <v>21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J1602">
        <v>70</v>
      </c>
      <c r="K1602">
        <v>91.82</v>
      </c>
      <c r="L1602" s="39">
        <f>IFERROR(IF(OR(J1602=0,K1602=""),"",IF(E1602="Positivo",MIN(MAX(K1602/J1602,0),1.3),MIN(MAX(J1602/K1602,0),1.3))),"")</f>
        <v>1.3</v>
      </c>
      <c r="M1602" s="39">
        <f>IFERROR(IF(OR(J1602=0,K1602=""),"",IF(E1602="Positivo",MAX(K1602/J1602,0),MAX(J1602/K1602,0))),"")</f>
        <v>1.3117142857142856</v>
      </c>
      <c r="N1602" t="s">
        <v>25</v>
      </c>
      <c r="O1602" t="s">
        <v>25</v>
      </c>
      <c r="P1602">
        <v>0</v>
      </c>
      <c r="Q1602">
        <v>0</v>
      </c>
      <c r="R1602" t="s">
        <v>3211</v>
      </c>
    </row>
    <row r="1603" spans="1:19" hidden="1" x14ac:dyDescent="0.3">
      <c r="A1603">
        <v>514</v>
      </c>
      <c r="B1603" t="s">
        <v>1439</v>
      </c>
      <c r="C1603" t="s">
        <v>732</v>
      </c>
      <c r="D1603" t="s">
        <v>21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J1603">
        <v>70</v>
      </c>
      <c r="K1603">
        <v>45.96</v>
      </c>
      <c r="L1603" s="39">
        <f>IFERROR(IF(OR(J1603=0,K1603=""),"",IF(E1603="Positivo",MIN(MAX(K1603/J1603,0),1.3),MIN(MAX(J1603/K1603,0),1.3))),"")</f>
        <v>0.65657142857142858</v>
      </c>
      <c r="M1603" s="39">
        <f>IFERROR(IF(OR(J1603=0,K1603=""),"",IF(E1603="Positivo",MAX(K1603/J1603,0),MAX(J1603/K1603,0))),"")</f>
        <v>0.65657142857142858</v>
      </c>
      <c r="N1603" t="s">
        <v>25</v>
      </c>
      <c r="O1603" t="s">
        <v>25</v>
      </c>
      <c r="P1603">
        <v>0</v>
      </c>
      <c r="Q1603">
        <v>0</v>
      </c>
      <c r="R1603" t="s">
        <v>1440</v>
      </c>
    </row>
    <row r="1604" spans="1:19" hidden="1" x14ac:dyDescent="0.3">
      <c r="A1604">
        <v>515</v>
      </c>
      <c r="B1604" t="s">
        <v>1441</v>
      </c>
      <c r="C1604" t="s">
        <v>53</v>
      </c>
      <c r="D1604" t="s">
        <v>21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K1604">
        <v>66.67</v>
      </c>
      <c r="L1604" s="39"/>
      <c r="M1604" s="39"/>
      <c r="N1604" t="s">
        <v>25</v>
      </c>
      <c r="O1604" t="s">
        <v>25</v>
      </c>
      <c r="P1604">
        <v>0</v>
      </c>
      <c r="Q1604">
        <v>0</v>
      </c>
      <c r="R1604" t="s">
        <v>1442</v>
      </c>
    </row>
    <row r="1605" spans="1:19" hidden="1" x14ac:dyDescent="0.3">
      <c r="A1605">
        <v>516</v>
      </c>
      <c r="B1605" t="s">
        <v>1443</v>
      </c>
      <c r="C1605" t="s">
        <v>53</v>
      </c>
      <c r="D1605" t="s">
        <v>21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315.79000000000002</v>
      </c>
      <c r="L1605" s="39"/>
      <c r="M1605" s="39"/>
      <c r="N1605" t="s">
        <v>25</v>
      </c>
      <c r="O1605" t="s">
        <v>25</v>
      </c>
      <c r="P1605">
        <v>0</v>
      </c>
      <c r="Q1605">
        <v>0</v>
      </c>
      <c r="R1605" t="s">
        <v>1444</v>
      </c>
    </row>
    <row r="1606" spans="1:19" hidden="1" x14ac:dyDescent="0.3">
      <c r="A1606">
        <v>518</v>
      </c>
      <c r="B1606" t="s">
        <v>62</v>
      </c>
      <c r="C1606" t="s">
        <v>63</v>
      </c>
      <c r="D1606" t="s">
        <v>64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J1606">
        <v>100</v>
      </c>
      <c r="K1606">
        <v>87.5</v>
      </c>
      <c r="L1606" s="39">
        <f t="shared" ref="L1606:L1638" si="124">IFERROR(IF(OR(J1606=0,K1606=""),"",IF(E1606="Positivo",MIN(MAX(K1606/J1606,0),1.3),MIN(MAX(J1606/K1606,0),1.3))),"")</f>
        <v>0.875</v>
      </c>
      <c r="M1606" s="39">
        <f t="shared" ref="M1606:M1638" si="125">IFERROR(IF(OR(J1606=0,K1606=""),"",IF(E1606="Positivo",MAX(K1606/J1606,0),MAX(J1606/K1606,0))),"")</f>
        <v>0.875</v>
      </c>
      <c r="N1606" t="s">
        <v>25</v>
      </c>
      <c r="O1606" t="s">
        <v>25</v>
      </c>
      <c r="P1606">
        <v>0</v>
      </c>
      <c r="Q1606">
        <v>0</v>
      </c>
      <c r="R1606" t="s">
        <v>3213</v>
      </c>
    </row>
    <row r="1607" spans="1:19" hidden="1" x14ac:dyDescent="0.3">
      <c r="A1607">
        <v>518</v>
      </c>
      <c r="B1607" t="s">
        <v>62</v>
      </c>
      <c r="C1607" t="s">
        <v>63</v>
      </c>
      <c r="D1607" t="s">
        <v>27</v>
      </c>
      <c r="E1607" t="s">
        <v>22</v>
      </c>
      <c r="F1607" s="79">
        <v>46022</v>
      </c>
      <c r="G1607">
        <v>2025</v>
      </c>
      <c r="H1607" t="s">
        <v>23</v>
      </c>
      <c r="I1607" t="s">
        <v>32</v>
      </c>
      <c r="J1607">
        <v>100</v>
      </c>
      <c r="K1607">
        <v>137.5</v>
      </c>
      <c r="L1607" s="39">
        <f t="shared" si="124"/>
        <v>1.3</v>
      </c>
      <c r="M1607" s="39">
        <f t="shared" si="125"/>
        <v>1.375</v>
      </c>
      <c r="N1607" t="s">
        <v>25</v>
      </c>
      <c r="O1607" t="s">
        <v>25</v>
      </c>
      <c r="P1607">
        <v>0</v>
      </c>
      <c r="Q1607">
        <v>0</v>
      </c>
      <c r="R1607" t="s">
        <v>1445</v>
      </c>
    </row>
    <row r="1608" spans="1:19" hidden="1" x14ac:dyDescent="0.3">
      <c r="A1608">
        <v>519</v>
      </c>
      <c r="B1608" t="s">
        <v>1446</v>
      </c>
      <c r="C1608" t="s">
        <v>1078</v>
      </c>
      <c r="D1608" t="s">
        <v>21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100</v>
      </c>
      <c r="K1608">
        <v>431.45</v>
      </c>
      <c r="L1608" s="39">
        <f t="shared" si="124"/>
        <v>1.3</v>
      </c>
      <c r="M1608" s="39">
        <f t="shared" si="125"/>
        <v>4.3144999999999998</v>
      </c>
      <c r="N1608" t="s">
        <v>25</v>
      </c>
      <c r="O1608" t="s">
        <v>25</v>
      </c>
      <c r="P1608">
        <v>0</v>
      </c>
      <c r="Q1608">
        <v>0</v>
      </c>
      <c r="R1608" t="s">
        <v>3215</v>
      </c>
    </row>
    <row r="1609" spans="1:19" hidden="1" x14ac:dyDescent="0.3">
      <c r="A1609">
        <v>519</v>
      </c>
      <c r="B1609" t="s">
        <v>1446</v>
      </c>
      <c r="C1609" t="s">
        <v>1078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100</v>
      </c>
      <c r="K1609">
        <v>131.13</v>
      </c>
      <c r="L1609" s="39">
        <f t="shared" si="124"/>
        <v>1.3</v>
      </c>
      <c r="M1609" s="39">
        <f t="shared" si="125"/>
        <v>1.3112999999999999</v>
      </c>
      <c r="N1609" t="s">
        <v>25</v>
      </c>
      <c r="O1609" t="s">
        <v>25</v>
      </c>
      <c r="P1609">
        <v>0</v>
      </c>
      <c r="Q1609">
        <v>0</v>
      </c>
      <c r="R1609" t="s">
        <v>1447</v>
      </c>
    </row>
    <row r="1610" spans="1:19" hidden="1" x14ac:dyDescent="0.3">
      <c r="A1610">
        <v>522</v>
      </c>
      <c r="B1610" t="s">
        <v>1448</v>
      </c>
      <c r="C1610" t="s">
        <v>549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20</v>
      </c>
      <c r="K1610">
        <v>100</v>
      </c>
      <c r="L1610" s="39">
        <f t="shared" si="124"/>
        <v>1.3</v>
      </c>
      <c r="M1610" s="39">
        <f t="shared" si="125"/>
        <v>5</v>
      </c>
      <c r="N1610" t="s">
        <v>25</v>
      </c>
      <c r="O1610" t="s">
        <v>25</v>
      </c>
      <c r="P1610">
        <v>0</v>
      </c>
      <c r="Q1610">
        <v>0</v>
      </c>
      <c r="R1610" t="s">
        <v>1449</v>
      </c>
    </row>
    <row r="1611" spans="1:19" hidden="1" x14ac:dyDescent="0.3">
      <c r="A1611">
        <v>523</v>
      </c>
      <c r="B1611" t="s">
        <v>1043</v>
      </c>
      <c r="C1611" t="s">
        <v>159</v>
      </c>
      <c r="D1611" t="s">
        <v>21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95</v>
      </c>
      <c r="K1611">
        <v>128.41</v>
      </c>
      <c r="L1611" s="39">
        <f t="shared" si="124"/>
        <v>1.3</v>
      </c>
      <c r="M1611" s="39">
        <f t="shared" si="125"/>
        <v>1.3516842105263158</v>
      </c>
      <c r="N1611" t="s">
        <v>25</v>
      </c>
      <c r="O1611" t="s">
        <v>25</v>
      </c>
      <c r="P1611">
        <v>0</v>
      </c>
      <c r="Q1611">
        <v>0</v>
      </c>
      <c r="R1611" t="s">
        <v>3216</v>
      </c>
    </row>
    <row r="1612" spans="1:19" hidden="1" x14ac:dyDescent="0.3">
      <c r="A1612">
        <v>523</v>
      </c>
      <c r="B1612" t="s">
        <v>1043</v>
      </c>
      <c r="C1612" t="s">
        <v>159</v>
      </c>
      <c r="D1612" t="s">
        <v>21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95</v>
      </c>
      <c r="K1612">
        <v>95.76</v>
      </c>
      <c r="L1612" s="39">
        <f t="shared" si="124"/>
        <v>1.008</v>
      </c>
      <c r="M1612" s="39">
        <f t="shared" si="125"/>
        <v>1.008</v>
      </c>
      <c r="N1612" t="s">
        <v>25</v>
      </c>
      <c r="O1612" t="s">
        <v>25</v>
      </c>
      <c r="P1612">
        <v>0</v>
      </c>
      <c r="Q1612">
        <v>0</v>
      </c>
      <c r="R1612" t="s">
        <v>1450</v>
      </c>
    </row>
    <row r="1613" spans="1:19" hidden="1" x14ac:dyDescent="0.3">
      <c r="A1613">
        <v>524</v>
      </c>
      <c r="B1613" t="s">
        <v>1182</v>
      </c>
      <c r="C1613" t="s">
        <v>1183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99.38</v>
      </c>
      <c r="L1613" s="39">
        <f t="shared" si="124"/>
        <v>0.99379999999999991</v>
      </c>
      <c r="M1613" s="39">
        <f t="shared" si="125"/>
        <v>0.99379999999999991</v>
      </c>
      <c r="N1613" t="s">
        <v>128</v>
      </c>
      <c r="O1613" t="s">
        <v>128</v>
      </c>
      <c r="P1613">
        <v>0</v>
      </c>
      <c r="Q1613">
        <v>0</v>
      </c>
      <c r="R1613" t="s">
        <v>3217</v>
      </c>
    </row>
    <row r="1614" spans="1:19" hidden="1" x14ac:dyDescent="0.3">
      <c r="A1614">
        <v>524</v>
      </c>
      <c r="B1614" t="s">
        <v>1182</v>
      </c>
      <c r="C1614" t="s">
        <v>1183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106.07</v>
      </c>
      <c r="L1614" s="39">
        <f t="shared" si="124"/>
        <v>1.0607</v>
      </c>
      <c r="M1614" s="39">
        <f t="shared" si="125"/>
        <v>1.0607</v>
      </c>
      <c r="N1614" t="s">
        <v>128</v>
      </c>
      <c r="O1614" t="s">
        <v>128</v>
      </c>
      <c r="P1614">
        <v>0</v>
      </c>
      <c r="Q1614">
        <v>0</v>
      </c>
      <c r="R1614" t="s">
        <v>1451</v>
      </c>
    </row>
    <row r="1615" spans="1:19" hidden="1" x14ac:dyDescent="0.3">
      <c r="A1615">
        <v>526</v>
      </c>
      <c r="B1615" t="s">
        <v>1452</v>
      </c>
      <c r="C1615" t="s">
        <v>706</v>
      </c>
      <c r="D1615" t="s">
        <v>27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95</v>
      </c>
      <c r="L1615" s="39" t="str">
        <f t="shared" si="124"/>
        <v/>
      </c>
      <c r="M1615" s="39" t="str">
        <f t="shared" si="125"/>
        <v/>
      </c>
      <c r="N1615" t="s">
        <v>25</v>
      </c>
      <c r="O1615" t="s">
        <v>25</v>
      </c>
      <c r="P1615">
        <v>0</v>
      </c>
      <c r="Q1615">
        <v>0</v>
      </c>
      <c r="R1615" t="s">
        <v>3266</v>
      </c>
      <c r="S1615" t="s">
        <v>395</v>
      </c>
    </row>
    <row r="1616" spans="1:19" hidden="1" x14ac:dyDescent="0.3">
      <c r="A1616">
        <v>527</v>
      </c>
      <c r="B1616" t="s">
        <v>1454</v>
      </c>
      <c r="C1616" t="s">
        <v>567</v>
      </c>
      <c r="D1616" t="s">
        <v>71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100</v>
      </c>
      <c r="K1616">
        <v>197.94</v>
      </c>
      <c r="L1616" s="39">
        <f t="shared" si="124"/>
        <v>1.3</v>
      </c>
      <c r="M1616" s="39">
        <f t="shared" si="125"/>
        <v>1.9794</v>
      </c>
      <c r="N1616" t="s">
        <v>25</v>
      </c>
      <c r="O1616" t="s">
        <v>25</v>
      </c>
      <c r="P1616">
        <v>0</v>
      </c>
      <c r="Q1616">
        <v>0</v>
      </c>
      <c r="R1616" t="s">
        <v>1455</v>
      </c>
    </row>
    <row r="1617" spans="1:18" hidden="1" x14ac:dyDescent="0.3">
      <c r="A1617">
        <v>528</v>
      </c>
      <c r="B1617" t="s">
        <v>1456</v>
      </c>
      <c r="C1617" t="s">
        <v>567</v>
      </c>
      <c r="D1617" t="s">
        <v>71</v>
      </c>
      <c r="E1617" t="s">
        <v>22</v>
      </c>
      <c r="F1617" s="79">
        <v>45838</v>
      </c>
      <c r="G1617">
        <v>2025</v>
      </c>
      <c r="H1617" t="s">
        <v>699</v>
      </c>
      <c r="I1617" t="s">
        <v>700</v>
      </c>
      <c r="J1617">
        <v>100</v>
      </c>
      <c r="K1617">
        <v>173.92055267703</v>
      </c>
      <c r="L1617" s="39">
        <f t="shared" si="124"/>
        <v>1.3</v>
      </c>
      <c r="M1617" s="39">
        <f t="shared" si="125"/>
        <v>1.7392055267702999</v>
      </c>
      <c r="N1617" t="s">
        <v>128</v>
      </c>
      <c r="O1617" t="s">
        <v>128</v>
      </c>
      <c r="P1617">
        <v>0</v>
      </c>
      <c r="Q1617">
        <v>0</v>
      </c>
      <c r="R1617" t="s">
        <v>3219</v>
      </c>
    </row>
    <row r="1618" spans="1:18" hidden="1" x14ac:dyDescent="0.3">
      <c r="A1618">
        <v>528</v>
      </c>
      <c r="B1618" t="s">
        <v>1456</v>
      </c>
      <c r="C1618" t="s">
        <v>567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100</v>
      </c>
      <c r="K1618">
        <v>1158</v>
      </c>
      <c r="L1618" s="39">
        <f t="shared" si="124"/>
        <v>1.3</v>
      </c>
      <c r="M1618" s="39">
        <f t="shared" si="125"/>
        <v>11.58</v>
      </c>
      <c r="N1618" t="s">
        <v>128</v>
      </c>
      <c r="O1618" t="s">
        <v>128</v>
      </c>
      <c r="P1618">
        <v>0</v>
      </c>
      <c r="Q1618">
        <v>0</v>
      </c>
      <c r="R1618" t="s">
        <v>1457</v>
      </c>
    </row>
    <row r="1619" spans="1:18" hidden="1" x14ac:dyDescent="0.3">
      <c r="A1619">
        <v>529</v>
      </c>
      <c r="B1619" t="s">
        <v>1458</v>
      </c>
      <c r="C1619" t="s">
        <v>167</v>
      </c>
      <c r="D1619" t="s">
        <v>27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180</v>
      </c>
      <c r="K1619">
        <v>294.16000000000003</v>
      </c>
      <c r="L1619" s="39">
        <f t="shared" si="124"/>
        <v>1.3</v>
      </c>
      <c r="M1619" s="39">
        <f t="shared" si="125"/>
        <v>1.6342222222222225</v>
      </c>
      <c r="N1619" t="s">
        <v>25</v>
      </c>
      <c r="O1619" t="s">
        <v>25</v>
      </c>
      <c r="P1619">
        <v>0</v>
      </c>
      <c r="Q1619">
        <v>0</v>
      </c>
      <c r="R1619" t="s">
        <v>1459</v>
      </c>
    </row>
    <row r="1620" spans="1:18" hidden="1" x14ac:dyDescent="0.3">
      <c r="A1620">
        <v>530</v>
      </c>
      <c r="B1620" t="s">
        <v>1460</v>
      </c>
      <c r="C1620" t="s">
        <v>53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97</v>
      </c>
      <c r="K1620">
        <v>85.56</v>
      </c>
      <c r="L1620" s="39">
        <f t="shared" si="124"/>
        <v>0.88206185567010309</v>
      </c>
      <c r="M1620" s="39">
        <f t="shared" si="125"/>
        <v>0.88206185567010309</v>
      </c>
      <c r="N1620" t="s">
        <v>25</v>
      </c>
      <c r="O1620" t="s">
        <v>25</v>
      </c>
      <c r="P1620">
        <v>0</v>
      </c>
      <c r="Q1620">
        <v>0</v>
      </c>
      <c r="R1620" t="s">
        <v>1461</v>
      </c>
    </row>
    <row r="1621" spans="1:18" hidden="1" x14ac:dyDescent="0.3">
      <c r="A1621">
        <v>531</v>
      </c>
      <c r="B1621" t="s">
        <v>1462</v>
      </c>
      <c r="C1621" t="s">
        <v>53</v>
      </c>
      <c r="D1621" t="s">
        <v>21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90</v>
      </c>
      <c r="K1621">
        <v>93.94</v>
      </c>
      <c r="L1621" s="39">
        <f t="shared" si="124"/>
        <v>1.0437777777777777</v>
      </c>
      <c r="M1621" s="39">
        <f t="shared" si="125"/>
        <v>1.0437777777777777</v>
      </c>
      <c r="N1621" t="s">
        <v>25</v>
      </c>
      <c r="O1621" t="s">
        <v>25</v>
      </c>
      <c r="P1621">
        <v>0</v>
      </c>
      <c r="Q1621">
        <v>0</v>
      </c>
      <c r="R1621" t="s">
        <v>1463</v>
      </c>
    </row>
    <row r="1622" spans="1:18" hidden="1" x14ac:dyDescent="0.3">
      <c r="A1622">
        <v>532</v>
      </c>
      <c r="B1622" t="s">
        <v>1464</v>
      </c>
      <c r="C1622" t="s">
        <v>246</v>
      </c>
      <c r="D1622" t="s">
        <v>21</v>
      </c>
      <c r="E1622" t="s">
        <v>22</v>
      </c>
      <c r="F1622" s="79">
        <v>45838</v>
      </c>
      <c r="G1622">
        <v>2025</v>
      </c>
      <c r="H1622" t="s">
        <v>699</v>
      </c>
      <c r="I1622" t="s">
        <v>700</v>
      </c>
      <c r="J1622">
        <v>100</v>
      </c>
      <c r="K1622">
        <v>133.15</v>
      </c>
      <c r="L1622" s="39">
        <f t="shared" si="124"/>
        <v>1.3</v>
      </c>
      <c r="M1622" s="39">
        <f t="shared" si="125"/>
        <v>1.3315000000000001</v>
      </c>
      <c r="N1622" t="s">
        <v>25</v>
      </c>
      <c r="O1622" t="s">
        <v>25</v>
      </c>
      <c r="P1622">
        <v>0</v>
      </c>
      <c r="Q1622">
        <v>0</v>
      </c>
      <c r="R1622" t="s">
        <v>3222</v>
      </c>
    </row>
    <row r="1623" spans="1:18" hidden="1" x14ac:dyDescent="0.3">
      <c r="A1623">
        <v>532</v>
      </c>
      <c r="B1623" t="s">
        <v>1464</v>
      </c>
      <c r="C1623" t="s">
        <v>246</v>
      </c>
      <c r="D1623" t="s">
        <v>21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100</v>
      </c>
      <c r="K1623">
        <v>134.78</v>
      </c>
      <c r="L1623" s="39">
        <f t="shared" si="124"/>
        <v>1.3</v>
      </c>
      <c r="M1623" s="39">
        <f t="shared" si="125"/>
        <v>1.3478000000000001</v>
      </c>
      <c r="N1623" t="s">
        <v>25</v>
      </c>
      <c r="O1623" t="s">
        <v>25</v>
      </c>
      <c r="P1623">
        <v>0</v>
      </c>
      <c r="Q1623">
        <v>0</v>
      </c>
      <c r="R1623" t="s">
        <v>1465</v>
      </c>
    </row>
    <row r="1624" spans="1:18" hidden="1" x14ac:dyDescent="0.3">
      <c r="A1624">
        <v>533</v>
      </c>
      <c r="B1624" t="s">
        <v>1466</v>
      </c>
      <c r="C1624" t="s">
        <v>246</v>
      </c>
      <c r="D1624" t="s">
        <v>21</v>
      </c>
      <c r="E1624" t="s">
        <v>22</v>
      </c>
      <c r="F1624" s="79">
        <v>45838</v>
      </c>
      <c r="G1624">
        <v>2025</v>
      </c>
      <c r="H1624" t="s">
        <v>699</v>
      </c>
      <c r="I1624" t="s">
        <v>700</v>
      </c>
      <c r="J1624">
        <v>100</v>
      </c>
      <c r="K1624">
        <v>124.89</v>
      </c>
      <c r="L1624" s="39">
        <f t="shared" si="124"/>
        <v>1.2488999999999999</v>
      </c>
      <c r="M1624" s="39">
        <f t="shared" si="125"/>
        <v>1.2488999999999999</v>
      </c>
      <c r="N1624" t="s">
        <v>25</v>
      </c>
      <c r="O1624" t="s">
        <v>25</v>
      </c>
      <c r="P1624">
        <v>0</v>
      </c>
      <c r="Q1624">
        <v>0</v>
      </c>
      <c r="R1624" t="s">
        <v>3223</v>
      </c>
    </row>
    <row r="1625" spans="1:18" hidden="1" x14ac:dyDescent="0.3">
      <c r="A1625">
        <v>533</v>
      </c>
      <c r="B1625" t="s">
        <v>1466</v>
      </c>
      <c r="C1625" t="s">
        <v>246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100</v>
      </c>
      <c r="K1625">
        <v>177.95</v>
      </c>
      <c r="L1625" s="39">
        <f t="shared" si="124"/>
        <v>1.3</v>
      </c>
      <c r="M1625" s="39">
        <f t="shared" si="125"/>
        <v>1.7794999999999999</v>
      </c>
      <c r="N1625" t="s">
        <v>25</v>
      </c>
      <c r="O1625" t="s">
        <v>25</v>
      </c>
      <c r="P1625">
        <v>0</v>
      </c>
      <c r="Q1625">
        <v>0</v>
      </c>
      <c r="R1625" t="s">
        <v>1467</v>
      </c>
    </row>
    <row r="1626" spans="1:18" hidden="1" x14ac:dyDescent="0.3">
      <c r="A1626">
        <v>534</v>
      </c>
      <c r="B1626" t="s">
        <v>1468</v>
      </c>
      <c r="C1626" t="s">
        <v>246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100</v>
      </c>
      <c r="K1626">
        <v>134.09</v>
      </c>
      <c r="L1626" s="39">
        <f t="shared" si="124"/>
        <v>1.3</v>
      </c>
      <c r="M1626" s="39">
        <f t="shared" si="125"/>
        <v>1.3409</v>
      </c>
      <c r="N1626" t="s">
        <v>25</v>
      </c>
      <c r="O1626" t="s">
        <v>25</v>
      </c>
      <c r="P1626">
        <v>0</v>
      </c>
      <c r="Q1626">
        <v>0</v>
      </c>
      <c r="R1626" t="s">
        <v>3224</v>
      </c>
    </row>
    <row r="1627" spans="1:18" hidden="1" x14ac:dyDescent="0.3">
      <c r="A1627">
        <v>534</v>
      </c>
      <c r="B1627" t="s">
        <v>1468</v>
      </c>
      <c r="C1627" t="s">
        <v>246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100</v>
      </c>
      <c r="K1627">
        <v>134.53</v>
      </c>
      <c r="L1627" s="39">
        <f t="shared" si="124"/>
        <v>1.3</v>
      </c>
      <c r="M1627" s="39">
        <f t="shared" si="125"/>
        <v>1.3452999999999999</v>
      </c>
      <c r="N1627" t="s">
        <v>25</v>
      </c>
      <c r="O1627" t="s">
        <v>25</v>
      </c>
      <c r="P1627">
        <v>0</v>
      </c>
      <c r="Q1627">
        <v>0</v>
      </c>
      <c r="R1627" t="s">
        <v>1469</v>
      </c>
    </row>
    <row r="1628" spans="1:18" hidden="1" x14ac:dyDescent="0.3">
      <c r="A1628">
        <v>535</v>
      </c>
      <c r="B1628" t="s">
        <v>1470</v>
      </c>
      <c r="C1628" t="s">
        <v>246</v>
      </c>
      <c r="D1628" t="s">
        <v>21</v>
      </c>
      <c r="E1628" t="s">
        <v>22</v>
      </c>
      <c r="F1628" s="79">
        <v>45838</v>
      </c>
      <c r="G1628">
        <v>2025</v>
      </c>
      <c r="H1628" t="s">
        <v>699</v>
      </c>
      <c r="I1628" t="s">
        <v>700</v>
      </c>
      <c r="J1628">
        <v>100</v>
      </c>
      <c r="K1628">
        <v>132.66999999999999</v>
      </c>
      <c r="L1628" s="39">
        <f t="shared" si="124"/>
        <v>1.3</v>
      </c>
      <c r="M1628" s="39">
        <f t="shared" si="125"/>
        <v>1.3266999999999998</v>
      </c>
      <c r="N1628" t="s">
        <v>25</v>
      </c>
      <c r="O1628" t="s">
        <v>25</v>
      </c>
      <c r="P1628">
        <v>0</v>
      </c>
      <c r="Q1628">
        <v>0</v>
      </c>
      <c r="R1628" t="s">
        <v>3225</v>
      </c>
    </row>
    <row r="1629" spans="1:18" hidden="1" x14ac:dyDescent="0.3">
      <c r="A1629">
        <v>535</v>
      </c>
      <c r="B1629" t="s">
        <v>1470</v>
      </c>
      <c r="C1629" t="s">
        <v>246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J1629">
        <v>100</v>
      </c>
      <c r="K1629">
        <v>209.63</v>
      </c>
      <c r="L1629" s="39">
        <f t="shared" si="124"/>
        <v>1.3</v>
      </c>
      <c r="M1629" s="39">
        <f t="shared" si="125"/>
        <v>2.0962999999999998</v>
      </c>
      <c r="N1629" t="s">
        <v>25</v>
      </c>
      <c r="O1629" t="s">
        <v>25</v>
      </c>
      <c r="P1629">
        <v>0</v>
      </c>
      <c r="Q1629">
        <v>0</v>
      </c>
      <c r="R1629" t="s">
        <v>1471</v>
      </c>
    </row>
    <row r="1630" spans="1:18" hidden="1" x14ac:dyDescent="0.3">
      <c r="A1630">
        <v>536</v>
      </c>
      <c r="B1630" t="s">
        <v>1472</v>
      </c>
      <c r="C1630" t="s">
        <v>246</v>
      </c>
      <c r="D1630" t="s">
        <v>21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109.33</v>
      </c>
      <c r="L1630" s="39">
        <f t="shared" si="124"/>
        <v>1.0932999999999999</v>
      </c>
      <c r="M1630" s="39">
        <f t="shared" si="125"/>
        <v>1.0932999999999999</v>
      </c>
      <c r="N1630" t="s">
        <v>25</v>
      </c>
      <c r="O1630" t="s">
        <v>25</v>
      </c>
      <c r="P1630">
        <v>0</v>
      </c>
      <c r="Q1630">
        <v>0</v>
      </c>
      <c r="R1630" t="s">
        <v>3226</v>
      </c>
    </row>
    <row r="1631" spans="1:18" hidden="1" x14ac:dyDescent="0.3">
      <c r="A1631">
        <v>536</v>
      </c>
      <c r="B1631" t="s">
        <v>1472</v>
      </c>
      <c r="C1631" t="s">
        <v>246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260.75</v>
      </c>
      <c r="L1631" s="39">
        <f t="shared" si="124"/>
        <v>1.3</v>
      </c>
      <c r="M1631" s="39">
        <f t="shared" si="125"/>
        <v>2.6074999999999999</v>
      </c>
      <c r="N1631" t="s">
        <v>25</v>
      </c>
      <c r="O1631" t="s">
        <v>25</v>
      </c>
      <c r="P1631">
        <v>0</v>
      </c>
      <c r="Q1631">
        <v>0</v>
      </c>
      <c r="R1631" t="s">
        <v>1473</v>
      </c>
    </row>
    <row r="1632" spans="1:18" hidden="1" x14ac:dyDescent="0.3">
      <c r="A1632">
        <v>537</v>
      </c>
      <c r="B1632" t="s">
        <v>1474</v>
      </c>
      <c r="C1632" t="s">
        <v>333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65</v>
      </c>
      <c r="K1632">
        <v>58.9</v>
      </c>
      <c r="L1632" s="39">
        <f t="shared" si="124"/>
        <v>0.90615384615384609</v>
      </c>
      <c r="M1632" s="39">
        <f t="shared" si="125"/>
        <v>0.90615384615384609</v>
      </c>
      <c r="N1632" t="s">
        <v>128</v>
      </c>
      <c r="O1632" t="s">
        <v>128</v>
      </c>
      <c r="P1632">
        <v>0</v>
      </c>
      <c r="Q1632">
        <v>0</v>
      </c>
      <c r="R1632" t="s">
        <v>3227</v>
      </c>
    </row>
    <row r="1633" spans="1:19" hidden="1" x14ac:dyDescent="0.3">
      <c r="A1633">
        <v>537</v>
      </c>
      <c r="B1633" t="s">
        <v>1474</v>
      </c>
      <c r="C1633" t="s">
        <v>333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65</v>
      </c>
      <c r="K1633">
        <v>64.3</v>
      </c>
      <c r="L1633" s="39">
        <f t="shared" si="124"/>
        <v>0.98923076923076914</v>
      </c>
      <c r="M1633" s="39">
        <f t="shared" si="125"/>
        <v>0.98923076923076914</v>
      </c>
      <c r="N1633" t="s">
        <v>128</v>
      </c>
      <c r="O1633" t="s">
        <v>128</v>
      </c>
      <c r="P1633">
        <v>0</v>
      </c>
      <c r="Q1633">
        <v>0</v>
      </c>
      <c r="R1633" t="s">
        <v>1475</v>
      </c>
    </row>
    <row r="1634" spans="1:19" hidden="1" x14ac:dyDescent="0.3">
      <c r="A1634">
        <v>538</v>
      </c>
      <c r="B1634" t="s">
        <v>1476</v>
      </c>
      <c r="C1634" t="s">
        <v>541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90</v>
      </c>
      <c r="K1634">
        <v>100</v>
      </c>
      <c r="L1634" s="39">
        <f t="shared" si="124"/>
        <v>1.1111111111111112</v>
      </c>
      <c r="M1634" s="39">
        <f t="shared" si="125"/>
        <v>1.1111111111111112</v>
      </c>
      <c r="N1634" t="s">
        <v>25</v>
      </c>
      <c r="O1634" t="s">
        <v>25</v>
      </c>
      <c r="P1634">
        <v>0</v>
      </c>
      <c r="Q1634">
        <v>0</v>
      </c>
      <c r="R1634" t="s">
        <v>1477</v>
      </c>
    </row>
    <row r="1635" spans="1:19" hidden="1" x14ac:dyDescent="0.3">
      <c r="A1635">
        <v>539</v>
      </c>
      <c r="B1635" t="s">
        <v>1478</v>
      </c>
      <c r="C1635" t="s">
        <v>541</v>
      </c>
      <c r="D1635" t="s">
        <v>21</v>
      </c>
      <c r="E1635" t="s">
        <v>41</v>
      </c>
      <c r="F1635" s="79">
        <v>46022</v>
      </c>
      <c r="G1635">
        <v>2025</v>
      </c>
      <c r="H1635" t="s">
        <v>23</v>
      </c>
      <c r="I1635" t="s">
        <v>32</v>
      </c>
      <c r="J1635">
        <v>2.5</v>
      </c>
      <c r="K1635">
        <v>2.5</v>
      </c>
      <c r="L1635" s="39">
        <f t="shared" si="124"/>
        <v>1</v>
      </c>
      <c r="M1635" s="39">
        <f t="shared" si="125"/>
        <v>1</v>
      </c>
      <c r="N1635" t="s">
        <v>25</v>
      </c>
      <c r="O1635" t="s">
        <v>25</v>
      </c>
      <c r="P1635">
        <v>0</v>
      </c>
      <c r="Q1635">
        <v>0</v>
      </c>
      <c r="R1635" t="s">
        <v>1479</v>
      </c>
    </row>
    <row r="1636" spans="1:19" hidden="1" x14ac:dyDescent="0.3">
      <c r="A1636">
        <v>540</v>
      </c>
      <c r="B1636" t="s">
        <v>1480</v>
      </c>
      <c r="C1636" t="s">
        <v>922</v>
      </c>
      <c r="D1636" t="s">
        <v>21</v>
      </c>
      <c r="E1636" t="s">
        <v>22</v>
      </c>
      <c r="F1636" s="79">
        <v>45838</v>
      </c>
      <c r="G1636">
        <v>2025</v>
      </c>
      <c r="H1636" t="s">
        <v>699</v>
      </c>
      <c r="I1636" t="s">
        <v>700</v>
      </c>
      <c r="J1636">
        <v>97</v>
      </c>
      <c r="K1636">
        <v>97.33</v>
      </c>
      <c r="L1636" s="39">
        <f t="shared" si="124"/>
        <v>1.00340206185567</v>
      </c>
      <c r="M1636" s="39">
        <f t="shared" si="125"/>
        <v>1.00340206185567</v>
      </c>
      <c r="N1636" t="s">
        <v>25</v>
      </c>
      <c r="O1636" t="s">
        <v>25</v>
      </c>
      <c r="P1636">
        <v>0</v>
      </c>
      <c r="Q1636">
        <v>0</v>
      </c>
      <c r="R1636" t="s">
        <v>3228</v>
      </c>
    </row>
    <row r="1637" spans="1:19" hidden="1" x14ac:dyDescent="0.3">
      <c r="A1637">
        <v>540</v>
      </c>
      <c r="B1637" t="s">
        <v>1480</v>
      </c>
      <c r="C1637" t="s">
        <v>922</v>
      </c>
      <c r="D1637" t="s">
        <v>21</v>
      </c>
      <c r="E1637" t="s">
        <v>22</v>
      </c>
      <c r="F1637" s="79">
        <v>46022</v>
      </c>
      <c r="G1637">
        <v>2025</v>
      </c>
      <c r="H1637" t="s">
        <v>23</v>
      </c>
      <c r="I1637" t="s">
        <v>32</v>
      </c>
      <c r="J1637">
        <v>97</v>
      </c>
      <c r="K1637">
        <v>97.9</v>
      </c>
      <c r="L1637" s="39">
        <f t="shared" si="124"/>
        <v>1.0092783505154639</v>
      </c>
      <c r="M1637" s="39">
        <f t="shared" si="125"/>
        <v>1.0092783505154639</v>
      </c>
      <c r="N1637" t="s">
        <v>25</v>
      </c>
      <c r="O1637" t="s">
        <v>25</v>
      </c>
      <c r="P1637">
        <v>0</v>
      </c>
      <c r="Q1637">
        <v>0</v>
      </c>
      <c r="R1637" t="s">
        <v>1481</v>
      </c>
    </row>
    <row r="1638" spans="1:19" hidden="1" x14ac:dyDescent="0.3">
      <c r="A1638">
        <v>541</v>
      </c>
      <c r="B1638" t="s">
        <v>1482</v>
      </c>
      <c r="C1638" t="s">
        <v>842</v>
      </c>
      <c r="D1638" t="s">
        <v>71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4</v>
      </c>
      <c r="K1638">
        <v>6.99</v>
      </c>
      <c r="L1638" s="39">
        <f t="shared" si="124"/>
        <v>1.3</v>
      </c>
      <c r="M1638" s="39">
        <f t="shared" si="125"/>
        <v>1.7475000000000001</v>
      </c>
      <c r="N1638" t="s">
        <v>25</v>
      </c>
      <c r="O1638" t="s">
        <v>25</v>
      </c>
      <c r="P1638">
        <v>0</v>
      </c>
      <c r="Q1638">
        <v>0</v>
      </c>
      <c r="R1638" t="s">
        <v>1483</v>
      </c>
    </row>
    <row r="1639" spans="1:19" hidden="1" x14ac:dyDescent="0.3">
      <c r="A1639">
        <v>542</v>
      </c>
      <c r="B1639" t="s">
        <v>1484</v>
      </c>
      <c r="C1639" t="s">
        <v>842</v>
      </c>
      <c r="D1639" t="s">
        <v>71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K1639">
        <v>81.239999999999995</v>
      </c>
      <c r="L1639" s="39"/>
      <c r="M1639" s="39"/>
      <c r="N1639" t="s">
        <v>25</v>
      </c>
      <c r="O1639" t="s">
        <v>25</v>
      </c>
      <c r="P1639">
        <v>0</v>
      </c>
      <c r="Q1639">
        <v>0</v>
      </c>
      <c r="R1639" t="s">
        <v>1485</v>
      </c>
      <c r="S1639" t="s">
        <v>263</v>
      </c>
    </row>
    <row r="1640" spans="1:19" hidden="1" x14ac:dyDescent="0.3">
      <c r="A1640">
        <v>543</v>
      </c>
      <c r="B1640" t="s">
        <v>1486</v>
      </c>
      <c r="C1640" t="s">
        <v>308</v>
      </c>
      <c r="D1640" t="s">
        <v>21</v>
      </c>
      <c r="E1640" t="s">
        <v>22</v>
      </c>
      <c r="F1640" s="79">
        <v>45838</v>
      </c>
      <c r="G1640">
        <v>2025</v>
      </c>
      <c r="H1640" t="s">
        <v>699</v>
      </c>
      <c r="I1640" t="s">
        <v>700</v>
      </c>
      <c r="K1640">
        <v>7.29</v>
      </c>
      <c r="L1640" s="39"/>
      <c r="M1640" s="39"/>
      <c r="N1640" t="s">
        <v>128</v>
      </c>
      <c r="O1640" t="s">
        <v>128</v>
      </c>
      <c r="P1640">
        <v>0</v>
      </c>
      <c r="Q1640">
        <v>0</v>
      </c>
      <c r="R1640" t="s">
        <v>3229</v>
      </c>
    </row>
    <row r="1641" spans="1:19" hidden="1" x14ac:dyDescent="0.3">
      <c r="A1641">
        <v>543</v>
      </c>
      <c r="B1641" t="s">
        <v>1486</v>
      </c>
      <c r="C1641" t="s">
        <v>308</v>
      </c>
      <c r="D1641" t="s">
        <v>21</v>
      </c>
      <c r="E1641" t="s">
        <v>22</v>
      </c>
      <c r="F1641" s="79">
        <v>46022</v>
      </c>
      <c r="G1641">
        <v>2025</v>
      </c>
      <c r="H1641" t="s">
        <v>23</v>
      </c>
      <c r="I1641" t="s">
        <v>32</v>
      </c>
      <c r="K1641">
        <v>6.91</v>
      </c>
      <c r="L1641" s="39"/>
      <c r="M1641" s="39"/>
      <c r="N1641" t="s">
        <v>128</v>
      </c>
      <c r="O1641" t="s">
        <v>128</v>
      </c>
      <c r="P1641">
        <v>0</v>
      </c>
      <c r="Q1641">
        <v>0</v>
      </c>
      <c r="R1641" t="s">
        <v>1487</v>
      </c>
    </row>
    <row r="1642" spans="1:19" hidden="1" x14ac:dyDescent="0.3">
      <c r="A1642">
        <v>544</v>
      </c>
      <c r="B1642" t="s">
        <v>1488</v>
      </c>
      <c r="C1642" t="s">
        <v>1110</v>
      </c>
      <c r="D1642" t="s">
        <v>21</v>
      </c>
      <c r="E1642" t="s">
        <v>22</v>
      </c>
      <c r="F1642" s="79">
        <v>45838</v>
      </c>
      <c r="G1642">
        <v>2025</v>
      </c>
      <c r="H1642" t="s">
        <v>699</v>
      </c>
      <c r="I1642" t="s">
        <v>700</v>
      </c>
      <c r="J1642">
        <v>100</v>
      </c>
      <c r="K1642">
        <v>250</v>
      </c>
      <c r="L1642" s="39">
        <f>IFERROR(IF(OR(J1642=0,K1642=""),"",IF(E1642="Positivo",MIN(MAX(K1642/J1642,0),1.3),MIN(MAX(J1642/K1642,0),1.3))),"")</f>
        <v>1.3</v>
      </c>
      <c r="M1642" s="39">
        <f>IFERROR(IF(OR(J1642=0,K1642=""),"",IF(E1642="Positivo",MAX(K1642/J1642,0),MAX(J1642/K1642,0))),"")</f>
        <v>2.5</v>
      </c>
      <c r="N1642" t="s">
        <v>128</v>
      </c>
      <c r="O1642" t="s">
        <v>128</v>
      </c>
      <c r="P1642">
        <v>0</v>
      </c>
      <c r="Q1642">
        <v>0</v>
      </c>
      <c r="R1642" t="s">
        <v>3230</v>
      </c>
    </row>
    <row r="1643" spans="1:19" hidden="1" x14ac:dyDescent="0.3">
      <c r="A1643">
        <v>544</v>
      </c>
      <c r="B1643" t="s">
        <v>1488</v>
      </c>
      <c r="C1643" t="s">
        <v>1110</v>
      </c>
      <c r="D1643" t="s">
        <v>21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100</v>
      </c>
      <c r="K1643">
        <v>162.5</v>
      </c>
      <c r="L1643" s="39">
        <f>IFERROR(IF(OR(J1643=0,K1643=""),"",IF(E1643="Positivo",MIN(MAX(K1643/J1643,0),1.3),MIN(MAX(J1643/K1643,0),1.3))),"")</f>
        <v>1.3</v>
      </c>
      <c r="M1643" s="39">
        <f>IFERROR(IF(OR(J1643=0,K1643=""),"",IF(E1643="Positivo",MAX(K1643/J1643,0),MAX(J1643/K1643,0))),"")</f>
        <v>1.625</v>
      </c>
      <c r="N1643" t="s">
        <v>128</v>
      </c>
      <c r="O1643" t="s">
        <v>128</v>
      </c>
      <c r="P1643">
        <v>0</v>
      </c>
      <c r="Q1643">
        <v>0</v>
      </c>
      <c r="R1643" t="s">
        <v>1489</v>
      </c>
    </row>
    <row r="1644" spans="1:19" hidden="1" x14ac:dyDescent="0.3">
      <c r="A1644">
        <v>546</v>
      </c>
      <c r="B1644" t="s">
        <v>1490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100</v>
      </c>
      <c r="K1644">
        <v>113.38</v>
      </c>
      <c r="L1644" s="39">
        <f>IFERROR(IF(OR(J1644=0,K1644=""),"",IF(E1644="Positivo",MIN(MAX(K1644/J1644,0),1.3),MIN(MAX(J1644/K1644,0),1.3))),"")</f>
        <v>1.1337999999999999</v>
      </c>
      <c r="M1644" s="39">
        <f>IFERROR(IF(OR(J1644=0,K1644=""),"",IF(E1644="Positivo",MAX(K1644/J1644,0),MAX(J1644/K1644,0))),"")</f>
        <v>1.1337999999999999</v>
      </c>
      <c r="N1644" t="s">
        <v>25</v>
      </c>
      <c r="O1644" t="s">
        <v>25</v>
      </c>
      <c r="P1644">
        <v>0</v>
      </c>
      <c r="Q1644">
        <v>0</v>
      </c>
      <c r="R1644" t="s">
        <v>1491</v>
      </c>
    </row>
    <row r="1645" spans="1:19" hidden="1" x14ac:dyDescent="0.3">
      <c r="A1645">
        <v>547</v>
      </c>
      <c r="B1645" t="s">
        <v>1492</v>
      </c>
      <c r="C1645" t="s">
        <v>842</v>
      </c>
      <c r="D1645" t="s">
        <v>71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K1645">
        <v>92</v>
      </c>
      <c r="L1645" s="39"/>
      <c r="M1645" s="39"/>
      <c r="N1645" t="s">
        <v>25</v>
      </c>
      <c r="O1645" t="s">
        <v>25</v>
      </c>
      <c r="P1645">
        <v>0</v>
      </c>
      <c r="Q1645">
        <v>0</v>
      </c>
      <c r="R1645" t="s">
        <v>1493</v>
      </c>
    </row>
    <row r="1646" spans="1:19" hidden="1" x14ac:dyDescent="0.3">
      <c r="A1646">
        <v>550</v>
      </c>
      <c r="B1646" t="s">
        <v>1494</v>
      </c>
      <c r="C1646" t="s">
        <v>1097</v>
      </c>
      <c r="D1646" t="s">
        <v>21</v>
      </c>
      <c r="E1646" t="s">
        <v>22</v>
      </c>
      <c r="F1646" s="79">
        <v>45838</v>
      </c>
      <c r="G1646">
        <v>2025</v>
      </c>
      <c r="H1646" t="s">
        <v>699</v>
      </c>
      <c r="I1646" t="s">
        <v>700</v>
      </c>
      <c r="J1646">
        <v>80</v>
      </c>
      <c r="K1646">
        <v>95</v>
      </c>
      <c r="L1646" s="39">
        <f t="shared" ref="L1646:L1656" si="126">IFERROR(IF(OR(J1646=0,K1646=""),"",IF(E1646="Positivo",MIN(MAX(K1646/J1646,0),1.3),MIN(MAX(J1646/K1646,0),1.3))),"")</f>
        <v>1.1875</v>
      </c>
      <c r="M1646" s="39">
        <f t="shared" ref="M1646:M1656" si="127">IFERROR(IF(OR(J1646=0,K1646=""),"",IF(E1646="Positivo",MAX(K1646/J1646,0),MAX(J1646/K1646,0))),"")</f>
        <v>1.1875</v>
      </c>
      <c r="N1646" t="s">
        <v>25</v>
      </c>
      <c r="O1646" t="s">
        <v>25</v>
      </c>
      <c r="P1646">
        <v>0</v>
      </c>
      <c r="Q1646">
        <v>0</v>
      </c>
      <c r="R1646" t="s">
        <v>3231</v>
      </c>
    </row>
    <row r="1647" spans="1:19" hidden="1" x14ac:dyDescent="0.3">
      <c r="A1647">
        <v>550</v>
      </c>
      <c r="B1647" t="s">
        <v>1494</v>
      </c>
      <c r="C1647" t="s">
        <v>1097</v>
      </c>
      <c r="D1647" t="s">
        <v>21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J1647">
        <v>80</v>
      </c>
      <c r="K1647">
        <v>95.5</v>
      </c>
      <c r="L1647" s="39">
        <f t="shared" si="126"/>
        <v>1.1937500000000001</v>
      </c>
      <c r="M1647" s="39">
        <f t="shared" si="127"/>
        <v>1.1937500000000001</v>
      </c>
      <c r="N1647" t="s">
        <v>25</v>
      </c>
      <c r="O1647" t="s">
        <v>25</v>
      </c>
      <c r="P1647">
        <v>0</v>
      </c>
      <c r="Q1647">
        <v>0</v>
      </c>
      <c r="R1647" t="s">
        <v>1495</v>
      </c>
    </row>
    <row r="1648" spans="1:19" hidden="1" x14ac:dyDescent="0.3">
      <c r="A1648">
        <v>551</v>
      </c>
      <c r="B1648" t="s">
        <v>1496</v>
      </c>
      <c r="C1648" t="s">
        <v>1097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4</v>
      </c>
      <c r="K1648">
        <v>5</v>
      </c>
      <c r="L1648" s="39">
        <f t="shared" si="126"/>
        <v>1.25</v>
      </c>
      <c r="M1648" s="39">
        <f t="shared" si="127"/>
        <v>1.25</v>
      </c>
      <c r="N1648" t="s">
        <v>25</v>
      </c>
      <c r="O1648" t="s">
        <v>25</v>
      </c>
      <c r="P1648">
        <v>0</v>
      </c>
      <c r="Q1648">
        <v>0</v>
      </c>
      <c r="R1648" t="s">
        <v>3232</v>
      </c>
    </row>
    <row r="1649" spans="1:19" hidden="1" x14ac:dyDescent="0.3">
      <c r="A1649">
        <v>551</v>
      </c>
      <c r="B1649" t="s">
        <v>1496</v>
      </c>
      <c r="C1649" t="s">
        <v>1097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4</v>
      </c>
      <c r="K1649">
        <v>5</v>
      </c>
      <c r="L1649" s="39">
        <f t="shared" si="126"/>
        <v>1.25</v>
      </c>
      <c r="M1649" s="39">
        <f t="shared" si="127"/>
        <v>1.25</v>
      </c>
      <c r="N1649" t="s">
        <v>25</v>
      </c>
      <c r="O1649" t="s">
        <v>25</v>
      </c>
      <c r="P1649">
        <v>0</v>
      </c>
      <c r="Q1649">
        <v>0</v>
      </c>
      <c r="R1649" t="s">
        <v>1497</v>
      </c>
    </row>
    <row r="1650" spans="1:19" hidden="1" x14ac:dyDescent="0.3">
      <c r="A1650">
        <v>552</v>
      </c>
      <c r="B1650" t="s">
        <v>1498</v>
      </c>
      <c r="C1650" t="s">
        <v>951</v>
      </c>
      <c r="D1650" t="s">
        <v>71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80</v>
      </c>
      <c r="K1650">
        <v>92</v>
      </c>
      <c r="L1650" s="39">
        <f t="shared" si="126"/>
        <v>1.1499999999999999</v>
      </c>
      <c r="M1650" s="39">
        <f t="shared" si="127"/>
        <v>1.1499999999999999</v>
      </c>
      <c r="N1650" t="s">
        <v>25</v>
      </c>
      <c r="O1650" t="s">
        <v>25</v>
      </c>
      <c r="P1650">
        <v>0</v>
      </c>
      <c r="Q1650">
        <v>0</v>
      </c>
      <c r="R1650" t="s">
        <v>3233</v>
      </c>
    </row>
    <row r="1651" spans="1:19" hidden="1" x14ac:dyDescent="0.3">
      <c r="A1651">
        <v>552</v>
      </c>
      <c r="B1651" t="s">
        <v>1498</v>
      </c>
      <c r="C1651" t="s">
        <v>951</v>
      </c>
      <c r="D1651" t="s">
        <v>71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80</v>
      </c>
      <c r="K1651">
        <v>92</v>
      </c>
      <c r="L1651" s="39">
        <f t="shared" si="126"/>
        <v>1.1499999999999999</v>
      </c>
      <c r="M1651" s="39">
        <f t="shared" si="127"/>
        <v>1.1499999999999999</v>
      </c>
      <c r="N1651" t="s">
        <v>25</v>
      </c>
      <c r="O1651" t="s">
        <v>25</v>
      </c>
      <c r="P1651">
        <v>0</v>
      </c>
      <c r="Q1651">
        <v>0</v>
      </c>
      <c r="R1651" t="s">
        <v>1499</v>
      </c>
    </row>
    <row r="1652" spans="1:19" hidden="1" x14ac:dyDescent="0.3">
      <c r="A1652">
        <v>553</v>
      </c>
      <c r="B1652" t="s">
        <v>1500</v>
      </c>
      <c r="C1652" t="s">
        <v>1020</v>
      </c>
      <c r="D1652" t="s">
        <v>71</v>
      </c>
      <c r="E1652" t="s">
        <v>22</v>
      </c>
      <c r="F1652" s="79">
        <v>46022</v>
      </c>
      <c r="G1652">
        <v>2025</v>
      </c>
      <c r="H1652" t="s">
        <v>23</v>
      </c>
      <c r="I1652" t="s">
        <v>32</v>
      </c>
      <c r="J1652">
        <v>80</v>
      </c>
      <c r="K1652">
        <v>83</v>
      </c>
      <c r="L1652" s="39">
        <f t="shared" si="126"/>
        <v>1.0375000000000001</v>
      </c>
      <c r="M1652" s="39">
        <f t="shared" si="127"/>
        <v>1.0375000000000001</v>
      </c>
      <c r="N1652" t="s">
        <v>25</v>
      </c>
      <c r="O1652" t="s">
        <v>25</v>
      </c>
      <c r="P1652">
        <v>0</v>
      </c>
      <c r="Q1652">
        <v>0</v>
      </c>
      <c r="R1652" t="s">
        <v>1501</v>
      </c>
    </row>
    <row r="1653" spans="1:19" hidden="1" x14ac:dyDescent="0.3">
      <c r="A1653">
        <v>554</v>
      </c>
      <c r="B1653" t="s">
        <v>1502</v>
      </c>
      <c r="C1653" t="s">
        <v>536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L1653" s="39" t="str">
        <f t="shared" si="126"/>
        <v/>
      </c>
      <c r="M1653" s="39" t="str">
        <f t="shared" si="127"/>
        <v/>
      </c>
      <c r="N1653" t="s">
        <v>25</v>
      </c>
      <c r="O1653" t="s">
        <v>25</v>
      </c>
      <c r="P1653">
        <v>0</v>
      </c>
      <c r="Q1653">
        <v>0</v>
      </c>
      <c r="R1653" t="s">
        <v>3234</v>
      </c>
      <c r="S1653" t="s">
        <v>302</v>
      </c>
    </row>
    <row r="1654" spans="1:19" hidden="1" x14ac:dyDescent="0.3">
      <c r="A1654">
        <v>554</v>
      </c>
      <c r="B1654" t="s">
        <v>1502</v>
      </c>
      <c r="C1654" t="s">
        <v>536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80</v>
      </c>
      <c r="K1654">
        <v>95</v>
      </c>
      <c r="L1654" s="39">
        <f t="shared" si="126"/>
        <v>1.1875</v>
      </c>
      <c r="M1654" s="39">
        <f t="shared" si="127"/>
        <v>1.1875</v>
      </c>
      <c r="N1654" t="s">
        <v>25</v>
      </c>
      <c r="O1654" t="s">
        <v>25</v>
      </c>
      <c r="P1654">
        <v>0</v>
      </c>
      <c r="Q1654">
        <v>0</v>
      </c>
      <c r="R1654" t="s">
        <v>1503</v>
      </c>
    </row>
    <row r="1655" spans="1:19" hidden="1" x14ac:dyDescent="0.3">
      <c r="A1655">
        <v>555</v>
      </c>
      <c r="B1655" t="s">
        <v>1504</v>
      </c>
      <c r="C1655" t="s">
        <v>1044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80</v>
      </c>
      <c r="K1655">
        <v>100</v>
      </c>
      <c r="L1655" s="39">
        <f t="shared" si="126"/>
        <v>1.25</v>
      </c>
      <c r="M1655" s="39">
        <f t="shared" si="127"/>
        <v>1.25</v>
      </c>
      <c r="N1655" t="s">
        <v>25</v>
      </c>
      <c r="O1655" t="s">
        <v>25</v>
      </c>
      <c r="P1655">
        <v>0</v>
      </c>
      <c r="Q1655">
        <v>0</v>
      </c>
      <c r="R1655" t="s">
        <v>1505</v>
      </c>
    </row>
    <row r="1656" spans="1:19" hidden="1" x14ac:dyDescent="0.3">
      <c r="A1656">
        <v>556</v>
      </c>
      <c r="B1656" t="s">
        <v>1506</v>
      </c>
      <c r="C1656" t="s">
        <v>40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70</v>
      </c>
      <c r="K1656">
        <v>113.75</v>
      </c>
      <c r="L1656" s="39">
        <f t="shared" si="126"/>
        <v>1.3</v>
      </c>
      <c r="M1656" s="39">
        <f t="shared" si="127"/>
        <v>1.625</v>
      </c>
      <c r="N1656" t="s">
        <v>25</v>
      </c>
      <c r="O1656" t="s">
        <v>25</v>
      </c>
      <c r="P1656">
        <v>0</v>
      </c>
      <c r="Q1656">
        <v>0</v>
      </c>
      <c r="R1656" t="s">
        <v>1507</v>
      </c>
    </row>
    <row r="1657" spans="1:19" hidden="1" x14ac:dyDescent="0.3">
      <c r="A1657" s="5">
        <v>274</v>
      </c>
      <c r="B1657" s="5" t="s">
        <v>648</v>
      </c>
      <c r="C1657" s="5" t="s">
        <v>586</v>
      </c>
      <c r="D1657" s="5" t="s">
        <v>27</v>
      </c>
      <c r="E1657" s="5" t="s">
        <v>22</v>
      </c>
      <c r="F1657" s="84">
        <v>44742</v>
      </c>
      <c r="G1657" s="15">
        <v>2022</v>
      </c>
      <c r="H1657" s="6" t="s">
        <v>699</v>
      </c>
      <c r="I1657" s="27" t="s">
        <v>1510</v>
      </c>
      <c r="J1657" s="5">
        <v>39623</v>
      </c>
      <c r="K1657" s="5">
        <v>40000</v>
      </c>
      <c r="L1657" s="14">
        <v>1.0095146758195996</v>
      </c>
      <c r="M1657" s="14">
        <v>1.0095146758195996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4379</v>
      </c>
    </row>
    <row r="1658" spans="1:19" hidden="1" x14ac:dyDescent="0.3">
      <c r="A1658" s="5">
        <v>274</v>
      </c>
      <c r="B1658" s="5" t="s">
        <v>648</v>
      </c>
      <c r="C1658" s="5" t="s">
        <v>586</v>
      </c>
      <c r="D1658" s="5" t="s">
        <v>27</v>
      </c>
      <c r="E1658" s="5" t="s">
        <v>22</v>
      </c>
      <c r="F1658" s="84">
        <v>44926</v>
      </c>
      <c r="G1658" s="15">
        <v>2022</v>
      </c>
      <c r="H1658" s="6" t="s">
        <v>23</v>
      </c>
      <c r="I1658" s="27" t="s">
        <v>24</v>
      </c>
      <c r="J1658" s="5">
        <v>39817</v>
      </c>
      <c r="K1658" s="5">
        <v>40663</v>
      </c>
      <c r="L1658" s="14">
        <v>1.0212472059673003</v>
      </c>
      <c r="M1658" s="14">
        <v>1.0212472059673003</v>
      </c>
      <c r="N1658" s="5" t="s">
        <v>128</v>
      </c>
      <c r="O1658" s="5" t="s">
        <v>128</v>
      </c>
      <c r="P1658" s="5">
        <v>0</v>
      </c>
      <c r="Q1658" s="5">
        <v>0</v>
      </c>
      <c r="R1658" s="5" t="s">
        <v>4380</v>
      </c>
    </row>
    <row r="1659" spans="1:19" hidden="1" x14ac:dyDescent="0.3">
      <c r="A1659" s="5">
        <v>274</v>
      </c>
      <c r="B1659" s="5" t="s">
        <v>648</v>
      </c>
      <c r="C1659" s="5" t="s">
        <v>586</v>
      </c>
      <c r="D1659" s="5" t="s">
        <v>27</v>
      </c>
      <c r="E1659" s="5" t="s">
        <v>22</v>
      </c>
      <c r="F1659" s="84">
        <v>45107</v>
      </c>
      <c r="G1659" s="15">
        <v>2023</v>
      </c>
      <c r="H1659" s="6" t="s">
        <v>699</v>
      </c>
      <c r="I1659" s="27" t="s">
        <v>1512</v>
      </c>
      <c r="J1659" s="5">
        <v>40047</v>
      </c>
      <c r="K1659" s="3">
        <v>39091</v>
      </c>
      <c r="L1659" s="14">
        <v>0.97612804954178845</v>
      </c>
      <c r="M1659" s="14">
        <v>0.97612804954178845</v>
      </c>
      <c r="N1659" s="5" t="s">
        <v>128</v>
      </c>
      <c r="O1659" s="5" t="s">
        <v>128</v>
      </c>
      <c r="P1659" s="5">
        <v>0</v>
      </c>
      <c r="Q1659" s="5">
        <v>0</v>
      </c>
      <c r="R1659" s="5" t="s">
        <v>2491</v>
      </c>
    </row>
    <row r="1660" spans="1:19" hidden="1" x14ac:dyDescent="0.3">
      <c r="A1660" s="5">
        <v>274</v>
      </c>
      <c r="B1660" s="5" t="s">
        <v>648</v>
      </c>
      <c r="C1660" s="5" t="s">
        <v>586</v>
      </c>
      <c r="D1660" s="5" t="s">
        <v>27</v>
      </c>
      <c r="E1660" s="5" t="s">
        <v>22</v>
      </c>
      <c r="F1660" s="6">
        <v>45291</v>
      </c>
      <c r="G1660" s="5">
        <v>2023</v>
      </c>
      <c r="H1660" s="5" t="s">
        <v>23</v>
      </c>
      <c r="I1660" s="6" t="s">
        <v>28</v>
      </c>
      <c r="J1660" s="5">
        <v>41811</v>
      </c>
      <c r="K1660" s="3">
        <v>40771</v>
      </c>
      <c r="L1660" s="14">
        <v>0.97512616297146681</v>
      </c>
      <c r="M1660" s="14">
        <v>0.97512616297146681</v>
      </c>
      <c r="N1660" s="5" t="s">
        <v>128</v>
      </c>
      <c r="O1660" s="5" t="s">
        <v>128</v>
      </c>
      <c r="P1660" s="5">
        <v>0</v>
      </c>
      <c r="Q1660" s="5">
        <v>0</v>
      </c>
      <c r="R1660" s="5" t="s">
        <v>649</v>
      </c>
    </row>
    <row r="1661" spans="1:19" hidden="1" x14ac:dyDescent="0.3">
      <c r="A1661" s="5">
        <v>274</v>
      </c>
      <c r="B1661" s="5" t="s">
        <v>648</v>
      </c>
      <c r="C1661" s="5" t="s">
        <v>586</v>
      </c>
      <c r="D1661" s="5" t="s">
        <v>27</v>
      </c>
      <c r="E1661" s="5" t="s">
        <v>22</v>
      </c>
      <c r="F1661" s="6">
        <v>45473</v>
      </c>
      <c r="G1661" s="5">
        <v>2024</v>
      </c>
      <c r="H1661" s="5" t="s">
        <v>699</v>
      </c>
      <c r="I1661" s="6" t="s">
        <v>729</v>
      </c>
      <c r="J1661" s="16">
        <v>38813</v>
      </c>
      <c r="K1661" s="62">
        <v>39598</v>
      </c>
      <c r="L1661" s="14">
        <v>1.0202251822842863</v>
      </c>
      <c r="M1661" s="14">
        <v>1.0202251822842863</v>
      </c>
      <c r="N1661" s="5" t="s">
        <v>128</v>
      </c>
      <c r="O1661" s="5" t="s">
        <v>128</v>
      </c>
      <c r="P1661" s="5">
        <v>0</v>
      </c>
      <c r="Q1661" s="5">
        <v>0</v>
      </c>
      <c r="R1661" s="5" t="s">
        <v>2492</v>
      </c>
    </row>
    <row r="1662" spans="1:19" hidden="1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6">
        <v>45657</v>
      </c>
      <c r="G1662" s="5">
        <v>2024</v>
      </c>
      <c r="H1662" s="5" t="s">
        <v>23</v>
      </c>
      <c r="I1662" s="6" t="s">
        <v>30</v>
      </c>
      <c r="J1662" s="5">
        <v>40441</v>
      </c>
      <c r="K1662" s="3">
        <v>41436</v>
      </c>
      <c r="L1662" s="14">
        <v>1.0246037437254272</v>
      </c>
      <c r="M1662" s="14">
        <v>1.0246037437254272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650</v>
      </c>
    </row>
    <row r="1663" spans="1:19" hidden="1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6">
        <v>45838</v>
      </c>
      <c r="G1663" s="5">
        <v>2025</v>
      </c>
      <c r="H1663" s="5" t="s">
        <v>699</v>
      </c>
      <c r="I1663" s="6" t="s">
        <v>700</v>
      </c>
      <c r="J1663" s="83">
        <v>40026</v>
      </c>
      <c r="K1663" s="51">
        <v>42364</v>
      </c>
      <c r="L1663" s="14">
        <v>1.0584120321790835</v>
      </c>
      <c r="M1663" s="14">
        <v>1.0584120321790835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2493</v>
      </c>
    </row>
    <row r="1664" spans="1:19" hidden="1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6">
        <v>46022</v>
      </c>
      <c r="G1664" s="5">
        <v>2025</v>
      </c>
      <c r="H1664" s="5" t="s">
        <v>23</v>
      </c>
      <c r="I1664" s="6" t="s">
        <v>32</v>
      </c>
      <c r="J1664" s="85">
        <v>44737</v>
      </c>
      <c r="K1664" s="9">
        <v>45583</v>
      </c>
      <c r="L1664" s="14">
        <v>1.0189105214922771</v>
      </c>
      <c r="M1664" s="14">
        <v>1.0189105214922771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651</v>
      </c>
    </row>
    <row r="1665" spans="1:18" hidden="1" x14ac:dyDescent="0.3">
      <c r="A1665" s="5">
        <v>379</v>
      </c>
      <c r="B1665" s="5" t="s">
        <v>1019</v>
      </c>
      <c r="C1665" s="5" t="s">
        <v>1020</v>
      </c>
      <c r="D1665" s="5" t="s">
        <v>27</v>
      </c>
      <c r="E1665" s="5" t="s">
        <v>22</v>
      </c>
      <c r="F1665" s="84">
        <v>44742</v>
      </c>
      <c r="G1665" s="15">
        <v>2022</v>
      </c>
      <c r="H1665" s="6" t="s">
        <v>699</v>
      </c>
      <c r="I1665" s="27" t="s">
        <v>1510</v>
      </c>
      <c r="J1665" s="23">
        <v>10808</v>
      </c>
      <c r="K1665" s="23">
        <v>11013</v>
      </c>
      <c r="L1665" s="14">
        <v>1.0189674315321984</v>
      </c>
      <c r="M1665" s="14">
        <v>1.0189674315321984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4381</v>
      </c>
    </row>
    <row r="1666" spans="1:18" hidden="1" x14ac:dyDescent="0.3">
      <c r="A1666" s="5">
        <v>379</v>
      </c>
      <c r="B1666" s="5" t="s">
        <v>1019</v>
      </c>
      <c r="C1666" s="5" t="s">
        <v>1020</v>
      </c>
      <c r="D1666" s="5" t="s">
        <v>27</v>
      </c>
      <c r="E1666" s="5" t="s">
        <v>22</v>
      </c>
      <c r="F1666" s="84">
        <v>44926</v>
      </c>
      <c r="G1666" s="15">
        <v>2022</v>
      </c>
      <c r="H1666" s="6" t="s">
        <v>23</v>
      </c>
      <c r="I1666" s="27" t="s">
        <v>24</v>
      </c>
      <c r="J1666" s="23">
        <v>9192</v>
      </c>
      <c r="K1666" s="23">
        <v>9678</v>
      </c>
      <c r="L1666" s="14">
        <v>1.0528720626631853</v>
      </c>
      <c r="M1666" s="14">
        <v>1.0528720626631853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4382</v>
      </c>
    </row>
    <row r="1667" spans="1:18" hidden="1" x14ac:dyDescent="0.3">
      <c r="A1667" s="5">
        <v>379</v>
      </c>
      <c r="B1667" s="5" t="s">
        <v>1019</v>
      </c>
      <c r="C1667" s="5" t="s">
        <v>1020</v>
      </c>
      <c r="D1667" s="5" t="s">
        <v>27</v>
      </c>
      <c r="E1667" s="5" t="s">
        <v>22</v>
      </c>
      <c r="F1667" s="84">
        <v>45107</v>
      </c>
      <c r="G1667" s="15">
        <v>2023</v>
      </c>
      <c r="H1667" s="6" t="s">
        <v>699</v>
      </c>
      <c r="I1667" s="27" t="s">
        <v>1512</v>
      </c>
      <c r="J1667" s="23">
        <v>12130</v>
      </c>
      <c r="K1667" s="23">
        <v>12382</v>
      </c>
      <c r="L1667" s="14">
        <v>1.0207749381698268</v>
      </c>
      <c r="M1667" s="14">
        <v>1.0207749381698268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2776</v>
      </c>
    </row>
    <row r="1668" spans="1:18" hidden="1" x14ac:dyDescent="0.3">
      <c r="A1668" s="26">
        <v>379</v>
      </c>
      <c r="B1668" s="5" t="s">
        <v>1019</v>
      </c>
      <c r="C1668" s="5" t="s">
        <v>1020</v>
      </c>
      <c r="D1668" s="5" t="s">
        <v>27</v>
      </c>
      <c r="E1668" s="5" t="s">
        <v>22</v>
      </c>
      <c r="F1668" s="6">
        <v>45291</v>
      </c>
      <c r="G1668" s="5">
        <v>2023</v>
      </c>
      <c r="H1668" s="5" t="s">
        <v>23</v>
      </c>
      <c r="I1668" s="6" t="s">
        <v>28</v>
      </c>
      <c r="J1668" s="9">
        <v>9876</v>
      </c>
      <c r="K1668" s="9">
        <v>10604</v>
      </c>
      <c r="L1668" s="14">
        <v>1.0737140542729851</v>
      </c>
      <c r="M1668" s="14">
        <v>1.0737140542729851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1021</v>
      </c>
    </row>
    <row r="1669" spans="1:18" hidden="1" x14ac:dyDescent="0.3">
      <c r="A1669" s="5">
        <v>379</v>
      </c>
      <c r="B1669" s="5" t="s">
        <v>1019</v>
      </c>
      <c r="C1669" s="5" t="s">
        <v>1020</v>
      </c>
      <c r="D1669" s="5" t="s">
        <v>27</v>
      </c>
      <c r="E1669" s="5" t="s">
        <v>22</v>
      </c>
      <c r="F1669" s="6">
        <v>45473</v>
      </c>
      <c r="G1669" s="5">
        <v>2024</v>
      </c>
      <c r="H1669" s="5" t="s">
        <v>699</v>
      </c>
      <c r="I1669" s="6" t="s">
        <v>729</v>
      </c>
      <c r="J1669" s="9">
        <v>13590</v>
      </c>
      <c r="K1669" s="9">
        <v>12987</v>
      </c>
      <c r="L1669" s="14">
        <v>0.95562913907284763</v>
      </c>
      <c r="M1669" s="14">
        <v>0.95562913907284763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2777</v>
      </c>
    </row>
    <row r="1670" spans="1:18" hidden="1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6">
        <v>45657</v>
      </c>
      <c r="G1670" s="5">
        <v>2024</v>
      </c>
      <c r="H1670" s="5" t="s">
        <v>23</v>
      </c>
      <c r="I1670" s="6" t="s">
        <v>30</v>
      </c>
      <c r="J1670" s="9">
        <v>10675</v>
      </c>
      <c r="K1670" s="9">
        <v>10569</v>
      </c>
      <c r="L1670" s="14">
        <v>0.99007025761124123</v>
      </c>
      <c r="M1670" s="14">
        <v>0.99007025761124123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1022</v>
      </c>
    </row>
    <row r="1671" spans="1:18" hidden="1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6">
        <v>45838</v>
      </c>
      <c r="G1671" s="5">
        <v>2025</v>
      </c>
      <c r="H1671" s="5" t="s">
        <v>699</v>
      </c>
      <c r="I1671" s="6" t="s">
        <v>700</v>
      </c>
      <c r="J1671" s="5">
        <v>13609</v>
      </c>
      <c r="K1671" s="5">
        <v>14141</v>
      </c>
      <c r="L1671" s="14">
        <v>1.0390917775001838</v>
      </c>
      <c r="M1671" s="14">
        <v>1.0390917775001838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2778</v>
      </c>
    </row>
    <row r="1672" spans="1:18" hidden="1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6">
        <v>46022</v>
      </c>
      <c r="G1672" s="5">
        <v>2025</v>
      </c>
      <c r="H1672" s="5" t="s">
        <v>23</v>
      </c>
      <c r="I1672" s="6" t="s">
        <v>32</v>
      </c>
      <c r="J1672" s="5">
        <v>11018</v>
      </c>
      <c r="K1672" s="5">
        <v>11224</v>
      </c>
      <c r="L1672" s="14">
        <v>1.018696678163006</v>
      </c>
      <c r="M1672" s="14">
        <v>1.018696678163006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1023</v>
      </c>
    </row>
    <row r="1673" spans="1:18" hidden="1" x14ac:dyDescent="0.3">
      <c r="A1673" s="5">
        <v>14</v>
      </c>
      <c r="B1673" s="5" t="s">
        <v>4383</v>
      </c>
      <c r="C1673" s="5" t="s">
        <v>333</v>
      </c>
      <c r="D1673" s="5" t="s">
        <v>27</v>
      </c>
      <c r="E1673" s="5" t="s">
        <v>22</v>
      </c>
      <c r="F1673" s="6">
        <v>44742</v>
      </c>
      <c r="G1673" s="15">
        <v>2022</v>
      </c>
      <c r="H1673" s="6" t="s">
        <v>699</v>
      </c>
      <c r="I1673" s="27" t="s">
        <v>1510</v>
      </c>
      <c r="J1673" s="9">
        <v>49004</v>
      </c>
      <c r="K1673" s="86">
        <v>51012</v>
      </c>
      <c r="L1673" s="14">
        <v>1.040976246836993</v>
      </c>
      <c r="M1673" s="14">
        <v>1.040976246836993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4390</v>
      </c>
    </row>
    <row r="1674" spans="1:18" hidden="1" x14ac:dyDescent="0.3">
      <c r="A1674" s="5">
        <v>14</v>
      </c>
      <c r="B1674" s="5" t="s">
        <v>4383</v>
      </c>
      <c r="C1674" s="5" t="s">
        <v>333</v>
      </c>
      <c r="D1674" s="5" t="s">
        <v>27</v>
      </c>
      <c r="E1674" s="5" t="s">
        <v>22</v>
      </c>
      <c r="F1674" s="84">
        <v>44926</v>
      </c>
      <c r="G1674" s="15">
        <v>2022</v>
      </c>
      <c r="H1674" s="6" t="s">
        <v>23</v>
      </c>
      <c r="I1674" s="27" t="s">
        <v>24</v>
      </c>
      <c r="J1674" s="9">
        <v>50430</v>
      </c>
      <c r="K1674" s="9">
        <v>50241</v>
      </c>
      <c r="L1674" s="14">
        <v>0.99625223081499104</v>
      </c>
      <c r="M1674" s="14">
        <v>0.99625223081499104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4384</v>
      </c>
    </row>
    <row r="1675" spans="1:18" hidden="1" x14ac:dyDescent="0.3">
      <c r="A1675" s="5">
        <v>14</v>
      </c>
      <c r="B1675" s="5" t="s">
        <v>4383</v>
      </c>
      <c r="C1675" s="5" t="s">
        <v>333</v>
      </c>
      <c r="D1675" s="5" t="s">
        <v>27</v>
      </c>
      <c r="E1675" s="5" t="s">
        <v>22</v>
      </c>
      <c r="F1675" s="6">
        <v>45107</v>
      </c>
      <c r="G1675" s="15">
        <v>2023</v>
      </c>
      <c r="H1675" s="6" t="s">
        <v>699</v>
      </c>
      <c r="I1675" s="27" t="s">
        <v>1512</v>
      </c>
      <c r="J1675" s="9">
        <v>52177</v>
      </c>
      <c r="K1675" s="9">
        <v>51473</v>
      </c>
      <c r="L1675" s="14">
        <v>0.98650746497498898</v>
      </c>
      <c r="M1675" s="14">
        <v>0.98650746497498898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4391</v>
      </c>
    </row>
    <row r="1676" spans="1:18" hidden="1" x14ac:dyDescent="0.3">
      <c r="A1676" s="5">
        <v>14</v>
      </c>
      <c r="B1676" s="5" t="s">
        <v>4383</v>
      </c>
      <c r="C1676" s="5" t="s">
        <v>333</v>
      </c>
      <c r="D1676" s="5" t="s">
        <v>27</v>
      </c>
      <c r="E1676" s="5" t="s">
        <v>22</v>
      </c>
      <c r="F1676" s="6">
        <v>45291</v>
      </c>
      <c r="G1676" s="15">
        <v>2023</v>
      </c>
      <c r="H1676" s="6" t="s">
        <v>23</v>
      </c>
      <c r="I1676" s="27" t="s">
        <v>28</v>
      </c>
      <c r="J1676" s="9">
        <v>51687</v>
      </c>
      <c r="K1676" s="9">
        <v>51375</v>
      </c>
      <c r="L1676" s="14">
        <v>0.99396366591212493</v>
      </c>
      <c r="M1676" s="14">
        <v>0.99396366591212493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4385</v>
      </c>
    </row>
    <row r="1677" spans="1:18" hidden="1" x14ac:dyDescent="0.3">
      <c r="A1677" s="5">
        <v>14</v>
      </c>
      <c r="B1677" s="5" t="s">
        <v>4383</v>
      </c>
      <c r="C1677" s="5" t="s">
        <v>333</v>
      </c>
      <c r="D1677" s="5" t="s">
        <v>27</v>
      </c>
      <c r="E1677" s="5" t="s">
        <v>22</v>
      </c>
      <c r="F1677" s="6">
        <v>45473</v>
      </c>
      <c r="G1677" s="5">
        <v>2024</v>
      </c>
      <c r="H1677" s="5" t="s">
        <v>699</v>
      </c>
      <c r="I1677" s="6" t="s">
        <v>729</v>
      </c>
      <c r="J1677" s="9">
        <v>52403.186118801452</v>
      </c>
      <c r="K1677" s="9">
        <v>52585</v>
      </c>
      <c r="L1677" s="14">
        <v>1.0034695195972696</v>
      </c>
      <c r="M1677" s="14">
        <v>1.0034695195972696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4392</v>
      </c>
    </row>
    <row r="1678" spans="1:18" hidden="1" x14ac:dyDescent="0.3">
      <c r="A1678" s="5">
        <v>14</v>
      </c>
      <c r="B1678" s="5" t="s">
        <v>4383</v>
      </c>
      <c r="C1678" s="5" t="s">
        <v>333</v>
      </c>
      <c r="D1678" s="5" t="s">
        <v>27</v>
      </c>
      <c r="E1678" s="5" t="s">
        <v>22</v>
      </c>
      <c r="F1678" s="6">
        <v>45657</v>
      </c>
      <c r="G1678" s="5">
        <v>2024</v>
      </c>
      <c r="H1678" s="5" t="s">
        <v>23</v>
      </c>
      <c r="I1678" s="6" t="s">
        <v>30</v>
      </c>
      <c r="J1678" s="83">
        <v>51116.334115206948</v>
      </c>
      <c r="K1678" s="9">
        <v>52005</v>
      </c>
      <c r="L1678" s="14">
        <v>1.0173851646479608</v>
      </c>
      <c r="M1678" s="14">
        <v>1.0173851646479608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4386</v>
      </c>
    </row>
    <row r="1679" spans="1:18" hidden="1" x14ac:dyDescent="0.3">
      <c r="A1679" s="5">
        <v>14</v>
      </c>
      <c r="B1679" s="5" t="s">
        <v>4383</v>
      </c>
      <c r="C1679" s="5" t="s">
        <v>333</v>
      </c>
      <c r="D1679" s="5" t="s">
        <v>27</v>
      </c>
      <c r="E1679" s="5" t="s">
        <v>22</v>
      </c>
      <c r="F1679" s="6">
        <v>45838</v>
      </c>
      <c r="G1679" s="5">
        <v>2025</v>
      </c>
      <c r="H1679" s="5" t="s">
        <v>699</v>
      </c>
      <c r="I1679" s="6" t="s">
        <v>700</v>
      </c>
      <c r="J1679" s="9">
        <v>53635</v>
      </c>
      <c r="K1679" s="9">
        <v>56505</v>
      </c>
      <c r="L1679" s="14">
        <v>1.053509834995805</v>
      </c>
      <c r="M1679" s="14">
        <v>1.053509834995805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4393</v>
      </c>
    </row>
    <row r="1680" spans="1:18" hidden="1" x14ac:dyDescent="0.3">
      <c r="A1680" s="5">
        <v>14</v>
      </c>
      <c r="B1680" s="5" t="s">
        <v>4383</v>
      </c>
      <c r="C1680" s="5" t="s">
        <v>333</v>
      </c>
      <c r="D1680" s="5" t="s">
        <v>27</v>
      </c>
      <c r="E1680" s="5" t="s">
        <v>22</v>
      </c>
      <c r="F1680" s="6">
        <v>46022</v>
      </c>
      <c r="G1680" s="5">
        <v>2025</v>
      </c>
      <c r="H1680" s="5" t="s">
        <v>23</v>
      </c>
      <c r="I1680" s="6" t="s">
        <v>32</v>
      </c>
      <c r="J1680" s="83">
        <v>55756</v>
      </c>
      <c r="K1680" s="9">
        <v>56807</v>
      </c>
      <c r="L1680" s="14">
        <v>1.0188499892388263</v>
      </c>
      <c r="M1680" s="14">
        <v>1.0188499892388263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4389</v>
      </c>
    </row>
  </sheetData>
  <autoFilter ref="A1:S1680" xr:uid="{00000000-0001-0000-0100-000000000000}">
    <filterColumn colId="0">
      <filters>
        <filter val="423"/>
      </filters>
    </filterColumn>
  </autoFilter>
  <conditionalFormatting sqref="A36:A40">
    <cfRule type="duplicateValues" dxfId="120" priority="29"/>
    <cfRule type="duplicateValues" dxfId="119" priority="30"/>
    <cfRule type="duplicateValues" dxfId="118" priority="31"/>
  </conditionalFormatting>
  <conditionalFormatting sqref="A42:A53">
    <cfRule type="duplicateValues" dxfId="117" priority="12"/>
  </conditionalFormatting>
  <conditionalFormatting sqref="A611">
    <cfRule type="duplicateValues" dxfId="116" priority="6"/>
    <cfRule type="duplicateValues" dxfId="115" priority="7"/>
    <cfRule type="duplicateValues" dxfId="114" priority="8"/>
  </conditionalFormatting>
  <conditionalFormatting sqref="A1535">
    <cfRule type="duplicateValues" dxfId="113" priority="4"/>
    <cfRule type="duplicateValues" dxfId="112" priority="5"/>
  </conditionalFormatting>
  <conditionalFormatting sqref="A1541:A1542">
    <cfRule type="duplicateValues" dxfId="111" priority="3"/>
  </conditionalFormatting>
  <conditionalFormatting sqref="A1673:A1678">
    <cfRule type="duplicateValues" dxfId="110" priority="2"/>
  </conditionalFormatting>
  <conditionalFormatting sqref="A1679:A1680">
    <cfRule type="duplicateValues" dxfId="10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992"/>
  <sheetViews>
    <sheetView tabSelected="1" zoomScaleNormal="100" workbookViewId="0">
      <selection activeCell="I784" sqref="I784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55</v>
      </c>
      <c r="K388" s="9">
        <v>55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73</v>
      </c>
      <c r="K389" s="5">
        <v>73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84</v>
      </c>
      <c r="K390" s="5">
        <v>84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>
        <v>97.166666666666998</v>
      </c>
      <c r="L659" s="14">
        <f>IFERROR(IF(OR(J659=0,K659=""),"",IF(E659="Positivo",MIN(MAX(K659/J659,0),1),MIN(MAX(J659/K659,0),1))),"")</f>
        <v>0.97166666666667001</v>
      </c>
      <c r="M659" s="14">
        <f t="shared" si="63"/>
        <v>0.97166666666667001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20</v>
      </c>
      <c r="K797">
        <v>18.11</v>
      </c>
      <c r="L797" s="39">
        <f t="shared" si="76"/>
        <v>1.1043622308117063</v>
      </c>
      <c r="M797" s="39">
        <f t="shared" si="77"/>
        <v>1.1043622308117063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20</v>
      </c>
      <c r="K798">
        <v>17.555</v>
      </c>
      <c r="L798" s="39">
        <f t="shared" si="76"/>
        <v>1.1392765593847907</v>
      </c>
      <c r="M798" s="39">
        <f t="shared" si="77"/>
        <v>1.1392765593847907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20</v>
      </c>
      <c r="K799">
        <v>16.5</v>
      </c>
      <c r="L799" s="39">
        <f t="shared" si="76"/>
        <v>1.2121212121212122</v>
      </c>
      <c r="M799" s="39">
        <f t="shared" si="77"/>
        <v>1.2121212121212122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41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75</v>
      </c>
      <c r="K851">
        <v>160</v>
      </c>
      <c r="L851" s="39">
        <f t="shared" si="80"/>
        <v>1.3</v>
      </c>
      <c r="M851" s="39">
        <f t="shared" si="81"/>
        <v>2.1333333333333333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165</v>
      </c>
      <c r="K852">
        <v>152</v>
      </c>
      <c r="L852" s="39">
        <f t="shared" si="80"/>
        <v>0.92121212121212126</v>
      </c>
      <c r="M852" s="39">
        <f t="shared" si="81"/>
        <v>0.92121212121212126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50</v>
      </c>
      <c r="K866">
        <v>53.8</v>
      </c>
      <c r="L866" s="39">
        <f t="shared" si="82"/>
        <v>1.0759999999999998</v>
      </c>
      <c r="M866" s="39">
        <f t="shared" si="83"/>
        <v>1.0759999999999998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55</v>
      </c>
      <c r="K867">
        <v>58.6</v>
      </c>
      <c r="L867" s="39">
        <f t="shared" si="82"/>
        <v>1.0654545454545454</v>
      </c>
      <c r="M867" s="39">
        <f t="shared" si="83"/>
        <v>1.0654545454545454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</v>
      </c>
      <c r="K883">
        <v>14</v>
      </c>
      <c r="L883" s="39">
        <f t="shared" ref="L883:L888" si="85">IFERROR(IF(OR(J883=0,K883=""),"",IF(E883="Positivo",MIN(MAX(K883/J883,0),1.3),MIN(MAX(J883/K883,0),1.3))),"")</f>
        <v>1.3</v>
      </c>
      <c r="M883" s="39">
        <f t="shared" ref="M883:M888" si="86">IFERROR(IF(OR(J883=0,K883=""),"",IF(E883="Positivo",MAX(K883/J883,0),MAX(J883/K883,0))),"")</f>
        <v>1.4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5</v>
      </c>
      <c r="K884">
        <v>5</v>
      </c>
      <c r="L884" s="39">
        <f t="shared" si="85"/>
        <v>1</v>
      </c>
      <c r="M884" s="39">
        <f t="shared" si="86"/>
        <v>1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9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9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9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9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9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9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9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9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9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9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9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9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L956" s="39" t="str">
        <f t="shared" si="91"/>
        <v/>
      </c>
      <c r="M956" s="39" t="str">
        <f t="shared" si="92"/>
        <v/>
      </c>
      <c r="N956" t="s">
        <v>25</v>
      </c>
      <c r="O956" t="s">
        <v>25</v>
      </c>
      <c r="P956">
        <v>0</v>
      </c>
      <c r="Q956">
        <v>0</v>
      </c>
      <c r="R956" t="s">
        <v>1453</v>
      </c>
      <c r="S956" t="s">
        <v>395</v>
      </c>
    </row>
    <row r="957" spans="1:19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9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9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9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4382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4383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4384</v>
      </c>
    </row>
    <row r="989" spans="1:18" x14ac:dyDescent="0.3">
      <c r="A989" s="5">
        <v>14</v>
      </c>
      <c r="B989" s="5" t="s">
        <v>4383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4385</v>
      </c>
    </row>
    <row r="990" spans="1:18" x14ac:dyDescent="0.3">
      <c r="A990" s="5">
        <v>14</v>
      </c>
      <c r="B990" s="5" t="s">
        <v>4383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4386</v>
      </c>
    </row>
    <row r="991" spans="1:18" x14ac:dyDescent="0.3">
      <c r="A991" s="5">
        <v>14</v>
      </c>
      <c r="B991" s="5" t="s">
        <v>4383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4387</v>
      </c>
      <c r="H991" s="6" t="s">
        <v>4387</v>
      </c>
      <c r="I991" s="6" t="s">
        <v>4387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4388</v>
      </c>
    </row>
    <row r="992" spans="1:18" x14ac:dyDescent="0.3">
      <c r="A992" s="5">
        <v>14</v>
      </c>
      <c r="B992" s="5" t="s">
        <v>4383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4389</v>
      </c>
    </row>
  </sheetData>
  <conditionalFormatting sqref="A22">
    <cfRule type="duplicateValues" dxfId="108" priority="189"/>
    <cfRule type="duplicateValues" dxfId="107" priority="190"/>
    <cfRule type="duplicateValues" dxfId="106" priority="188"/>
  </conditionalFormatting>
  <conditionalFormatting sqref="A23">
    <cfRule type="duplicateValues" dxfId="105" priority="192"/>
  </conditionalFormatting>
  <conditionalFormatting sqref="A606">
    <cfRule type="duplicateValues" dxfId="104" priority="163"/>
    <cfRule type="duplicateValues" dxfId="103" priority="166"/>
    <cfRule type="duplicateValues" dxfId="102" priority="165"/>
    <cfRule type="duplicateValues" dxfId="101" priority="164"/>
  </conditionalFormatting>
  <conditionalFormatting sqref="A908:A916">
    <cfRule type="duplicateValues" dxfId="100" priority="162"/>
  </conditionalFormatting>
  <conditionalFormatting sqref="A956">
    <cfRule type="duplicateValues" dxfId="99" priority="149"/>
    <cfRule type="duplicateValues" dxfId="98" priority="148"/>
  </conditionalFormatting>
  <conditionalFormatting sqref="A1001">
    <cfRule type="duplicateValues" dxfId="97" priority="144"/>
    <cfRule type="duplicateValues" dxfId="96" priority="142"/>
    <cfRule type="duplicateValues" dxfId="95" priority="146"/>
    <cfRule type="duplicateValues" dxfId="94" priority="145"/>
  </conditionalFormatting>
  <conditionalFormatting sqref="A1002">
    <cfRule type="duplicateValues" dxfId="93" priority="136"/>
    <cfRule type="duplicateValues" dxfId="92" priority="139"/>
    <cfRule type="duplicateValues" dxfId="91" priority="140"/>
    <cfRule type="duplicateValues" dxfId="90" priority="138"/>
  </conditionalFormatting>
  <conditionalFormatting sqref="A1003">
    <cfRule type="duplicateValues" dxfId="89" priority="133"/>
    <cfRule type="duplicateValues" dxfId="88" priority="134"/>
    <cfRule type="duplicateValues" dxfId="87" priority="132"/>
    <cfRule type="duplicateValues" dxfId="86" priority="130"/>
  </conditionalFormatting>
  <conditionalFormatting sqref="A1004">
    <cfRule type="duplicateValues" dxfId="85" priority="128"/>
    <cfRule type="duplicateValues" dxfId="84" priority="127"/>
    <cfRule type="duplicateValues" dxfId="83" priority="126"/>
    <cfRule type="duplicateValues" dxfId="82" priority="124"/>
  </conditionalFormatting>
  <conditionalFormatting sqref="A1005">
    <cfRule type="duplicateValues" dxfId="81" priority="120"/>
    <cfRule type="duplicateValues" dxfId="80" priority="122"/>
    <cfRule type="duplicateValues" dxfId="79" priority="121"/>
    <cfRule type="duplicateValues" dxfId="78" priority="118"/>
  </conditionalFormatting>
  <conditionalFormatting sqref="A1006">
    <cfRule type="duplicateValues" dxfId="77" priority="114"/>
    <cfRule type="duplicateValues" dxfId="76" priority="115"/>
    <cfRule type="duplicateValues" dxfId="75" priority="116"/>
    <cfRule type="duplicateValues" dxfId="74" priority="112"/>
  </conditionalFormatting>
  <conditionalFormatting sqref="A1007">
    <cfRule type="duplicateValues" dxfId="73" priority="100"/>
    <cfRule type="duplicateValues" dxfId="72" priority="102"/>
    <cfRule type="duplicateValues" dxfId="71" priority="104"/>
    <cfRule type="duplicateValues" dxfId="70" priority="103"/>
  </conditionalFormatting>
  <conditionalFormatting sqref="A1008">
    <cfRule type="duplicateValues" dxfId="69" priority="97"/>
    <cfRule type="duplicateValues" dxfId="68" priority="96"/>
    <cfRule type="duplicateValues" dxfId="67" priority="94"/>
    <cfRule type="duplicateValues" dxfId="66" priority="98"/>
  </conditionalFormatting>
  <conditionalFormatting sqref="A1009">
    <cfRule type="duplicateValues" dxfId="65" priority="82"/>
    <cfRule type="duplicateValues" dxfId="64" priority="84"/>
    <cfRule type="duplicateValues" dxfId="63" priority="86"/>
    <cfRule type="duplicateValues" dxfId="62" priority="85"/>
  </conditionalFormatting>
  <conditionalFormatting sqref="A1010">
    <cfRule type="duplicateValues" dxfId="61" priority="196"/>
    <cfRule type="duplicateValues" dxfId="60" priority="193"/>
    <cfRule type="duplicateValues" dxfId="59" priority="195"/>
    <cfRule type="duplicateValues" dxfId="58" priority="194"/>
  </conditionalFormatting>
  <conditionalFormatting sqref="A1011">
    <cfRule type="duplicateValues" dxfId="57" priority="58"/>
    <cfRule type="duplicateValues" dxfId="56" priority="60"/>
    <cfRule type="duplicateValues" dxfId="55" priority="61"/>
    <cfRule type="duplicateValues" dxfId="54" priority="62"/>
  </conditionalFormatting>
  <conditionalFormatting sqref="A1014">
    <cfRule type="duplicateValues" dxfId="53" priority="26"/>
    <cfRule type="duplicateValues" dxfId="52" priority="22"/>
    <cfRule type="duplicateValues" dxfId="51" priority="24"/>
    <cfRule type="duplicateValues" dxfId="50" priority="25"/>
  </conditionalFormatting>
  <conditionalFormatting sqref="A1075">
    <cfRule type="duplicateValues" dxfId="49" priority="15"/>
    <cfRule type="duplicateValues" dxfId="48" priority="16"/>
    <cfRule type="duplicateValues" dxfId="47" priority="14"/>
  </conditionalFormatting>
  <conditionalFormatting sqref="A1144">
    <cfRule type="duplicateValues" dxfId="46" priority="13"/>
    <cfRule type="duplicateValues" dxfId="45" priority="12"/>
    <cfRule type="duplicateValues" dxfId="44" priority="11"/>
    <cfRule type="duplicateValues" dxfId="43" priority="10"/>
  </conditionalFormatting>
  <conditionalFormatting sqref="A1171">
    <cfRule type="duplicateValues" dxfId="42" priority="5"/>
    <cfRule type="duplicateValues" dxfId="41" priority="7"/>
    <cfRule type="duplicateValues" dxfId="40" priority="6"/>
  </conditionalFormatting>
  <conditionalFormatting sqref="A1378">
    <cfRule type="duplicateValues" dxfId="39" priority="3"/>
    <cfRule type="duplicateValues" dxfId="38" priority="4"/>
  </conditionalFormatting>
  <conditionalFormatting sqref="B15">
    <cfRule type="duplicateValues" dxfId="37" priority="80"/>
    <cfRule type="duplicateValues" dxfId="36" priority="81"/>
  </conditionalFormatting>
  <conditionalFormatting sqref="B16">
    <cfRule type="duplicateValues" dxfId="35" priority="79"/>
    <cfRule type="duplicateValues" dxfId="34" priority="78"/>
  </conditionalFormatting>
  <conditionalFormatting sqref="B19">
    <cfRule type="duplicateValues" dxfId="33" priority="32"/>
    <cfRule type="duplicateValues" dxfId="32" priority="33"/>
  </conditionalFormatting>
  <conditionalFormatting sqref="B20">
    <cfRule type="duplicateValues" dxfId="31" priority="30"/>
    <cfRule type="duplicateValues" dxfId="30" priority="31"/>
  </conditionalFormatting>
  <conditionalFormatting sqref="B21">
    <cfRule type="duplicateValues" dxfId="29" priority="39"/>
    <cfRule type="duplicateValues" dxfId="28" priority="38"/>
  </conditionalFormatting>
  <conditionalFormatting sqref="B22">
    <cfRule type="duplicateValues" dxfId="27" priority="36"/>
    <cfRule type="duplicateValues" dxfId="26" priority="37"/>
  </conditionalFormatting>
  <conditionalFormatting sqref="B988">
    <cfRule type="duplicateValues" dxfId="25" priority="2"/>
    <cfRule type="duplicateValues" dxfId="24" priority="1"/>
  </conditionalFormatting>
  <conditionalFormatting sqref="B1001">
    <cfRule type="duplicateValues" dxfId="23" priority="143"/>
    <cfRule type="duplicateValues" dxfId="22" priority="147"/>
  </conditionalFormatting>
  <conditionalFormatting sqref="B1002">
    <cfRule type="duplicateValues" dxfId="21" priority="141"/>
    <cfRule type="duplicateValues" dxfId="20" priority="137"/>
  </conditionalFormatting>
  <conditionalFormatting sqref="B1003">
    <cfRule type="duplicateValues" dxfId="19" priority="135"/>
    <cfRule type="duplicateValues" dxfId="18" priority="131"/>
  </conditionalFormatting>
  <conditionalFormatting sqref="B1004">
    <cfRule type="duplicateValues" dxfId="17" priority="129"/>
    <cfRule type="duplicateValues" dxfId="16" priority="125"/>
  </conditionalFormatting>
  <conditionalFormatting sqref="B1005">
    <cfRule type="duplicateValues" dxfId="15" priority="123"/>
    <cfRule type="duplicateValues" dxfId="14" priority="119"/>
  </conditionalFormatting>
  <conditionalFormatting sqref="B1006">
    <cfRule type="duplicateValues" dxfId="13" priority="113"/>
    <cfRule type="duplicateValues" dxfId="12" priority="117"/>
  </conditionalFormatting>
  <conditionalFormatting sqref="B1007">
    <cfRule type="duplicateValues" dxfId="11" priority="101"/>
    <cfRule type="duplicateValues" dxfId="10" priority="105"/>
  </conditionalFormatting>
  <conditionalFormatting sqref="B1008">
    <cfRule type="duplicateValues" dxfId="9" priority="95"/>
    <cfRule type="duplicateValues" dxfId="8" priority="99"/>
  </conditionalFormatting>
  <conditionalFormatting sqref="B1009">
    <cfRule type="duplicateValues" dxfId="7" priority="83"/>
    <cfRule type="duplicateValues" dxfId="6" priority="87"/>
  </conditionalFormatting>
  <conditionalFormatting sqref="B1010">
    <cfRule type="duplicateValues" dxfId="5" priority="197"/>
    <cfRule type="duplicateValues" dxfId="4" priority="198"/>
  </conditionalFormatting>
  <conditionalFormatting sqref="B1014">
    <cfRule type="duplicateValues" dxfId="3" priority="27"/>
    <cfRule type="duplicateValues" dxfId="2" priority="23"/>
  </conditionalFormatting>
  <conditionalFormatting sqref="B1171">
    <cfRule type="duplicateValues" dxfId="1" priority="8"/>
    <cfRule type="duplicateValues" dxfId="0" priority="9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1" t="s">
        <v>3267</v>
      </c>
      <c r="D1" s="92"/>
      <c r="E1" s="92"/>
      <c r="F1" s="92"/>
      <c r="H1" s="93" t="s">
        <v>3268</v>
      </c>
      <c r="I1" s="94"/>
      <c r="J1" s="94"/>
      <c r="K1" s="95"/>
    </row>
    <row r="2" spans="1:11" x14ac:dyDescent="0.3">
      <c r="A2" s="66" t="s">
        <v>3269</v>
      </c>
      <c r="B2" s="66" t="s">
        <v>3270</v>
      </c>
      <c r="C2" s="66" t="s">
        <v>3271</v>
      </c>
      <c r="D2" s="66" t="s">
        <v>3272</v>
      </c>
      <c r="E2" s="66" t="s">
        <v>3273</v>
      </c>
      <c r="F2" s="66" t="s">
        <v>3274</v>
      </c>
      <c r="H2" s="69" t="s">
        <v>3271</v>
      </c>
      <c r="I2" s="69" t="s">
        <v>3272</v>
      </c>
      <c r="J2" s="69" t="s">
        <v>3273</v>
      </c>
      <c r="K2" s="69" t="s">
        <v>3275</v>
      </c>
    </row>
    <row r="3" spans="1:11" ht="28.8" customHeight="1" x14ac:dyDescent="0.3">
      <c r="A3" s="88" t="s">
        <v>3276</v>
      </c>
      <c r="B3" s="88" t="s">
        <v>3277</v>
      </c>
      <c r="C3" s="68" t="s">
        <v>3278</v>
      </c>
      <c r="D3" s="68" t="s">
        <v>9</v>
      </c>
      <c r="E3" s="68" t="s">
        <v>3279</v>
      </c>
      <c r="F3" s="68" t="s">
        <v>3280</v>
      </c>
      <c r="H3" s="67" t="s">
        <v>3278</v>
      </c>
      <c r="I3" s="67" t="s">
        <v>9</v>
      </c>
      <c r="J3" s="67" t="s">
        <v>3279</v>
      </c>
      <c r="K3" s="67" t="s">
        <v>3281</v>
      </c>
    </row>
    <row r="4" spans="1:11" ht="28.8" customHeight="1" x14ac:dyDescent="0.3">
      <c r="A4" s="89"/>
      <c r="B4" s="89"/>
      <c r="C4" s="68" t="s">
        <v>3278</v>
      </c>
      <c r="D4" s="68" t="s">
        <v>3282</v>
      </c>
      <c r="E4" s="68" t="s">
        <v>3283</v>
      </c>
      <c r="F4" s="68" t="s">
        <v>3284</v>
      </c>
      <c r="H4" s="67" t="s">
        <v>3278</v>
      </c>
      <c r="I4" s="67" t="s">
        <v>3282</v>
      </c>
      <c r="J4" s="67" t="s">
        <v>3283</v>
      </c>
      <c r="K4" s="67" t="s">
        <v>3285</v>
      </c>
    </row>
    <row r="5" spans="1:11" ht="43.2" customHeight="1" x14ac:dyDescent="0.3">
      <c r="A5" s="89"/>
      <c r="B5" s="90"/>
      <c r="C5" s="68" t="s">
        <v>3286</v>
      </c>
      <c r="D5" s="68"/>
      <c r="E5" s="68" t="s">
        <v>3287</v>
      </c>
      <c r="F5" s="68" t="s">
        <v>3288</v>
      </c>
      <c r="H5" s="67" t="s">
        <v>3286</v>
      </c>
      <c r="I5" s="67"/>
      <c r="J5" s="67" t="s">
        <v>3287</v>
      </c>
      <c r="K5" s="67" t="s">
        <v>3289</v>
      </c>
    </row>
    <row r="6" spans="1:11" ht="57.6" customHeight="1" x14ac:dyDescent="0.3">
      <c r="A6" s="89"/>
      <c r="B6" s="88" t="s">
        <v>3290</v>
      </c>
      <c r="C6" s="68" t="s">
        <v>3277</v>
      </c>
      <c r="D6" s="68" t="s">
        <v>9</v>
      </c>
      <c r="E6" s="68" t="s">
        <v>3291</v>
      </c>
      <c r="F6" s="68" t="s">
        <v>3291</v>
      </c>
      <c r="H6" s="67" t="s">
        <v>3277</v>
      </c>
      <c r="I6" s="67" t="s">
        <v>9</v>
      </c>
      <c r="J6" s="67" t="s">
        <v>3291</v>
      </c>
      <c r="K6" s="67" t="s">
        <v>3291</v>
      </c>
    </row>
    <row r="7" spans="1:11" ht="57.6" customHeight="1" x14ac:dyDescent="0.3">
      <c r="A7" s="89"/>
      <c r="B7" s="90"/>
      <c r="C7" s="68" t="s">
        <v>3277</v>
      </c>
      <c r="D7" s="68" t="s">
        <v>3282</v>
      </c>
      <c r="E7" s="68" t="s">
        <v>3292</v>
      </c>
      <c r="F7" s="68" t="s">
        <v>3292</v>
      </c>
      <c r="H7" s="67" t="s">
        <v>3277</v>
      </c>
      <c r="I7" s="67" t="s">
        <v>3282</v>
      </c>
      <c r="J7" s="67" t="s">
        <v>3292</v>
      </c>
      <c r="K7" s="67" t="s">
        <v>3292</v>
      </c>
    </row>
    <row r="8" spans="1:11" ht="57.6" customHeight="1" x14ac:dyDescent="0.3">
      <c r="A8" s="89"/>
      <c r="B8" s="88" t="s">
        <v>3293</v>
      </c>
      <c r="C8" s="68" t="s">
        <v>3277</v>
      </c>
      <c r="D8" s="68" t="s">
        <v>9</v>
      </c>
      <c r="E8" s="68" t="s">
        <v>3294</v>
      </c>
      <c r="F8" s="68" t="s">
        <v>3294</v>
      </c>
      <c r="H8" s="67" t="s">
        <v>3277</v>
      </c>
      <c r="I8" s="67" t="s">
        <v>9</v>
      </c>
      <c r="J8" s="67" t="s">
        <v>3294</v>
      </c>
      <c r="K8" s="67" t="s">
        <v>3294</v>
      </c>
    </row>
    <row r="9" spans="1:11" ht="57.6" customHeight="1" x14ac:dyDescent="0.3">
      <c r="A9" s="90"/>
      <c r="B9" s="90"/>
      <c r="C9" s="68" t="s">
        <v>3277</v>
      </c>
      <c r="D9" s="68" t="s">
        <v>3282</v>
      </c>
      <c r="E9" s="68" t="s">
        <v>3295</v>
      </c>
      <c r="F9" s="68" t="s">
        <v>3295</v>
      </c>
      <c r="H9" s="67" t="s">
        <v>3277</v>
      </c>
      <c r="I9" s="67" t="s">
        <v>3282</v>
      </c>
      <c r="J9" s="67" t="s">
        <v>3295</v>
      </c>
      <c r="K9" s="67" t="s">
        <v>3295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3296</v>
      </c>
      <c r="G1" t="s">
        <v>3297</v>
      </c>
      <c r="H1" t="s">
        <v>3298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3299</v>
      </c>
      <c r="G2" t="s">
        <v>3300</v>
      </c>
      <c r="H2" t="s">
        <v>3282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3301</v>
      </c>
      <c r="G3" t="s">
        <v>3302</v>
      </c>
      <c r="H3" t="s">
        <v>3282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3303</v>
      </c>
      <c r="G4" t="s">
        <v>3304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3305</v>
      </c>
      <c r="G5" t="s">
        <v>3306</v>
      </c>
      <c r="H5" t="s">
        <v>3282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3307</v>
      </c>
      <c r="G6" t="s">
        <v>3308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3309</v>
      </c>
      <c r="G7" t="s">
        <v>3310</v>
      </c>
      <c r="H7" t="s">
        <v>3311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3312</v>
      </c>
      <c r="G8" t="s">
        <v>3313</v>
      </c>
      <c r="H8" t="s">
        <v>3311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3314</v>
      </c>
      <c r="G9" t="s">
        <v>3315</v>
      </c>
      <c r="H9" t="s">
        <v>3311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3316</v>
      </c>
      <c r="G10" t="s">
        <v>3317</v>
      </c>
      <c r="H10" t="s">
        <v>3311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3318</v>
      </c>
      <c r="G11" t="s">
        <v>3319</v>
      </c>
      <c r="H11" t="s">
        <v>3311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3320</v>
      </c>
      <c r="G12" t="s">
        <v>3321</v>
      </c>
      <c r="H12" t="s">
        <v>3311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3322</v>
      </c>
      <c r="G13" t="s">
        <v>3323</v>
      </c>
      <c r="H13" t="s">
        <v>3282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3324</v>
      </c>
      <c r="G14" t="s">
        <v>3325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3326</v>
      </c>
      <c r="G15" t="s">
        <v>3327</v>
      </c>
      <c r="H15" t="s">
        <v>3282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3328</v>
      </c>
      <c r="G16" t="s">
        <v>3329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3330</v>
      </c>
      <c r="G17" t="s">
        <v>3331</v>
      </c>
      <c r="H17" t="s">
        <v>3282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3332</v>
      </c>
      <c r="G18" t="s">
        <v>3333</v>
      </c>
      <c r="H18" t="s">
        <v>3311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3334</v>
      </c>
      <c r="G19" t="s">
        <v>3335</v>
      </c>
      <c r="H19" t="s">
        <v>3311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3336</v>
      </c>
      <c r="G20" t="s">
        <v>3337</v>
      </c>
      <c r="H20" t="s">
        <v>3311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3338</v>
      </c>
      <c r="G21" t="s">
        <v>3339</v>
      </c>
      <c r="H21" t="s">
        <v>3282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3340</v>
      </c>
      <c r="G22" t="s">
        <v>3341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3342</v>
      </c>
      <c r="G23" t="s">
        <v>3343</v>
      </c>
      <c r="H23" t="s">
        <v>3282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3344</v>
      </c>
      <c r="G24" t="s">
        <v>3345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3346</v>
      </c>
      <c r="G25" t="s">
        <v>3347</v>
      </c>
      <c r="H25" t="s">
        <v>3282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3348</v>
      </c>
      <c r="G26" t="s">
        <v>3349</v>
      </c>
      <c r="H26" t="s">
        <v>3282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3350</v>
      </c>
      <c r="G27" t="s">
        <v>3351</v>
      </c>
      <c r="H27" t="s">
        <v>3311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3352</v>
      </c>
      <c r="G28" t="s">
        <v>3353</v>
      </c>
      <c r="H28" t="s">
        <v>3311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3354</v>
      </c>
      <c r="G29" t="s">
        <v>3355</v>
      </c>
      <c r="H29" t="s">
        <v>3282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3356</v>
      </c>
      <c r="G30" t="s">
        <v>3357</v>
      </c>
      <c r="H30" t="s">
        <v>3282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3358</v>
      </c>
      <c r="G31" t="s">
        <v>3359</v>
      </c>
      <c r="H31" t="s">
        <v>3282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3360</v>
      </c>
      <c r="G32" t="s">
        <v>3361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3362</v>
      </c>
      <c r="G33" t="s">
        <v>3363</v>
      </c>
      <c r="H33" t="s">
        <v>3282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3364</v>
      </c>
      <c r="G34" t="s">
        <v>3365</v>
      </c>
      <c r="H34" t="s">
        <v>3311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3366</v>
      </c>
      <c r="G35" t="s">
        <v>3367</v>
      </c>
      <c r="H35" t="s">
        <v>3311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3368</v>
      </c>
      <c r="G36" t="s">
        <v>3369</v>
      </c>
      <c r="H36" t="s">
        <v>3282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3370</v>
      </c>
      <c r="G37" t="s">
        <v>3371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3372</v>
      </c>
      <c r="G38" t="s">
        <v>289</v>
      </c>
      <c r="H38" t="s">
        <v>3311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3373</v>
      </c>
      <c r="G39" t="s">
        <v>3374</v>
      </c>
      <c r="H39" t="s">
        <v>3311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3375</v>
      </c>
      <c r="G40" t="s">
        <v>146</v>
      </c>
      <c r="H40" t="s">
        <v>3282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3376</v>
      </c>
      <c r="G41" t="s">
        <v>3377</v>
      </c>
      <c r="H41" t="s">
        <v>3311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3378</v>
      </c>
      <c r="G42" t="s">
        <v>3379</v>
      </c>
      <c r="H42" t="s">
        <v>3311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3380</v>
      </c>
      <c r="G43" t="s">
        <v>3381</v>
      </c>
      <c r="H43" t="s">
        <v>3282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3382</v>
      </c>
      <c r="G44" t="s">
        <v>3383</v>
      </c>
      <c r="H44" t="s">
        <v>3282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3384</v>
      </c>
      <c r="G45" t="s">
        <v>3385</v>
      </c>
      <c r="H45" t="s">
        <v>3282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3386</v>
      </c>
      <c r="G46" t="s">
        <v>3387</v>
      </c>
      <c r="H46" t="s">
        <v>3282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3388</v>
      </c>
      <c r="G47" t="s">
        <v>3389</v>
      </c>
      <c r="H47" t="s">
        <v>3282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3390</v>
      </c>
      <c r="G48" t="s">
        <v>3391</v>
      </c>
      <c r="H48" t="s">
        <v>3282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3392</v>
      </c>
      <c r="G49" t="s">
        <v>3393</v>
      </c>
      <c r="H49" t="s">
        <v>3282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3394</v>
      </c>
      <c r="G50" t="s">
        <v>3395</v>
      </c>
      <c r="H50" t="s">
        <v>3282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3396</v>
      </c>
      <c r="G51" t="s">
        <v>146</v>
      </c>
      <c r="H51" t="s">
        <v>3282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3397</v>
      </c>
      <c r="G52" t="s">
        <v>146</v>
      </c>
      <c r="H52" t="s">
        <v>3282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3398</v>
      </c>
      <c r="G53" t="s">
        <v>3399</v>
      </c>
      <c r="H53" t="s">
        <v>3311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3400</v>
      </c>
      <c r="G54" t="s">
        <v>3401</v>
      </c>
      <c r="H54" t="s">
        <v>3311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3402</v>
      </c>
      <c r="G55" t="s">
        <v>3403</v>
      </c>
      <c r="H55" t="s">
        <v>3282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3404</v>
      </c>
      <c r="G56" t="s">
        <v>3405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3406</v>
      </c>
      <c r="G57" t="s">
        <v>3407</v>
      </c>
      <c r="H57" t="s">
        <v>3282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3408</v>
      </c>
      <c r="G58" t="s">
        <v>3409</v>
      </c>
      <c r="H58" t="s">
        <v>3282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3410</v>
      </c>
      <c r="G59" t="s">
        <v>3411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3412</v>
      </c>
      <c r="G60" t="s">
        <v>3413</v>
      </c>
      <c r="H60" t="s">
        <v>3282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3414</v>
      </c>
      <c r="G61" t="s">
        <v>3415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3416</v>
      </c>
      <c r="G62" t="s">
        <v>3417</v>
      </c>
      <c r="H62" t="s">
        <v>3282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3418</v>
      </c>
      <c r="G63" t="s">
        <v>3419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3420</v>
      </c>
      <c r="G64" t="s">
        <v>3421</v>
      </c>
      <c r="H64" t="s">
        <v>3282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3422</v>
      </c>
      <c r="G65" t="s">
        <v>3423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3424</v>
      </c>
      <c r="G66" t="s">
        <v>3425</v>
      </c>
      <c r="H66" t="s">
        <v>3311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3426</v>
      </c>
      <c r="G67" t="s">
        <v>3427</v>
      </c>
      <c r="H67" t="s">
        <v>3311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3428</v>
      </c>
      <c r="G68" t="s">
        <v>3429</v>
      </c>
      <c r="H68" t="s">
        <v>3311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3430</v>
      </c>
      <c r="G69" t="s">
        <v>3431</v>
      </c>
      <c r="H69" t="s">
        <v>3311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3432</v>
      </c>
      <c r="G70" t="s">
        <v>3433</v>
      </c>
      <c r="H70" t="s">
        <v>3282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3434</v>
      </c>
      <c r="G71" t="s">
        <v>3435</v>
      </c>
      <c r="H71" t="s">
        <v>3311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3436</v>
      </c>
      <c r="G72" t="s">
        <v>3437</v>
      </c>
      <c r="H72" t="s">
        <v>3311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3438</v>
      </c>
      <c r="G73" t="s">
        <v>3439</v>
      </c>
      <c r="H73" t="s">
        <v>3311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3440</v>
      </c>
      <c r="G74" t="s">
        <v>3441</v>
      </c>
      <c r="H74" t="s">
        <v>3311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3442</v>
      </c>
      <c r="G75" t="s">
        <v>3443</v>
      </c>
      <c r="H75" t="s">
        <v>3311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3444</v>
      </c>
      <c r="G76" t="s">
        <v>3445</v>
      </c>
      <c r="H76" t="s">
        <v>3311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3446</v>
      </c>
      <c r="G77" t="s">
        <v>3447</v>
      </c>
      <c r="H77" t="s">
        <v>3311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3448</v>
      </c>
      <c r="G78" t="s">
        <v>3449</v>
      </c>
      <c r="H78" t="s">
        <v>3282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3450</v>
      </c>
      <c r="G79" t="s">
        <v>3451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3452</v>
      </c>
      <c r="G80" t="s">
        <v>3453</v>
      </c>
      <c r="H80" t="s">
        <v>3282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3454</v>
      </c>
      <c r="G81" t="s">
        <v>3455</v>
      </c>
      <c r="H81" t="s">
        <v>3282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3456</v>
      </c>
      <c r="G82" t="s">
        <v>3457</v>
      </c>
      <c r="H82" t="s">
        <v>3311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3458</v>
      </c>
      <c r="G83" t="s">
        <v>3441</v>
      </c>
      <c r="H83" t="s">
        <v>3311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3459</v>
      </c>
      <c r="G84" t="s">
        <v>3460</v>
      </c>
      <c r="H84" t="s">
        <v>3282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3461</v>
      </c>
      <c r="G85" t="s">
        <v>3462</v>
      </c>
      <c r="H85" t="s">
        <v>3282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3463</v>
      </c>
      <c r="G86" t="s">
        <v>3464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3465</v>
      </c>
      <c r="G87" t="s">
        <v>3466</v>
      </c>
      <c r="H87" t="s">
        <v>3311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3467</v>
      </c>
      <c r="G88" t="s">
        <v>3468</v>
      </c>
      <c r="H88" t="s">
        <v>3311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3469</v>
      </c>
      <c r="G89" t="s">
        <v>3470</v>
      </c>
      <c r="H89" t="s">
        <v>3311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3471</v>
      </c>
      <c r="G90" t="s">
        <v>3472</v>
      </c>
      <c r="H90" t="s">
        <v>3311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3473</v>
      </c>
      <c r="G91" t="s">
        <v>3474</v>
      </c>
      <c r="H91" t="s">
        <v>3282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3475</v>
      </c>
      <c r="G92" t="s">
        <v>3476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3477</v>
      </c>
      <c r="G93" t="s">
        <v>3478</v>
      </c>
      <c r="H93" t="s">
        <v>3282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3479</v>
      </c>
      <c r="G94" t="s">
        <v>3480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3481</v>
      </c>
      <c r="G95" t="s">
        <v>3482</v>
      </c>
      <c r="H95" t="s">
        <v>3311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3483</v>
      </c>
      <c r="G96" t="s">
        <v>3484</v>
      </c>
      <c r="H96" t="s">
        <v>3311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3485</v>
      </c>
      <c r="G97" t="s">
        <v>3486</v>
      </c>
      <c r="H97" t="s">
        <v>3311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3487</v>
      </c>
      <c r="G98" t="s">
        <v>3488</v>
      </c>
      <c r="H98" t="s">
        <v>3311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3489</v>
      </c>
      <c r="G99" t="s">
        <v>3490</v>
      </c>
      <c r="H99" t="s">
        <v>3311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3491</v>
      </c>
      <c r="G100" t="s">
        <v>3492</v>
      </c>
      <c r="H100" t="s">
        <v>3311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3493</v>
      </c>
      <c r="G101" t="s">
        <v>3494</v>
      </c>
      <c r="H101" t="s">
        <v>3282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3495</v>
      </c>
      <c r="G102" t="s">
        <v>3496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3497</v>
      </c>
      <c r="G103" t="s">
        <v>3498</v>
      </c>
      <c r="H103" t="s">
        <v>3282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3499</v>
      </c>
      <c r="G104" t="s">
        <v>3500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3501</v>
      </c>
      <c r="G105" t="s">
        <v>3502</v>
      </c>
      <c r="H105" t="s">
        <v>3311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3503</v>
      </c>
      <c r="G106" t="s">
        <v>3504</v>
      </c>
      <c r="H106" t="s">
        <v>3311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3505</v>
      </c>
      <c r="G107" t="s">
        <v>3506</v>
      </c>
      <c r="H107" t="s">
        <v>3311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3507</v>
      </c>
      <c r="G108" t="s">
        <v>3508</v>
      </c>
      <c r="H108" t="s">
        <v>3311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3509</v>
      </c>
      <c r="G109" t="s">
        <v>3510</v>
      </c>
      <c r="H109" t="s">
        <v>3311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3511</v>
      </c>
      <c r="G110" t="s">
        <v>3512</v>
      </c>
      <c r="H110" t="s">
        <v>3311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3513</v>
      </c>
      <c r="G111" t="s">
        <v>3514</v>
      </c>
      <c r="H111" t="s">
        <v>3311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3515</v>
      </c>
      <c r="G112" t="s">
        <v>3516</v>
      </c>
      <c r="H112" t="s">
        <v>3282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3517</v>
      </c>
      <c r="G113" t="s">
        <v>3518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3519</v>
      </c>
      <c r="G114" t="s">
        <v>3520</v>
      </c>
      <c r="H114" t="s">
        <v>3282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3521</v>
      </c>
      <c r="G115" t="s">
        <v>3522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3523</v>
      </c>
      <c r="G116" t="s">
        <v>3524</v>
      </c>
      <c r="H116" t="s">
        <v>3282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3525</v>
      </c>
      <c r="G117" t="s">
        <v>3526</v>
      </c>
      <c r="H117" t="s">
        <v>3311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3527</v>
      </c>
      <c r="G118" t="s">
        <v>3528</v>
      </c>
      <c r="H118" t="s">
        <v>3311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3529</v>
      </c>
      <c r="G119" t="s">
        <v>3530</v>
      </c>
      <c r="H119" t="s">
        <v>3282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3531</v>
      </c>
      <c r="G120" t="s">
        <v>3532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3533</v>
      </c>
      <c r="G121" t="s">
        <v>3534</v>
      </c>
      <c r="H121" t="s">
        <v>3282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3535</v>
      </c>
      <c r="G122" t="s">
        <v>3536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3537</v>
      </c>
      <c r="G123" t="s">
        <v>3538</v>
      </c>
      <c r="H123" t="s">
        <v>3282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3539</v>
      </c>
      <c r="G124" t="s">
        <v>3540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3541</v>
      </c>
      <c r="G125" t="s">
        <v>3542</v>
      </c>
      <c r="H125" t="s">
        <v>3311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3543</v>
      </c>
      <c r="G126" t="s">
        <v>3544</v>
      </c>
      <c r="H126" t="s">
        <v>3311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3545</v>
      </c>
      <c r="G127" t="s">
        <v>3546</v>
      </c>
      <c r="H127" t="s">
        <v>3282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3547</v>
      </c>
      <c r="G128" t="s">
        <v>3548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3549</v>
      </c>
      <c r="G129" t="s">
        <v>3550</v>
      </c>
      <c r="H129" t="s">
        <v>3282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3551</v>
      </c>
      <c r="G130" t="s">
        <v>3552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3553</v>
      </c>
      <c r="G131" t="s">
        <v>3554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3555</v>
      </c>
      <c r="G132" t="s">
        <v>3556</v>
      </c>
      <c r="H132" t="s">
        <v>3282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3557</v>
      </c>
      <c r="G133" t="s">
        <v>3558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3559</v>
      </c>
      <c r="G134" t="s">
        <v>3560</v>
      </c>
      <c r="H134" t="s">
        <v>3282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3561</v>
      </c>
      <c r="G135" t="s">
        <v>3562</v>
      </c>
      <c r="H135" t="s">
        <v>3282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3563</v>
      </c>
      <c r="G136" t="s">
        <v>3564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3565</v>
      </c>
      <c r="G137" t="s">
        <v>3566</v>
      </c>
      <c r="H137" t="s">
        <v>3282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3567</v>
      </c>
      <c r="G138" t="s">
        <v>3568</v>
      </c>
      <c r="H138" t="s">
        <v>3282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3569</v>
      </c>
      <c r="G139" t="s">
        <v>3570</v>
      </c>
      <c r="H139" t="s">
        <v>3311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3571</v>
      </c>
      <c r="G140" t="s">
        <v>3572</v>
      </c>
      <c r="H140" t="s">
        <v>3311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3573</v>
      </c>
      <c r="G141" t="s">
        <v>3574</v>
      </c>
      <c r="H141" t="s">
        <v>3282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3575</v>
      </c>
      <c r="G142" t="s">
        <v>3576</v>
      </c>
      <c r="H142" t="s">
        <v>3311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3577</v>
      </c>
      <c r="G143" t="s">
        <v>3578</v>
      </c>
      <c r="H143" t="s">
        <v>3311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3579</v>
      </c>
      <c r="G144" t="s">
        <v>3580</v>
      </c>
      <c r="H144" t="s">
        <v>3311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3581</v>
      </c>
      <c r="G145" t="s">
        <v>3578</v>
      </c>
      <c r="H145" t="s">
        <v>3311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3582</v>
      </c>
      <c r="G146" t="s">
        <v>634</v>
      </c>
      <c r="H146" t="s">
        <v>3311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3583</v>
      </c>
      <c r="G147" t="s">
        <v>3584</v>
      </c>
      <c r="H147" t="s">
        <v>3311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3585</v>
      </c>
      <c r="G148" t="s">
        <v>3586</v>
      </c>
      <c r="H148" t="s">
        <v>3282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3587</v>
      </c>
      <c r="G149" t="s">
        <v>3588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3589</v>
      </c>
      <c r="G150" t="s">
        <v>3590</v>
      </c>
      <c r="H150" t="s">
        <v>3311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3591</v>
      </c>
      <c r="G151" t="s">
        <v>3592</v>
      </c>
      <c r="H151" t="s">
        <v>3311</v>
      </c>
    </row>
    <row r="152" spans="1:8" x14ac:dyDescent="0.3">
      <c r="A152">
        <v>277</v>
      </c>
      <c r="B152" t="s">
        <v>2505</v>
      </c>
      <c r="C152" t="s">
        <v>658</v>
      </c>
      <c r="D152" t="s">
        <v>21</v>
      </c>
      <c r="E152" t="s">
        <v>41</v>
      </c>
      <c r="F152" t="s">
        <v>3593</v>
      </c>
      <c r="G152" t="s">
        <v>3594</v>
      </c>
      <c r="H152" t="s">
        <v>3311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3595</v>
      </c>
      <c r="G153" t="s">
        <v>3596</v>
      </c>
      <c r="H153" t="s">
        <v>3282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3597</v>
      </c>
      <c r="G154" t="s">
        <v>3598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3599</v>
      </c>
      <c r="G155" t="s">
        <v>3600</v>
      </c>
      <c r="H155" t="s">
        <v>3282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3601</v>
      </c>
      <c r="G156" t="s">
        <v>3602</v>
      </c>
      <c r="H156" t="s">
        <v>3311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3603</v>
      </c>
      <c r="G157" t="s">
        <v>3604</v>
      </c>
      <c r="H157" t="s">
        <v>3311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3605</v>
      </c>
      <c r="G158" t="s">
        <v>3606</v>
      </c>
      <c r="H158" t="s">
        <v>3282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3607</v>
      </c>
      <c r="G159" t="s">
        <v>3608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3609</v>
      </c>
      <c r="G160" t="s">
        <v>3610</v>
      </c>
      <c r="H160" t="s">
        <v>3282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3611</v>
      </c>
      <c r="G161" t="s">
        <v>3612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3613</v>
      </c>
      <c r="G162" t="s">
        <v>3614</v>
      </c>
      <c r="H162" t="s">
        <v>3282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3615</v>
      </c>
      <c r="G163" t="s">
        <v>3616</v>
      </c>
      <c r="H163" t="s">
        <v>9</v>
      </c>
    </row>
    <row r="164" spans="1:8" x14ac:dyDescent="0.3">
      <c r="A164">
        <v>325</v>
      </c>
      <c r="B164" t="s">
        <v>2625</v>
      </c>
      <c r="C164" t="s">
        <v>819</v>
      </c>
      <c r="D164" t="s">
        <v>21</v>
      </c>
      <c r="E164" t="s">
        <v>22</v>
      </c>
      <c r="F164" t="s">
        <v>3617</v>
      </c>
      <c r="G164" t="s">
        <v>3618</v>
      </c>
      <c r="H164" t="s">
        <v>3282</v>
      </c>
    </row>
    <row r="165" spans="1:8" x14ac:dyDescent="0.3">
      <c r="A165">
        <v>325</v>
      </c>
      <c r="B165" t="s">
        <v>2625</v>
      </c>
      <c r="C165" t="s">
        <v>819</v>
      </c>
      <c r="D165" t="s">
        <v>21</v>
      </c>
      <c r="E165" t="s">
        <v>22</v>
      </c>
      <c r="F165" t="s">
        <v>3619</v>
      </c>
      <c r="G165" t="s">
        <v>3620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3621</v>
      </c>
      <c r="G166" t="s">
        <v>3622</v>
      </c>
      <c r="H166" t="s">
        <v>3282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3623</v>
      </c>
      <c r="G167" t="s">
        <v>3624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3625</v>
      </c>
      <c r="G168" t="s">
        <v>3626</v>
      </c>
      <c r="H168" t="s">
        <v>3282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3627</v>
      </c>
      <c r="G169" t="s">
        <v>3628</v>
      </c>
      <c r="H169" t="s">
        <v>3282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3629</v>
      </c>
      <c r="G170" t="s">
        <v>3630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3631</v>
      </c>
      <c r="G171" t="s">
        <v>3618</v>
      </c>
      <c r="H171" t="s">
        <v>3282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3632</v>
      </c>
      <c r="G172" t="s">
        <v>3620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3633</v>
      </c>
      <c r="G173" t="s">
        <v>3634</v>
      </c>
      <c r="H173" t="s">
        <v>3282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3635</v>
      </c>
      <c r="G174" t="s">
        <v>3636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3637</v>
      </c>
      <c r="G175" t="s">
        <v>3638</v>
      </c>
      <c r="H175" t="s">
        <v>3282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3639</v>
      </c>
      <c r="G176" t="s">
        <v>3640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3641</v>
      </c>
      <c r="G177" t="s">
        <v>3642</v>
      </c>
      <c r="H177" t="s">
        <v>3311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3643</v>
      </c>
      <c r="G178" t="s">
        <v>3644</v>
      </c>
      <c r="H178" t="s">
        <v>3311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3645</v>
      </c>
      <c r="G179" t="s">
        <v>3646</v>
      </c>
      <c r="H179" t="s">
        <v>3311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3647</v>
      </c>
      <c r="G180" t="s">
        <v>3648</v>
      </c>
      <c r="H180" t="s">
        <v>3311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3649</v>
      </c>
      <c r="G181" t="s">
        <v>3650</v>
      </c>
      <c r="H181" t="s">
        <v>3311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3651</v>
      </c>
      <c r="G182" t="s">
        <v>3652</v>
      </c>
      <c r="H182" t="s">
        <v>3311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3653</v>
      </c>
      <c r="G183" t="s">
        <v>3654</v>
      </c>
      <c r="H183" t="s">
        <v>3282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3655</v>
      </c>
      <c r="G184" t="s">
        <v>3656</v>
      </c>
      <c r="H184" t="s">
        <v>3282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3657</v>
      </c>
      <c r="G185" t="s">
        <v>3658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3659</v>
      </c>
      <c r="G186" t="s">
        <v>3660</v>
      </c>
      <c r="H186" t="s">
        <v>3282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3661</v>
      </c>
      <c r="G187" t="s">
        <v>3662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3663</v>
      </c>
      <c r="G188" t="s">
        <v>3664</v>
      </c>
      <c r="H188" t="s">
        <v>3282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3665</v>
      </c>
      <c r="G189" t="s">
        <v>3666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3667</v>
      </c>
      <c r="G190" t="s">
        <v>3668</v>
      </c>
      <c r="H190" t="s">
        <v>3282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3669</v>
      </c>
      <c r="G191" t="s">
        <v>3670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3671</v>
      </c>
      <c r="G192" t="s">
        <v>3672</v>
      </c>
      <c r="H192" t="s">
        <v>3282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3673</v>
      </c>
      <c r="G193" t="s">
        <v>3674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3675</v>
      </c>
      <c r="G194" t="s">
        <v>3676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3677</v>
      </c>
      <c r="G195" t="s">
        <v>3678</v>
      </c>
      <c r="H195" t="s">
        <v>3282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3679</v>
      </c>
      <c r="G196" t="s">
        <v>3680</v>
      </c>
      <c r="H196" t="s">
        <v>3282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3681</v>
      </c>
      <c r="G197" t="s">
        <v>3682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3683</v>
      </c>
      <c r="G198" t="s">
        <v>3684</v>
      </c>
      <c r="H198" t="s">
        <v>3282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3685</v>
      </c>
      <c r="G199" t="s">
        <v>3686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3687</v>
      </c>
      <c r="G200" t="s">
        <v>3688</v>
      </c>
      <c r="H200" t="s">
        <v>3282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3689</v>
      </c>
      <c r="G201" t="s">
        <v>3690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3691</v>
      </c>
      <c r="G202" t="s">
        <v>3692</v>
      </c>
      <c r="H202" t="s">
        <v>3282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3693</v>
      </c>
      <c r="G203" t="s">
        <v>3694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3695</v>
      </c>
      <c r="G204" t="s">
        <v>3696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3697</v>
      </c>
      <c r="G205" t="s">
        <v>3698</v>
      </c>
      <c r="H205" t="s">
        <v>3282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3699</v>
      </c>
      <c r="G206" t="s">
        <v>3700</v>
      </c>
      <c r="H206" t="s">
        <v>3282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3701</v>
      </c>
      <c r="G207" t="s">
        <v>3702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3703</v>
      </c>
      <c r="G208" t="s">
        <v>3704</v>
      </c>
      <c r="H208" t="s">
        <v>3282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3705</v>
      </c>
      <c r="G209" t="s">
        <v>3706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3707</v>
      </c>
      <c r="G210" t="s">
        <v>3708</v>
      </c>
      <c r="H210" t="s">
        <v>3282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3709</v>
      </c>
      <c r="G211" t="s">
        <v>3710</v>
      </c>
      <c r="H211" t="s">
        <v>3311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3711</v>
      </c>
      <c r="G212" t="s">
        <v>3712</v>
      </c>
      <c r="H212" t="s">
        <v>3311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3713</v>
      </c>
      <c r="G213" t="s">
        <v>3714</v>
      </c>
      <c r="H213" t="s">
        <v>3282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3715</v>
      </c>
      <c r="G214" t="s">
        <v>3716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3717</v>
      </c>
      <c r="G215" t="s">
        <v>3718</v>
      </c>
      <c r="H215" t="s">
        <v>3282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3719</v>
      </c>
      <c r="G216" t="s">
        <v>3720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3721</v>
      </c>
      <c r="G217" t="s">
        <v>3722</v>
      </c>
      <c r="H217" t="s">
        <v>3311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3723</v>
      </c>
      <c r="G218" t="s">
        <v>3724</v>
      </c>
      <c r="H218" t="s">
        <v>3311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3725</v>
      </c>
      <c r="G219" t="s">
        <v>3726</v>
      </c>
      <c r="H219" t="s">
        <v>3282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3727</v>
      </c>
      <c r="G220" t="s">
        <v>3728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3729</v>
      </c>
      <c r="G221" t="s">
        <v>3730</v>
      </c>
      <c r="H221" t="s">
        <v>3282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3731</v>
      </c>
      <c r="G222" t="s">
        <v>3732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3733</v>
      </c>
      <c r="G223" t="s">
        <v>3734</v>
      </c>
      <c r="H223" t="s">
        <v>3311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3735</v>
      </c>
      <c r="G224" t="s">
        <v>3736</v>
      </c>
      <c r="H224" t="s">
        <v>3311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3737</v>
      </c>
      <c r="G225" t="s">
        <v>3738</v>
      </c>
      <c r="H225" t="s">
        <v>3282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3739</v>
      </c>
      <c r="G226" t="s">
        <v>3740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3741</v>
      </c>
      <c r="G227" t="s">
        <v>3742</v>
      </c>
      <c r="H227" t="s">
        <v>3282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3743</v>
      </c>
      <c r="G228" t="s">
        <v>3744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3745</v>
      </c>
      <c r="G229" t="s">
        <v>3746</v>
      </c>
      <c r="H229" t="s">
        <v>3282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3747</v>
      </c>
      <c r="G230" t="s">
        <v>3748</v>
      </c>
      <c r="H230" t="s">
        <v>3282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3749</v>
      </c>
      <c r="G231" t="s">
        <v>3750</v>
      </c>
      <c r="H231" t="s">
        <v>3282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3751</v>
      </c>
      <c r="G232" t="s">
        <v>3752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3753</v>
      </c>
      <c r="G233" t="s">
        <v>3754</v>
      </c>
      <c r="H233" t="s">
        <v>3282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3755</v>
      </c>
      <c r="G234" t="s">
        <v>3756</v>
      </c>
      <c r="H234" t="s">
        <v>3282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3757</v>
      </c>
      <c r="G235" t="s">
        <v>3758</v>
      </c>
      <c r="H235" t="s">
        <v>3311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3759</v>
      </c>
      <c r="G236" t="s">
        <v>3760</v>
      </c>
      <c r="H236" t="s">
        <v>3311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3761</v>
      </c>
      <c r="G237" t="s">
        <v>3762</v>
      </c>
      <c r="H237" t="s">
        <v>3282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3763</v>
      </c>
      <c r="G238" t="s">
        <v>3764</v>
      </c>
      <c r="H238" t="s">
        <v>3282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3765</v>
      </c>
      <c r="G239" t="s">
        <v>3766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3767</v>
      </c>
      <c r="G240" t="s">
        <v>3768</v>
      </c>
      <c r="H240" t="s">
        <v>3311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3769</v>
      </c>
      <c r="G241" t="s">
        <v>3770</v>
      </c>
      <c r="H241" t="s">
        <v>3282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3771</v>
      </c>
      <c r="G242" t="s">
        <v>3772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3773</v>
      </c>
      <c r="G243" t="s">
        <v>3774</v>
      </c>
      <c r="H243" t="s">
        <v>3311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3775</v>
      </c>
      <c r="G244" t="s">
        <v>3776</v>
      </c>
      <c r="H244" t="s">
        <v>3311</v>
      </c>
    </row>
    <row r="245" spans="1:8" x14ac:dyDescent="0.3">
      <c r="A245">
        <v>339</v>
      </c>
      <c r="B245" t="s">
        <v>2639</v>
      </c>
      <c r="C245" t="s">
        <v>877</v>
      </c>
      <c r="D245" t="s">
        <v>71</v>
      </c>
      <c r="E245" t="s">
        <v>22</v>
      </c>
      <c r="F245" t="s">
        <v>3777</v>
      </c>
      <c r="G245" t="s">
        <v>3778</v>
      </c>
      <c r="H245" t="s">
        <v>3311</v>
      </c>
    </row>
    <row r="246" spans="1:8" x14ac:dyDescent="0.3">
      <c r="A246">
        <v>339</v>
      </c>
      <c r="B246" t="s">
        <v>2639</v>
      </c>
      <c r="C246" t="s">
        <v>877</v>
      </c>
      <c r="D246" t="s">
        <v>71</v>
      </c>
      <c r="E246" t="s">
        <v>22</v>
      </c>
      <c r="F246" t="s">
        <v>3779</v>
      </c>
      <c r="G246" t="s">
        <v>3780</v>
      </c>
      <c r="H246" t="s">
        <v>3311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3781</v>
      </c>
      <c r="G247" t="s">
        <v>3782</v>
      </c>
      <c r="H247" t="s">
        <v>3311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3783</v>
      </c>
      <c r="G248" t="s">
        <v>3784</v>
      </c>
      <c r="H248" t="s">
        <v>3311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3785</v>
      </c>
      <c r="G249" t="s">
        <v>3786</v>
      </c>
      <c r="H249" t="s">
        <v>3282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3787</v>
      </c>
      <c r="G250" t="s">
        <v>3788</v>
      </c>
      <c r="H250" t="s">
        <v>3311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3789</v>
      </c>
      <c r="G251" t="s">
        <v>3790</v>
      </c>
      <c r="H251" t="s">
        <v>3311</v>
      </c>
    </row>
    <row r="252" spans="1:8" x14ac:dyDescent="0.3">
      <c r="A252">
        <v>367</v>
      </c>
      <c r="B252" t="s">
        <v>2714</v>
      </c>
      <c r="C252" t="s">
        <v>951</v>
      </c>
      <c r="D252" t="s">
        <v>71</v>
      </c>
      <c r="E252" t="s">
        <v>22</v>
      </c>
      <c r="F252" t="s">
        <v>3791</v>
      </c>
      <c r="G252" t="s">
        <v>3792</v>
      </c>
      <c r="H252" t="s">
        <v>3311</v>
      </c>
    </row>
    <row r="253" spans="1:8" x14ac:dyDescent="0.3">
      <c r="A253">
        <v>367</v>
      </c>
      <c r="B253" t="s">
        <v>2714</v>
      </c>
      <c r="C253" t="s">
        <v>951</v>
      </c>
      <c r="D253" t="s">
        <v>71</v>
      </c>
      <c r="E253" t="s">
        <v>22</v>
      </c>
      <c r="F253" t="s">
        <v>3793</v>
      </c>
      <c r="G253" t="s">
        <v>3794</v>
      </c>
      <c r="H253" t="s">
        <v>3311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3795</v>
      </c>
      <c r="G254" t="s">
        <v>3796</v>
      </c>
      <c r="H254" t="s">
        <v>3282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3797</v>
      </c>
      <c r="G255" t="s">
        <v>3798</v>
      </c>
      <c r="H255" t="s">
        <v>3311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3799</v>
      </c>
      <c r="G256" t="s">
        <v>3800</v>
      </c>
      <c r="H256" t="s">
        <v>3311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3801</v>
      </c>
      <c r="G257" t="s">
        <v>3802</v>
      </c>
      <c r="H257" t="s">
        <v>3282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3803</v>
      </c>
      <c r="G258" t="s">
        <v>3804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3805</v>
      </c>
      <c r="G259" t="s">
        <v>3806</v>
      </c>
      <c r="H259" t="s">
        <v>3282</v>
      </c>
    </row>
    <row r="260" spans="1:8" x14ac:dyDescent="0.3">
      <c r="A260">
        <v>424</v>
      </c>
      <c r="B260" t="s">
        <v>2929</v>
      </c>
      <c r="C260" t="s">
        <v>1183</v>
      </c>
      <c r="D260" t="s">
        <v>71</v>
      </c>
      <c r="E260" t="s">
        <v>22</v>
      </c>
      <c r="F260" t="s">
        <v>3807</v>
      </c>
      <c r="G260" t="s">
        <v>3808</v>
      </c>
      <c r="H260" t="s">
        <v>3282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3809</v>
      </c>
      <c r="G261" t="s">
        <v>3810</v>
      </c>
      <c r="H261" t="s">
        <v>3282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3811</v>
      </c>
      <c r="G262" t="s">
        <v>1286</v>
      </c>
      <c r="H262" t="s">
        <v>3282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3812</v>
      </c>
      <c r="G263" t="s">
        <v>3813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3814</v>
      </c>
      <c r="G264" t="s">
        <v>3815</v>
      </c>
      <c r="H264" t="s">
        <v>3282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3816</v>
      </c>
      <c r="G265" t="s">
        <v>3817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3818</v>
      </c>
      <c r="G266" t="s">
        <v>3819</v>
      </c>
      <c r="H266" t="s">
        <v>3282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3820</v>
      </c>
      <c r="G267" t="s">
        <v>3821</v>
      </c>
      <c r="H267" t="s">
        <v>3311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3822</v>
      </c>
      <c r="G268" t="s">
        <v>3823</v>
      </c>
      <c r="H268" t="s">
        <v>3311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3824</v>
      </c>
      <c r="G269" t="s">
        <v>3821</v>
      </c>
      <c r="H269" t="s">
        <v>3311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3825</v>
      </c>
      <c r="G270" t="s">
        <v>3823</v>
      </c>
      <c r="H270" t="s">
        <v>3311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3826</v>
      </c>
      <c r="G271" t="s">
        <v>1279</v>
      </c>
      <c r="H271" t="s">
        <v>3282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3827</v>
      </c>
      <c r="G272" t="s">
        <v>3828</v>
      </c>
      <c r="H272" t="s">
        <v>3282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3829</v>
      </c>
      <c r="G273" t="s">
        <v>3830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3831</v>
      </c>
      <c r="G274" t="s">
        <v>3832</v>
      </c>
      <c r="H274" t="s">
        <v>3282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3833</v>
      </c>
      <c r="G275" t="s">
        <v>3834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3835</v>
      </c>
      <c r="G276" t="s">
        <v>3836</v>
      </c>
      <c r="H276" t="s">
        <v>3282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3837</v>
      </c>
      <c r="G277" t="s">
        <v>3838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3839</v>
      </c>
      <c r="G278" t="s">
        <v>3840</v>
      </c>
      <c r="H278" t="s">
        <v>3282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3841</v>
      </c>
      <c r="G279" t="s">
        <v>3842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3843</v>
      </c>
      <c r="G280" t="s">
        <v>3844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3845</v>
      </c>
      <c r="G281" t="s">
        <v>3846</v>
      </c>
      <c r="H281" t="s">
        <v>3282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3847</v>
      </c>
      <c r="G282" t="s">
        <v>3848</v>
      </c>
      <c r="H282" t="s">
        <v>3311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3849</v>
      </c>
      <c r="G283" t="s">
        <v>3850</v>
      </c>
      <c r="H283" t="s">
        <v>3282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3851</v>
      </c>
      <c r="G284" t="s">
        <v>3852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3853</v>
      </c>
      <c r="G285" t="s">
        <v>3854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3855</v>
      </c>
      <c r="G286" t="s">
        <v>3856</v>
      </c>
      <c r="H286" t="s">
        <v>3282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3857</v>
      </c>
      <c r="G287" t="s">
        <v>1266</v>
      </c>
      <c r="H287" t="s">
        <v>3311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3858</v>
      </c>
      <c r="G288" t="s">
        <v>3859</v>
      </c>
      <c r="H288" t="s">
        <v>3282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3860</v>
      </c>
      <c r="G289" t="s">
        <v>3859</v>
      </c>
      <c r="H289" t="s">
        <v>3282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3861</v>
      </c>
      <c r="G290" t="s">
        <v>3862</v>
      </c>
      <c r="H290" t="s">
        <v>3311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3863</v>
      </c>
      <c r="G291" t="s">
        <v>3864</v>
      </c>
      <c r="H291" t="s">
        <v>3311</v>
      </c>
    </row>
    <row r="292" spans="1:8" x14ac:dyDescent="0.3">
      <c r="A292">
        <v>487</v>
      </c>
      <c r="B292" t="s">
        <v>3164</v>
      </c>
      <c r="C292" t="s">
        <v>619</v>
      </c>
      <c r="D292" t="s">
        <v>71</v>
      </c>
      <c r="E292" t="s">
        <v>22</v>
      </c>
      <c r="F292" t="s">
        <v>3865</v>
      </c>
      <c r="G292" t="s">
        <v>3866</v>
      </c>
      <c r="H292" t="s">
        <v>3311</v>
      </c>
    </row>
    <row r="293" spans="1:8" x14ac:dyDescent="0.3">
      <c r="A293">
        <v>487</v>
      </c>
      <c r="B293" t="s">
        <v>3164</v>
      </c>
      <c r="C293" t="s">
        <v>619</v>
      </c>
      <c r="D293" t="s">
        <v>71</v>
      </c>
      <c r="E293" t="s">
        <v>22</v>
      </c>
      <c r="F293" t="s">
        <v>3867</v>
      </c>
      <c r="G293" t="s">
        <v>3868</v>
      </c>
      <c r="H293" t="s">
        <v>3311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3869</v>
      </c>
      <c r="G294" t="s">
        <v>3859</v>
      </c>
      <c r="H294" t="s">
        <v>3282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3870</v>
      </c>
      <c r="G295" t="s">
        <v>3859</v>
      </c>
      <c r="H295" t="s">
        <v>3282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3871</v>
      </c>
      <c r="G296" t="s">
        <v>3859</v>
      </c>
      <c r="H296" t="s">
        <v>3282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3872</v>
      </c>
      <c r="G297" t="s">
        <v>3859</v>
      </c>
      <c r="H297" t="s">
        <v>3282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3873</v>
      </c>
      <c r="G298" t="s">
        <v>3859</v>
      </c>
      <c r="H298" t="s">
        <v>3282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3874</v>
      </c>
      <c r="G299" t="s">
        <v>3859</v>
      </c>
      <c r="H299" t="s">
        <v>3282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3875</v>
      </c>
      <c r="G300" t="s">
        <v>3859</v>
      </c>
      <c r="H300" t="s">
        <v>3282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3876</v>
      </c>
      <c r="G301" t="s">
        <v>3859</v>
      </c>
      <c r="H301" t="s">
        <v>3282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3877</v>
      </c>
      <c r="G302" t="s">
        <v>3859</v>
      </c>
      <c r="H302" t="s">
        <v>3282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3878</v>
      </c>
      <c r="G303" t="s">
        <v>3859</v>
      </c>
      <c r="H303" t="s">
        <v>3282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3879</v>
      </c>
      <c r="G304" t="s">
        <v>3859</v>
      </c>
      <c r="H304" t="s">
        <v>3282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3880</v>
      </c>
      <c r="G305" t="s">
        <v>3859</v>
      </c>
      <c r="H305" t="s">
        <v>3282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3881</v>
      </c>
      <c r="G306" t="s">
        <v>3859</v>
      </c>
      <c r="H306" t="s">
        <v>3282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3882</v>
      </c>
      <c r="G307" t="s">
        <v>3859</v>
      </c>
      <c r="H307" t="s">
        <v>3282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3883</v>
      </c>
      <c r="G308" t="s">
        <v>3859</v>
      </c>
      <c r="H308" t="s">
        <v>3282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3884</v>
      </c>
      <c r="G309" t="s">
        <v>3859</v>
      </c>
      <c r="H309" t="s">
        <v>3282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3885</v>
      </c>
      <c r="G310" t="s">
        <v>3859</v>
      </c>
      <c r="H310" t="s">
        <v>3282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3886</v>
      </c>
      <c r="G311" t="s">
        <v>3887</v>
      </c>
      <c r="H311" t="s">
        <v>3282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3888</v>
      </c>
      <c r="G312" t="s">
        <v>3889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3890</v>
      </c>
      <c r="G313" t="s">
        <v>3891</v>
      </c>
      <c r="H313" t="s">
        <v>3282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3892</v>
      </c>
      <c r="G314" t="s">
        <v>3893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3894</v>
      </c>
      <c r="G315" t="s">
        <v>3895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3896</v>
      </c>
      <c r="G316" t="s">
        <v>3897</v>
      </c>
      <c r="H316" t="s">
        <v>3311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3898</v>
      </c>
      <c r="G317" t="s">
        <v>3899</v>
      </c>
      <c r="H317" t="s">
        <v>3311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3900</v>
      </c>
      <c r="G318" t="s">
        <v>3901</v>
      </c>
      <c r="H318" t="s">
        <v>3311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3902</v>
      </c>
      <c r="G319" t="s">
        <v>3903</v>
      </c>
      <c r="H319" t="s">
        <v>3311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3904</v>
      </c>
      <c r="G320" t="s">
        <v>3905</v>
      </c>
      <c r="H320" t="s">
        <v>3282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3906</v>
      </c>
      <c r="G321" t="s">
        <v>3907</v>
      </c>
      <c r="H321" t="s">
        <v>3282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3908</v>
      </c>
      <c r="G322" t="s">
        <v>3909</v>
      </c>
      <c r="H322" t="s">
        <v>3282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3910</v>
      </c>
      <c r="G323" t="s">
        <v>3911</v>
      </c>
      <c r="H323" t="s">
        <v>3282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3912</v>
      </c>
      <c r="G324" t="s">
        <v>3913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3914</v>
      </c>
      <c r="G325" t="s">
        <v>3915</v>
      </c>
      <c r="H325" t="s">
        <v>3282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3916</v>
      </c>
      <c r="G326" t="s">
        <v>3917</v>
      </c>
      <c r="H326" t="s">
        <v>3282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3918</v>
      </c>
      <c r="G327" t="s">
        <v>3919</v>
      </c>
      <c r="H327" t="s">
        <v>3282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3920</v>
      </c>
      <c r="G328" t="s">
        <v>3921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3922</v>
      </c>
      <c r="G329" t="s">
        <v>3923</v>
      </c>
      <c r="H329" t="s">
        <v>3282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3924</v>
      </c>
      <c r="G330" t="s">
        <v>3925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3926</v>
      </c>
      <c r="G331" t="s">
        <v>3927</v>
      </c>
      <c r="H331" t="s">
        <v>3282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3928</v>
      </c>
      <c r="G332" t="s">
        <v>3929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3930</v>
      </c>
      <c r="G333" t="s">
        <v>3931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3932</v>
      </c>
      <c r="G334" t="s">
        <v>3933</v>
      </c>
      <c r="H334" t="s">
        <v>3282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3934</v>
      </c>
      <c r="G335" t="s">
        <v>3935</v>
      </c>
      <c r="H335" t="s">
        <v>3311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3936</v>
      </c>
      <c r="G336" t="s">
        <v>3937</v>
      </c>
      <c r="H336" t="s">
        <v>3282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3938</v>
      </c>
      <c r="G337" t="s">
        <v>1478</v>
      </c>
      <c r="H337" t="s">
        <v>3282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3939</v>
      </c>
      <c r="G338" t="s">
        <v>3940</v>
      </c>
      <c r="H338" t="s">
        <v>3282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3941</v>
      </c>
      <c r="G339" t="s">
        <v>3942</v>
      </c>
      <c r="H339" t="s">
        <v>3282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3943</v>
      </c>
      <c r="G340" t="s">
        <v>3944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3945</v>
      </c>
      <c r="G341" t="s">
        <v>3946</v>
      </c>
      <c r="H341" t="s">
        <v>3282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3947</v>
      </c>
      <c r="G342" t="s">
        <v>3948</v>
      </c>
      <c r="H342" t="s">
        <v>3282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3949</v>
      </c>
      <c r="G343" t="s">
        <v>3950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3951</v>
      </c>
      <c r="G344" t="s">
        <v>3952</v>
      </c>
      <c r="H344" t="s">
        <v>3311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3953</v>
      </c>
      <c r="G345" t="s">
        <v>3954</v>
      </c>
      <c r="H345" t="s">
        <v>3311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3955</v>
      </c>
      <c r="G346" t="s">
        <v>3956</v>
      </c>
      <c r="H346" t="s">
        <v>3282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3957</v>
      </c>
      <c r="G347" t="s">
        <v>3958</v>
      </c>
      <c r="H347" t="s">
        <v>3282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3959</v>
      </c>
      <c r="G348" t="s">
        <v>3960</v>
      </c>
      <c r="H348" t="s">
        <v>3282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3961</v>
      </c>
      <c r="G349" t="s">
        <v>3962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3963</v>
      </c>
      <c r="G1" t="s">
        <v>1509</v>
      </c>
      <c r="H1" t="s">
        <v>3964</v>
      </c>
      <c r="I1" t="s">
        <v>3965</v>
      </c>
      <c r="J1" t="s">
        <v>3966</v>
      </c>
      <c r="K1" t="s">
        <v>3967</v>
      </c>
      <c r="L1" t="s">
        <v>3968</v>
      </c>
      <c r="M1" t="s">
        <v>3969</v>
      </c>
      <c r="N1" t="s">
        <v>3970</v>
      </c>
      <c r="O1" t="s">
        <v>3971</v>
      </c>
      <c r="P1" t="s">
        <v>3972</v>
      </c>
      <c r="Q1" t="s">
        <v>3973</v>
      </c>
      <c r="R1" t="s">
        <v>3974</v>
      </c>
      <c r="S1" t="s">
        <v>3975</v>
      </c>
      <c r="T1" t="s">
        <v>3976</v>
      </c>
      <c r="U1" t="s">
        <v>3977</v>
      </c>
      <c r="V1" t="s">
        <v>3978</v>
      </c>
      <c r="W1" t="s">
        <v>3979</v>
      </c>
      <c r="X1" t="s">
        <v>3980</v>
      </c>
      <c r="Y1" t="s">
        <v>3981</v>
      </c>
      <c r="Z1" t="s">
        <v>3982</v>
      </c>
      <c r="AA1" t="s">
        <v>3983</v>
      </c>
      <c r="AB1" t="s">
        <v>3984</v>
      </c>
      <c r="AC1" t="s">
        <v>3985</v>
      </c>
      <c r="AD1" t="s">
        <v>3986</v>
      </c>
      <c r="AE1" t="s">
        <v>3987</v>
      </c>
      <c r="AF1" t="s">
        <v>3988</v>
      </c>
      <c r="AG1" t="s">
        <v>3989</v>
      </c>
      <c r="AH1" t="s">
        <v>3990</v>
      </c>
      <c r="AI1" t="s">
        <v>3991</v>
      </c>
      <c r="AJ1" t="s">
        <v>3992</v>
      </c>
      <c r="AK1" t="s">
        <v>3993</v>
      </c>
      <c r="AL1" t="s">
        <v>3994</v>
      </c>
      <c r="AM1" t="s">
        <v>3995</v>
      </c>
      <c r="AN1" t="s">
        <v>3996</v>
      </c>
      <c r="AO1" t="s">
        <v>3997</v>
      </c>
      <c r="AP1" t="s">
        <v>3998</v>
      </c>
      <c r="AQ1" t="s">
        <v>3999</v>
      </c>
      <c r="AR1" t="s">
        <v>4000</v>
      </c>
      <c r="AS1" t="s">
        <v>4001</v>
      </c>
      <c r="AT1" t="s">
        <v>4002</v>
      </c>
      <c r="AU1" t="s">
        <v>4003</v>
      </c>
      <c r="AV1" t="s">
        <v>4004</v>
      </c>
      <c r="AW1" t="s">
        <v>4005</v>
      </c>
      <c r="AX1" t="s">
        <v>4006</v>
      </c>
      <c r="AY1" t="s">
        <v>4007</v>
      </c>
      <c r="AZ1" t="s">
        <v>4008</v>
      </c>
      <c r="BA1" t="s">
        <v>4009</v>
      </c>
      <c r="BB1" t="s">
        <v>4010</v>
      </c>
      <c r="BC1" t="s">
        <v>4011</v>
      </c>
      <c r="BD1" t="s">
        <v>4012</v>
      </c>
      <c r="BE1" t="s">
        <v>4013</v>
      </c>
      <c r="BF1" t="s">
        <v>4014</v>
      </c>
      <c r="BG1" t="s">
        <v>4015</v>
      </c>
      <c r="BH1" t="s">
        <v>4016</v>
      </c>
      <c r="BI1" t="s">
        <v>4017</v>
      </c>
      <c r="BJ1" t="s">
        <v>4018</v>
      </c>
      <c r="BK1" t="s">
        <v>4019</v>
      </c>
      <c r="BL1" t="s">
        <v>4020</v>
      </c>
      <c r="BM1" t="s">
        <v>4021</v>
      </c>
      <c r="BN1" t="s">
        <v>4022</v>
      </c>
      <c r="BO1" t="s">
        <v>4023</v>
      </c>
      <c r="BP1" t="s">
        <v>4024</v>
      </c>
      <c r="BQ1" t="s">
        <v>4025</v>
      </c>
      <c r="BR1" t="s">
        <v>4026</v>
      </c>
      <c r="BS1" t="s">
        <v>4027</v>
      </c>
      <c r="BT1" t="s">
        <v>4028</v>
      </c>
      <c r="BU1" t="s">
        <v>4029</v>
      </c>
      <c r="BV1" t="s">
        <v>4030</v>
      </c>
      <c r="BW1" t="s">
        <v>4031</v>
      </c>
      <c r="BX1" t="s">
        <v>4032</v>
      </c>
      <c r="BY1" t="s">
        <v>4033</v>
      </c>
      <c r="BZ1" t="s">
        <v>4034</v>
      </c>
      <c r="CA1" t="s">
        <v>4035</v>
      </c>
      <c r="CB1" t="s">
        <v>4036</v>
      </c>
      <c r="CC1" t="s">
        <v>4037</v>
      </c>
      <c r="CD1" t="s">
        <v>4038</v>
      </c>
      <c r="CE1" t="s">
        <v>4039</v>
      </c>
      <c r="CF1" t="s">
        <v>4040</v>
      </c>
      <c r="CG1" t="s">
        <v>4041</v>
      </c>
      <c r="CH1" t="s">
        <v>4042</v>
      </c>
      <c r="CI1" t="s">
        <v>4043</v>
      </c>
      <c r="CJ1" t="s">
        <v>4044</v>
      </c>
      <c r="CK1" t="s">
        <v>4045</v>
      </c>
      <c r="CL1" t="s">
        <v>4046</v>
      </c>
      <c r="CM1" t="s">
        <v>4047</v>
      </c>
      <c r="CN1" t="s">
        <v>4048</v>
      </c>
      <c r="CO1" t="s">
        <v>4049</v>
      </c>
      <c r="CP1" t="s">
        <v>4050</v>
      </c>
      <c r="CQ1" t="s">
        <v>4051</v>
      </c>
      <c r="CR1" t="s">
        <v>4052</v>
      </c>
      <c r="CS1" t="s">
        <v>4053</v>
      </c>
      <c r="CT1" t="s">
        <v>4054</v>
      </c>
      <c r="CU1" t="s">
        <v>4055</v>
      </c>
      <c r="CV1" t="s">
        <v>4056</v>
      </c>
      <c r="CW1" t="s">
        <v>4057</v>
      </c>
      <c r="CX1" t="s">
        <v>4058</v>
      </c>
      <c r="CY1" t="s">
        <v>4059</v>
      </c>
      <c r="CZ1" t="s">
        <v>4060</v>
      </c>
      <c r="DA1" t="s">
        <v>4061</v>
      </c>
      <c r="DB1" t="s">
        <v>4062</v>
      </c>
      <c r="DC1" t="s">
        <v>4063</v>
      </c>
      <c r="DD1" t="s">
        <v>4064</v>
      </c>
      <c r="DE1" t="s">
        <v>4065</v>
      </c>
      <c r="DF1" t="s">
        <v>4066</v>
      </c>
      <c r="DG1" t="s">
        <v>4067</v>
      </c>
      <c r="DH1" t="s">
        <v>4068</v>
      </c>
      <c r="DI1" t="s">
        <v>4069</v>
      </c>
      <c r="DJ1" t="s">
        <v>4070</v>
      </c>
      <c r="DK1" t="s">
        <v>4071</v>
      </c>
      <c r="DL1" t="s">
        <v>4072</v>
      </c>
      <c r="DM1" t="s">
        <v>4073</v>
      </c>
      <c r="DN1" t="s">
        <v>4074</v>
      </c>
      <c r="DO1" t="s">
        <v>4075</v>
      </c>
      <c r="DP1" t="s">
        <v>4076</v>
      </c>
      <c r="DQ1" t="s">
        <v>4077</v>
      </c>
      <c r="DR1" t="s">
        <v>4078</v>
      </c>
      <c r="DS1" t="s">
        <v>4079</v>
      </c>
      <c r="DT1" t="s">
        <v>4080</v>
      </c>
      <c r="DU1" t="s">
        <v>4081</v>
      </c>
      <c r="DV1" t="s">
        <v>4082</v>
      </c>
      <c r="DW1" t="s">
        <v>4083</v>
      </c>
      <c r="DX1" t="s">
        <v>4084</v>
      </c>
      <c r="DY1" t="s">
        <v>4085</v>
      </c>
      <c r="DZ1" t="s">
        <v>4086</v>
      </c>
      <c r="EA1" t="s">
        <v>4087</v>
      </c>
      <c r="EB1" t="s">
        <v>4088</v>
      </c>
      <c r="EC1" t="s">
        <v>4089</v>
      </c>
      <c r="ED1" t="s">
        <v>4090</v>
      </c>
      <c r="EE1" t="s">
        <v>4091</v>
      </c>
      <c r="EF1" t="s">
        <v>4092</v>
      </c>
      <c r="EG1" t="s">
        <v>4093</v>
      </c>
      <c r="EH1" t="s">
        <v>4094</v>
      </c>
      <c r="EI1" t="s">
        <v>4095</v>
      </c>
      <c r="EJ1" t="s">
        <v>4096</v>
      </c>
      <c r="EK1" t="s">
        <v>4097</v>
      </c>
      <c r="EL1" t="s">
        <v>4098</v>
      </c>
      <c r="EM1" t="s">
        <v>4099</v>
      </c>
      <c r="EN1" t="s">
        <v>4100</v>
      </c>
      <c r="EO1" t="s">
        <v>4101</v>
      </c>
      <c r="EP1" t="s">
        <v>4102</v>
      </c>
      <c r="EQ1" t="s">
        <v>4103</v>
      </c>
      <c r="ER1" t="s">
        <v>4104</v>
      </c>
      <c r="ES1" t="s">
        <v>4105</v>
      </c>
      <c r="ET1" t="s">
        <v>4106</v>
      </c>
      <c r="EU1" t="s">
        <v>4107</v>
      </c>
      <c r="EV1" t="s">
        <v>4108</v>
      </c>
      <c r="EW1" t="s">
        <v>4109</v>
      </c>
      <c r="EX1" t="s">
        <v>4110</v>
      </c>
      <c r="EY1" t="s">
        <v>4111</v>
      </c>
      <c r="EZ1" t="s">
        <v>4112</v>
      </c>
      <c r="FA1" t="s">
        <v>4113</v>
      </c>
      <c r="FB1" t="s">
        <v>4114</v>
      </c>
      <c r="FC1" t="s">
        <v>4115</v>
      </c>
      <c r="FD1" t="s">
        <v>4116</v>
      </c>
      <c r="FE1" t="s">
        <v>4117</v>
      </c>
      <c r="FF1" t="s">
        <v>4118</v>
      </c>
      <c r="FG1" t="s">
        <v>4119</v>
      </c>
      <c r="FH1" t="s">
        <v>4120</v>
      </c>
      <c r="FI1" t="s">
        <v>4121</v>
      </c>
      <c r="FJ1" t="s">
        <v>4122</v>
      </c>
      <c r="FK1" t="s">
        <v>4123</v>
      </c>
      <c r="FL1" t="s">
        <v>4124</v>
      </c>
      <c r="FM1" t="s">
        <v>4125</v>
      </c>
      <c r="FN1" t="s">
        <v>4126</v>
      </c>
      <c r="FO1" t="s">
        <v>4127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4128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4129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4128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4128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4129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4128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4129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4128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4128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4129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4128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4129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4128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4128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4129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4128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4129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4128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4128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4129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4128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4129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4128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4128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4129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4128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4129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4128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4128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4129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4128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4128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4131</v>
      </c>
      <c r="H47" t="s">
        <v>4128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4131</v>
      </c>
      <c r="H48" t="s">
        <v>4130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4131</v>
      </c>
      <c r="H49" t="s">
        <v>4129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4132</v>
      </c>
      <c r="H50" t="s">
        <v>4128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4128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4129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4128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4128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4129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4128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4129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4128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4128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4129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4128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4129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4128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4128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4129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4128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4129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4128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4128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4129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4128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4129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4128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4128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4129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4128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4129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4128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4128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4129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4128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4128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4129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4128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4129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4133</v>
      </c>
      <c r="H103" t="s">
        <v>4128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4133</v>
      </c>
      <c r="H104" t="s">
        <v>4130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4133</v>
      </c>
      <c r="H105" t="s">
        <v>4129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4134</v>
      </c>
      <c r="H106" t="s">
        <v>4128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4134</v>
      </c>
      <c r="H107" t="s">
        <v>4130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4134</v>
      </c>
      <c r="H108" t="s">
        <v>4129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4135</v>
      </c>
      <c r="H109" t="s">
        <v>4128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4135</v>
      </c>
      <c r="H110" t="s">
        <v>4130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4128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4129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4128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4128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4128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4128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4136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4129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4128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4129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4136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4136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4128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4128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4137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4129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4136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4138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4128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4137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4129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4136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4138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4128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4137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4129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4136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4138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4128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4137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4129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4136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4138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4128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4137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4129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4136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4138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4139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3282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4140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4141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2963</v>
      </c>
      <c r="H163" t="s">
        <v>4128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2963</v>
      </c>
      <c r="H164" t="s">
        <v>4130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2963</v>
      </c>
      <c r="H165" t="s">
        <v>4137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2963</v>
      </c>
      <c r="H166" t="s">
        <v>4129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2963</v>
      </c>
      <c r="H167" t="s">
        <v>4136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2963</v>
      </c>
      <c r="H168" t="s">
        <v>4138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4128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4137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4129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4136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4138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4128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4137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4129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4136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4138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4128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4137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4129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4136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4138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4128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4137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4129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4136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4138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4128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4137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4129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4136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4138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4139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3282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4141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4137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4129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4136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4138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4128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4128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4137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4129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4136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4138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4128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4137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4129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4136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4138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4128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4137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4129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4136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4138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4128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4137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4129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4136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4138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4139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3282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4140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4141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2965</v>
      </c>
      <c r="H236" t="s">
        <v>4128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2965</v>
      </c>
      <c r="H237" t="s">
        <v>4130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2965</v>
      </c>
      <c r="H238" t="s">
        <v>4137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2965</v>
      </c>
      <c r="H239" t="s">
        <v>4129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2965</v>
      </c>
      <c r="H240" t="s">
        <v>4136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2965</v>
      </c>
      <c r="H241" t="s">
        <v>4138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4142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4143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4144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4145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4146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4147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4148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4149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4150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4151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4152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4153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4137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4129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4136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4138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4128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4128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4137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4129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4136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4138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4128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4137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4129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4136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4138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4128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4137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4129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4136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4138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4128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4137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4129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4136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4138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4139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3282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4141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2966</v>
      </c>
      <c r="H287" t="s">
        <v>4128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2966</v>
      </c>
      <c r="H288" t="s">
        <v>4130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2966</v>
      </c>
      <c r="H289" t="s">
        <v>4137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2966</v>
      </c>
      <c r="H290" t="s">
        <v>4129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2966</v>
      </c>
      <c r="H291" t="s">
        <v>4136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2966</v>
      </c>
      <c r="H292" t="s">
        <v>4138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4128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4137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4129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4136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4138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4128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4137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4129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4136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4138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4128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4137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4129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4136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4138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4128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4137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4129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4136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4138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4128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4137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4129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4136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4138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4139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3282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4141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2967</v>
      </c>
      <c r="H326" t="s">
        <v>4128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2967</v>
      </c>
      <c r="H327" t="s">
        <v>4130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2967</v>
      </c>
      <c r="H328" t="s">
        <v>4137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2967</v>
      </c>
      <c r="H329" t="s">
        <v>4129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2967</v>
      </c>
      <c r="H330" t="s">
        <v>4136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2967</v>
      </c>
      <c r="H331" t="s">
        <v>4138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4128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4137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4129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4136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4138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4128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4137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4129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4136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4138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4128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4137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4129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4136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4138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4128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4137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4129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4136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4138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4128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4137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4129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4136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4138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4139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3282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4141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2968</v>
      </c>
      <c r="H365" t="s">
        <v>4128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2968</v>
      </c>
      <c r="H366" t="s">
        <v>4130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2968</v>
      </c>
      <c r="H367" t="s">
        <v>4137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2968</v>
      </c>
      <c r="H368" t="s">
        <v>4129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2968</v>
      </c>
      <c r="H369" t="s">
        <v>4136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2968</v>
      </c>
      <c r="H370" t="s">
        <v>4138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4154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4155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4156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4128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4137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4129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4136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4138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4128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4129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4128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4129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2491</v>
      </c>
      <c r="H386" t="s">
        <v>4157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2491</v>
      </c>
      <c r="H387" t="s">
        <v>4158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2491</v>
      </c>
      <c r="H388" t="s">
        <v>4159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2491</v>
      </c>
      <c r="H389" t="s">
        <v>4160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2506</v>
      </c>
      <c r="H390" t="s">
        <v>4161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2506</v>
      </c>
      <c r="H391" t="s">
        <v>4162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2506</v>
      </c>
      <c r="H392" t="s">
        <v>4163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2522</v>
      </c>
      <c r="H393" t="s">
        <v>4164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2522</v>
      </c>
      <c r="H394" t="s">
        <v>4165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2522</v>
      </c>
      <c r="H395" t="s">
        <v>4166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2522</v>
      </c>
      <c r="H396" t="s">
        <v>4167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2543</v>
      </c>
      <c r="H397" t="s">
        <v>4168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2543</v>
      </c>
      <c r="H398" t="s">
        <v>4169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2543</v>
      </c>
      <c r="H399" t="s">
        <v>4170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2548</v>
      </c>
      <c r="H400" t="s">
        <v>4168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2548</v>
      </c>
      <c r="H401" t="s">
        <v>4169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2548</v>
      </c>
      <c r="H402" t="s">
        <v>4170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2577</v>
      </c>
      <c r="H403" t="s">
        <v>4168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2577</v>
      </c>
      <c r="H404" t="s">
        <v>4169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2577</v>
      </c>
      <c r="H405" t="s">
        <v>4170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2722</v>
      </c>
      <c r="H406" t="s">
        <v>4171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2722</v>
      </c>
      <c r="H407" t="s">
        <v>4172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2796</v>
      </c>
      <c r="H408" t="s">
        <v>4173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2796</v>
      </c>
      <c r="H409" t="s">
        <v>4174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2796</v>
      </c>
      <c r="H410" t="s">
        <v>4175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2801</v>
      </c>
      <c r="H411" t="s">
        <v>4176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2801</v>
      </c>
      <c r="H412" t="s">
        <v>4177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2801</v>
      </c>
      <c r="H413" t="s">
        <v>4178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2801</v>
      </c>
      <c r="H414" t="s">
        <v>4179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2801</v>
      </c>
      <c r="H415" t="s">
        <v>4180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2801</v>
      </c>
      <c r="H416" t="s">
        <v>4181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2801</v>
      </c>
      <c r="H417" t="s">
        <v>4182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2801</v>
      </c>
      <c r="H418" t="s">
        <v>4183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2801</v>
      </c>
      <c r="H419" t="s">
        <v>4184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2801</v>
      </c>
      <c r="H420" t="s">
        <v>4185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2801</v>
      </c>
      <c r="H421" t="s">
        <v>4186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2801</v>
      </c>
      <c r="H422" t="s">
        <v>4187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2859</v>
      </c>
      <c r="H423" t="s">
        <v>4188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2859</v>
      </c>
      <c r="H424" t="s">
        <v>4189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2859</v>
      </c>
      <c r="H425" t="s">
        <v>4190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2859</v>
      </c>
      <c r="H426" t="s">
        <v>4188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2859</v>
      </c>
      <c r="H427" t="s">
        <v>4189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2859</v>
      </c>
      <c r="H428" t="s">
        <v>4190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2859</v>
      </c>
      <c r="H429" t="s">
        <v>4188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2859</v>
      </c>
      <c r="H430" t="s">
        <v>4189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2859</v>
      </c>
      <c r="H431" t="s">
        <v>4190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2859</v>
      </c>
      <c r="H432" t="s">
        <v>4188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2859</v>
      </c>
      <c r="H433" t="s">
        <v>4189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2859</v>
      </c>
      <c r="H434" t="s">
        <v>4190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2859</v>
      </c>
      <c r="H435" t="s">
        <v>4188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2859</v>
      </c>
      <c r="H436" t="s">
        <v>4189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2859</v>
      </c>
      <c r="H437" t="s">
        <v>4190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2859</v>
      </c>
      <c r="H438" t="s">
        <v>4188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2859</v>
      </c>
      <c r="H439" t="s">
        <v>4189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2859</v>
      </c>
      <c r="H440" t="s">
        <v>4190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2859</v>
      </c>
      <c r="H441" t="s">
        <v>4188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2859</v>
      </c>
      <c r="H442" t="s">
        <v>4189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2859</v>
      </c>
      <c r="H443" t="s">
        <v>4190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2859</v>
      </c>
      <c r="H444" t="s">
        <v>4188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2859</v>
      </c>
      <c r="H445" t="s">
        <v>4189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2859</v>
      </c>
      <c r="H446" t="s">
        <v>4190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2859</v>
      </c>
      <c r="H447" t="s">
        <v>4188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2859</v>
      </c>
      <c r="H448" t="s">
        <v>4189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2859</v>
      </c>
      <c r="H449" t="s">
        <v>4190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2859</v>
      </c>
      <c r="H450" t="s">
        <v>4188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2859</v>
      </c>
      <c r="H451" t="s">
        <v>4189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2859</v>
      </c>
      <c r="H452" t="s">
        <v>4190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2859</v>
      </c>
      <c r="H453" t="s">
        <v>4188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2859</v>
      </c>
      <c r="H454" t="s">
        <v>4189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2859</v>
      </c>
      <c r="H455" t="s">
        <v>4190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2859</v>
      </c>
      <c r="H456" t="s">
        <v>4188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2859</v>
      </c>
      <c r="H457" t="s">
        <v>4189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2859</v>
      </c>
      <c r="H458" t="s">
        <v>4190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2859</v>
      </c>
      <c r="H459" t="s">
        <v>4188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2859</v>
      </c>
      <c r="H460" t="s">
        <v>4189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2859</v>
      </c>
      <c r="H461" t="s">
        <v>4190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2859</v>
      </c>
      <c r="H462" t="s">
        <v>4188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2859</v>
      </c>
      <c r="H463" t="s">
        <v>4189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2859</v>
      </c>
      <c r="H464" t="s">
        <v>4190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2859</v>
      </c>
      <c r="H465" t="s">
        <v>4188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2859</v>
      </c>
      <c r="H466" t="s">
        <v>4189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2859</v>
      </c>
      <c r="H467" t="s">
        <v>4190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2859</v>
      </c>
      <c r="H468" t="s">
        <v>4188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2859</v>
      </c>
      <c r="H469" t="s">
        <v>4189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2859</v>
      </c>
      <c r="H470" t="s">
        <v>4190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2859</v>
      </c>
      <c r="H471" t="s">
        <v>4188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2859</v>
      </c>
      <c r="H472" t="s">
        <v>4189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2859</v>
      </c>
      <c r="H473" t="s">
        <v>4190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2859</v>
      </c>
      <c r="H474" t="s">
        <v>4188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2859</v>
      </c>
      <c r="H475" t="s">
        <v>4189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2859</v>
      </c>
      <c r="H476" t="s">
        <v>4190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2859</v>
      </c>
      <c r="H477" t="s">
        <v>4188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2859</v>
      </c>
      <c r="H478" t="s">
        <v>4189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2859</v>
      </c>
      <c r="H479" t="s">
        <v>4190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2859</v>
      </c>
      <c r="H480" t="s">
        <v>4188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2859</v>
      </c>
      <c r="H481" t="s">
        <v>4189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2859</v>
      </c>
      <c r="H482" t="s">
        <v>4190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2859</v>
      </c>
      <c r="H483" t="s">
        <v>4188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2859</v>
      </c>
      <c r="H484" t="s">
        <v>4189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2859</v>
      </c>
      <c r="H485" t="s">
        <v>4190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2859</v>
      </c>
      <c r="H486" t="s">
        <v>4188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2859</v>
      </c>
      <c r="H487" t="s">
        <v>4189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2859</v>
      </c>
      <c r="H488" t="s">
        <v>4190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2859</v>
      </c>
      <c r="H489" t="s">
        <v>4188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2859</v>
      </c>
      <c r="H490" t="s">
        <v>4189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2859</v>
      </c>
      <c r="H491" t="s">
        <v>4190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2859</v>
      </c>
      <c r="H492" t="s">
        <v>4188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2859</v>
      </c>
      <c r="H493" t="s">
        <v>4189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2859</v>
      </c>
      <c r="H494" t="s">
        <v>4190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2859</v>
      </c>
      <c r="H495" t="s">
        <v>4188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2859</v>
      </c>
      <c r="H496" t="s">
        <v>4189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2859</v>
      </c>
      <c r="H497" t="s">
        <v>4190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2933</v>
      </c>
      <c r="H498" t="s">
        <v>4128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2933</v>
      </c>
      <c r="H499" t="s">
        <v>4130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2933</v>
      </c>
      <c r="H500" t="s">
        <v>4137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2933</v>
      </c>
      <c r="H501" t="s">
        <v>4129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2933</v>
      </c>
      <c r="H502" t="s">
        <v>4138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2936</v>
      </c>
      <c r="H503" t="s">
        <v>4130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2936</v>
      </c>
      <c r="H504" t="s">
        <v>4128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2936</v>
      </c>
      <c r="H505" t="s">
        <v>4129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2939</v>
      </c>
      <c r="H506" t="s">
        <v>4128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2939</v>
      </c>
      <c r="H507" t="s">
        <v>4129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2939</v>
      </c>
      <c r="H508" t="s">
        <v>4130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2942</v>
      </c>
      <c r="H509" t="s">
        <v>4191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2942</v>
      </c>
      <c r="H510" t="s">
        <v>4192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2942</v>
      </c>
      <c r="H511" t="s">
        <v>4193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2942</v>
      </c>
      <c r="H512" t="s">
        <v>4194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2960</v>
      </c>
      <c r="H513" t="s">
        <v>4130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2960</v>
      </c>
      <c r="H514" t="s">
        <v>4128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2960</v>
      </c>
      <c r="H515" t="s">
        <v>4129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2996</v>
      </c>
      <c r="H516" t="s">
        <v>4128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2996</v>
      </c>
      <c r="H517" t="s">
        <v>4130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2996</v>
      </c>
      <c r="H518" t="s">
        <v>4137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2996</v>
      </c>
      <c r="H519" t="s">
        <v>4129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2996</v>
      </c>
      <c r="H520" t="s">
        <v>4136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2996</v>
      </c>
      <c r="H521" t="s">
        <v>4138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4142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4143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4144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4195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4196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4145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4146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4147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4148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4149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4150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4151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4197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4152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4198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4153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2584</v>
      </c>
      <c r="H538" t="s">
        <v>4199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2584</v>
      </c>
      <c r="H539" t="s">
        <v>4200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2584</v>
      </c>
      <c r="H540" t="s">
        <v>4201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2584</v>
      </c>
      <c r="H541" t="s">
        <v>4202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2584</v>
      </c>
      <c r="H542" t="s">
        <v>4203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2584</v>
      </c>
      <c r="H543" t="s">
        <v>4204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2736</v>
      </c>
      <c r="H544" t="s">
        <v>4204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2736</v>
      </c>
      <c r="H545" t="s">
        <v>4203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2736</v>
      </c>
      <c r="H546" t="s">
        <v>4202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2736</v>
      </c>
      <c r="H547" t="s">
        <v>4201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2736</v>
      </c>
      <c r="H548" t="s">
        <v>4200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2736</v>
      </c>
      <c r="H549" t="s">
        <v>4199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2805</v>
      </c>
      <c r="H550" t="s">
        <v>4176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2805</v>
      </c>
      <c r="H551" t="s">
        <v>4177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2805</v>
      </c>
      <c r="H552" t="s">
        <v>4178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2805</v>
      </c>
      <c r="H553" t="s">
        <v>4179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2805</v>
      </c>
      <c r="H554" t="s">
        <v>4180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2805</v>
      </c>
      <c r="H555" t="s">
        <v>4181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2805</v>
      </c>
      <c r="H556" t="s">
        <v>4182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2805</v>
      </c>
      <c r="H557" t="s">
        <v>4183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2805</v>
      </c>
      <c r="H558" t="s">
        <v>4184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2805</v>
      </c>
      <c r="H559" t="s">
        <v>4185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2805</v>
      </c>
      <c r="H560" t="s">
        <v>4186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2805</v>
      </c>
      <c r="H561" t="s">
        <v>4187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2870</v>
      </c>
      <c r="H562" t="s">
        <v>4205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2870</v>
      </c>
      <c r="H563" t="s">
        <v>4206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2870</v>
      </c>
      <c r="H564" t="s">
        <v>4207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2870</v>
      </c>
      <c r="H565" t="s">
        <v>4208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2870</v>
      </c>
      <c r="H566" t="s">
        <v>4209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2870</v>
      </c>
      <c r="H567" t="s">
        <v>4210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2870</v>
      </c>
      <c r="H568" t="s">
        <v>4211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2870</v>
      </c>
      <c r="H569" t="s">
        <v>4212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2879</v>
      </c>
      <c r="H570" t="s">
        <v>4213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2879</v>
      </c>
      <c r="H571" t="s">
        <v>4214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2879</v>
      </c>
      <c r="H572" t="s">
        <v>4215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2879</v>
      </c>
      <c r="H573" t="s">
        <v>4216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2879</v>
      </c>
      <c r="H574" t="s">
        <v>4217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2879</v>
      </c>
      <c r="H575" t="s">
        <v>4218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2879</v>
      </c>
      <c r="H576" t="s">
        <v>4219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2888</v>
      </c>
      <c r="H577" t="s">
        <v>4220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2888</v>
      </c>
      <c r="H578" t="s">
        <v>4221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2897</v>
      </c>
      <c r="H579" t="s">
        <v>4222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2897</v>
      </c>
      <c r="H580" t="s">
        <v>4223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2897</v>
      </c>
      <c r="H581" t="s">
        <v>4224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2897</v>
      </c>
      <c r="H582" t="s">
        <v>4225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2897</v>
      </c>
      <c r="H583" t="s">
        <v>4226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2897</v>
      </c>
      <c r="H584" t="s">
        <v>4227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2906</v>
      </c>
      <c r="H585" t="s">
        <v>4228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2906</v>
      </c>
      <c r="H586" t="s">
        <v>4229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2906</v>
      </c>
      <c r="H587" t="s">
        <v>4230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2906</v>
      </c>
      <c r="H588" t="s">
        <v>4231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2906</v>
      </c>
      <c r="H589" t="s">
        <v>4232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2906</v>
      </c>
      <c r="H590" t="s">
        <v>4233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2906</v>
      </c>
      <c r="H591" t="s">
        <v>4234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2906</v>
      </c>
      <c r="H592" t="s">
        <v>4235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2906</v>
      </c>
      <c r="H593" t="s">
        <v>4190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2917</v>
      </c>
      <c r="H594" t="s">
        <v>4236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2917</v>
      </c>
      <c r="H595" t="s">
        <v>4237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2917</v>
      </c>
      <c r="H596" t="s">
        <v>4238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2917</v>
      </c>
      <c r="H597" t="s">
        <v>4239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2917</v>
      </c>
      <c r="H598" t="s">
        <v>4240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4128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4137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4129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4136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4138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4128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4129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4128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4129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4128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4129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4136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4138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4128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4137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4129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4136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4138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4139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3282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4141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2969</v>
      </c>
      <c r="H625" t="s">
        <v>4128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2969</v>
      </c>
      <c r="H626" t="s">
        <v>4130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2969</v>
      </c>
      <c r="H627" t="s">
        <v>4137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2969</v>
      </c>
      <c r="H628" t="s">
        <v>4129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2969</v>
      </c>
      <c r="H629" t="s">
        <v>4136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2969</v>
      </c>
      <c r="H630" t="s">
        <v>4138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3005</v>
      </c>
      <c r="H631" t="s">
        <v>4241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3005</v>
      </c>
      <c r="H632" t="s">
        <v>4242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4128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4137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4129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4136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4138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4128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4137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4129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4136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4138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4128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4129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4128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4137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4129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4136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4138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4128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4137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4129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4136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4138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2970</v>
      </c>
      <c r="H660" t="s">
        <v>4128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2970</v>
      </c>
      <c r="H661" t="s">
        <v>4130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2970</v>
      </c>
      <c r="H662" t="s">
        <v>4137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2970</v>
      </c>
      <c r="H663" t="s">
        <v>4129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2970</v>
      </c>
      <c r="H664" t="s">
        <v>4136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2970</v>
      </c>
      <c r="H665" t="s">
        <v>4138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3006</v>
      </c>
      <c r="H666" t="s">
        <v>4241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3006</v>
      </c>
      <c r="H667" t="s">
        <v>4242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4128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4137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4129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4136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4138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4128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4137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4129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4136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4138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4128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4129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4128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4129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4136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4138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4128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4137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4129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4136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4138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2971</v>
      </c>
      <c r="H694" t="s">
        <v>4128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2971</v>
      </c>
      <c r="H695" t="s">
        <v>4130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2971</v>
      </c>
      <c r="H696" t="s">
        <v>4137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2971</v>
      </c>
      <c r="H697" t="s">
        <v>4129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2971</v>
      </c>
      <c r="H698" t="s">
        <v>4136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2971</v>
      </c>
      <c r="H699" t="s">
        <v>4138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3007</v>
      </c>
      <c r="H700" t="s">
        <v>4241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3007</v>
      </c>
      <c r="H701" t="s">
        <v>4242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4196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4146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4143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4142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4144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4195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4145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4147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4148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4149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4150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4151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4197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4152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4198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4153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2585</v>
      </c>
      <c r="H718" t="s">
        <v>4200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2737</v>
      </c>
      <c r="H719" t="s">
        <v>4204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2737</v>
      </c>
      <c r="H720" t="s">
        <v>4203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2737</v>
      </c>
      <c r="H721" t="s">
        <v>4202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2737</v>
      </c>
      <c r="H722" t="s">
        <v>4201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2737</v>
      </c>
      <c r="H723" t="s">
        <v>4200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2737</v>
      </c>
      <c r="H724" t="s">
        <v>4199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2806</v>
      </c>
      <c r="H725" t="s">
        <v>4176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2806</v>
      </c>
      <c r="H726" t="s">
        <v>4177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2806</v>
      </c>
      <c r="H727" t="s">
        <v>4178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2806</v>
      </c>
      <c r="H728" t="s">
        <v>4179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2806</v>
      </c>
      <c r="H729" t="s">
        <v>4180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2806</v>
      </c>
      <c r="H730" t="s">
        <v>4181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2806</v>
      </c>
      <c r="H731" t="s">
        <v>4182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2806</v>
      </c>
      <c r="H732" t="s">
        <v>4183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2806</v>
      </c>
      <c r="H733" t="s">
        <v>4184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2806</v>
      </c>
      <c r="H734" t="s">
        <v>4185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2806</v>
      </c>
      <c r="H735" t="s">
        <v>4186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2806</v>
      </c>
      <c r="H736" t="s">
        <v>4187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2863</v>
      </c>
      <c r="H737" t="s">
        <v>4243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2863</v>
      </c>
      <c r="H738" t="s">
        <v>4244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2871</v>
      </c>
      <c r="H739" t="s">
        <v>4205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2871</v>
      </c>
      <c r="H740" t="s">
        <v>4206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2871</v>
      </c>
      <c r="H741" t="s">
        <v>4207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2871</v>
      </c>
      <c r="H742" t="s">
        <v>4208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2871</v>
      </c>
      <c r="H743" t="s">
        <v>4209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2871</v>
      </c>
      <c r="H744" t="s">
        <v>4210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2871</v>
      </c>
      <c r="H745" t="s">
        <v>4211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2871</v>
      </c>
      <c r="H746" t="s">
        <v>4212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2880</v>
      </c>
      <c r="H747" t="s">
        <v>4213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2880</v>
      </c>
      <c r="H748" t="s">
        <v>4214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2880</v>
      </c>
      <c r="H749" t="s">
        <v>4215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2880</v>
      </c>
      <c r="H750" t="s">
        <v>4216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2880</v>
      </c>
      <c r="H751" t="s">
        <v>4217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2880</v>
      </c>
      <c r="H752" t="s">
        <v>4218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2880</v>
      </c>
      <c r="H753" t="s">
        <v>4219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2889</v>
      </c>
      <c r="H754" t="s">
        <v>4220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2889</v>
      </c>
      <c r="H755" t="s">
        <v>4221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2898</v>
      </c>
      <c r="H756" t="s">
        <v>4222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2898</v>
      </c>
      <c r="H757" t="s">
        <v>4223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2898</v>
      </c>
      <c r="H758" t="s">
        <v>4224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2898</v>
      </c>
      <c r="H759" t="s">
        <v>4225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2898</v>
      </c>
      <c r="H760" t="s">
        <v>4226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2898</v>
      </c>
      <c r="H761" t="s">
        <v>4227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2907</v>
      </c>
      <c r="H762" t="s">
        <v>4228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2907</v>
      </c>
      <c r="H763" t="s">
        <v>4229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2907</v>
      </c>
      <c r="H764" t="s">
        <v>4230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2907</v>
      </c>
      <c r="H765" t="s">
        <v>4231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2907</v>
      </c>
      <c r="H766" t="s">
        <v>4232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2907</v>
      </c>
      <c r="H767" t="s">
        <v>4233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2907</v>
      </c>
      <c r="H768" t="s">
        <v>4234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2907</v>
      </c>
      <c r="H769" t="s">
        <v>4235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2907</v>
      </c>
      <c r="H770" t="s">
        <v>4190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2918</v>
      </c>
      <c r="H771" t="s">
        <v>4236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2918</v>
      </c>
      <c r="H772" t="s">
        <v>4237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2918</v>
      </c>
      <c r="H773" t="s">
        <v>4238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2918</v>
      </c>
      <c r="H774" t="s">
        <v>4239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2918</v>
      </c>
      <c r="H775" t="s">
        <v>4240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2953</v>
      </c>
      <c r="H776" t="s">
        <v>4245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2953</v>
      </c>
      <c r="H777" t="s">
        <v>4246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2953</v>
      </c>
      <c r="H778" t="s">
        <v>4247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2953</v>
      </c>
      <c r="H779" t="s">
        <v>4248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2953</v>
      </c>
      <c r="H780" t="s">
        <v>4249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2953</v>
      </c>
      <c r="H781" t="s">
        <v>4250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2953</v>
      </c>
      <c r="H782" t="s">
        <v>4251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2953</v>
      </c>
      <c r="H783" t="s">
        <v>4252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2953</v>
      </c>
      <c r="H784" t="s">
        <v>4253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4128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4137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4129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4136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4138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4128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4137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4129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4136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4138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4128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4137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4129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4136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4138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4128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4137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4129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4136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4138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4128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4137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4129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4136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4138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2972</v>
      </c>
      <c r="H815" t="s">
        <v>4128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2972</v>
      </c>
      <c r="H816" t="s">
        <v>4130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2972</v>
      </c>
      <c r="H817" t="s">
        <v>4137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2972</v>
      </c>
      <c r="H818" t="s">
        <v>4129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2972</v>
      </c>
      <c r="H819" t="s">
        <v>4136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2972</v>
      </c>
      <c r="H820" t="s">
        <v>4138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3008</v>
      </c>
      <c r="H821" t="s">
        <v>4241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3008</v>
      </c>
      <c r="H822" t="s">
        <v>4242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4128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4137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4129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4136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4138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4128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4137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4129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4136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4138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4128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4137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4129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4136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4138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4128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4137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4129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4136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4138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4128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4137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4129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4136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4138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2973</v>
      </c>
      <c r="H853" t="s">
        <v>4128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2973</v>
      </c>
      <c r="H854" t="s">
        <v>4130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2973</v>
      </c>
      <c r="H855" t="s">
        <v>4137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2973</v>
      </c>
      <c r="H856" t="s">
        <v>4129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2973</v>
      </c>
      <c r="H857" t="s">
        <v>4136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2973</v>
      </c>
      <c r="H858" t="s">
        <v>4138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3009</v>
      </c>
      <c r="H859" t="s">
        <v>4241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3009</v>
      </c>
      <c r="H860" t="s">
        <v>4242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4128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4137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4129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4136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4138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4128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4137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4129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4136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4138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4128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4137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4129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4136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4138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4128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4137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4129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4136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4138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4128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4137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4129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4136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4138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4128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4137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4129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4136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4138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4241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4242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4154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4155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4156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4137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4136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4138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4128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4129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4129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4136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4138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4128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4157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4158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4159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4160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4161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4162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4163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4164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4165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4166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4167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4168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4169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4170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4168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4169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4170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4158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4157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4171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4172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4157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4175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4189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4190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4188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4128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4137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4129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4138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4137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4129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4136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4138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4128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4129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4128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4191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4192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4193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4194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4129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4136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4128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4137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4136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4138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4128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4129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4159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4160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4159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4160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4147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4142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4143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4144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4195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4196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4145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4146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4148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4149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4150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4151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4197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4152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4198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4153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4199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4203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4204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4203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4202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4201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4200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4199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4176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4177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4178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4179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4180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4181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4182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4183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4184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4185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4186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4187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4243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4244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4208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4209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4219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4216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4213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4214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4215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4218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4217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4220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4221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4222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4223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4224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4225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4226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4227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4228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4229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4230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4231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4232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4233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4234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4235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4190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4236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4237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4238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4239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4240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4248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4249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4128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4136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4129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4128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4129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4128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4169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4168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4128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4129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4137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4129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4136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4137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4128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4128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4129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4136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4128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4137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4136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4129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4255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4256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4257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4258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4128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4137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4136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4138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4129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4128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4137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4129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4136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4138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4138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4128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4137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4129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4138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4136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4136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2974</v>
      </c>
      <c r="H1108" t="s">
        <v>4128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2974</v>
      </c>
      <c r="H1109" t="s">
        <v>4130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2974</v>
      </c>
      <c r="H1110" t="s">
        <v>4137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2974</v>
      </c>
      <c r="H1111" t="s">
        <v>4129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2974</v>
      </c>
      <c r="H1112" t="s">
        <v>4136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2974</v>
      </c>
      <c r="H1113" t="s">
        <v>4138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3010</v>
      </c>
      <c r="H1114" t="s">
        <v>4242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3010</v>
      </c>
      <c r="H1115" t="s">
        <v>4241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4128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4137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4136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4138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4129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4128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4137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4129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4136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4138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4138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4128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4137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4129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4136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4138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4138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2975</v>
      </c>
      <c r="H1137" t="s">
        <v>4128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2975</v>
      </c>
      <c r="H1138" t="s">
        <v>4130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2975</v>
      </c>
      <c r="H1139" t="s">
        <v>4137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2975</v>
      </c>
      <c r="H1140" t="s">
        <v>4129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2975</v>
      </c>
      <c r="H1141" t="s">
        <v>4136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2975</v>
      </c>
      <c r="H1142" t="s">
        <v>4138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3011</v>
      </c>
      <c r="H1143" t="s">
        <v>4241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3011</v>
      </c>
      <c r="H1144" t="s">
        <v>4242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4128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4137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4136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4138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4129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4128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4137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4129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4136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4138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4138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4128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4137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4129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4138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4136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2976</v>
      </c>
      <c r="H1165" t="s">
        <v>4128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2976</v>
      </c>
      <c r="H1166" t="s">
        <v>4130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2976</v>
      </c>
      <c r="H1167" t="s">
        <v>4137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2976</v>
      </c>
      <c r="H1168" t="s">
        <v>4129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2976</v>
      </c>
      <c r="H1169" t="s">
        <v>4136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2976</v>
      </c>
      <c r="H1170" t="s">
        <v>4138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3012</v>
      </c>
      <c r="H1171" t="s">
        <v>4242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4147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4142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4143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4195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4196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4145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4146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4144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4148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4150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4151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4197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4152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4198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4153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4149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2738</v>
      </c>
      <c r="H1188" t="s">
        <v>4199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2807</v>
      </c>
      <c r="H1189" t="s">
        <v>4187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2864</v>
      </c>
      <c r="H1190" t="s">
        <v>4243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2864</v>
      </c>
      <c r="H1191" t="s">
        <v>4244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2872</v>
      </c>
      <c r="H1192" t="s">
        <v>4207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2872</v>
      </c>
      <c r="H1193" t="s">
        <v>4205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2872</v>
      </c>
      <c r="H1194" t="s">
        <v>4210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2872</v>
      </c>
      <c r="H1195" t="s">
        <v>4259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2872</v>
      </c>
      <c r="H1196" t="s">
        <v>4206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2872</v>
      </c>
      <c r="H1197" t="s">
        <v>4209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2872</v>
      </c>
      <c r="H1198" t="s">
        <v>4208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2872</v>
      </c>
      <c r="H1199" t="s">
        <v>4212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2872</v>
      </c>
      <c r="H1200" t="s">
        <v>4211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2881</v>
      </c>
      <c r="H1201" t="s">
        <v>4254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2881</v>
      </c>
      <c r="H1202" t="s">
        <v>4214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2881</v>
      </c>
      <c r="H1203" t="s">
        <v>4217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2881</v>
      </c>
      <c r="H1204" t="s">
        <v>4260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2881</v>
      </c>
      <c r="H1205" t="s">
        <v>4261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2881</v>
      </c>
      <c r="H1206" t="s">
        <v>4218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2881</v>
      </c>
      <c r="H1207" t="s">
        <v>4216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2881</v>
      </c>
      <c r="H1208" t="s">
        <v>4213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2881</v>
      </c>
      <c r="H1209" t="s">
        <v>4219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2881</v>
      </c>
      <c r="H1210" t="s">
        <v>4262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2881</v>
      </c>
      <c r="H1211" t="s">
        <v>4263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2881</v>
      </c>
      <c r="H1212" t="s">
        <v>4264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2881</v>
      </c>
      <c r="H1213" t="s">
        <v>4265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2890</v>
      </c>
      <c r="H1214" t="s">
        <v>4266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2890</v>
      </c>
      <c r="H1215" t="s">
        <v>4221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2890</v>
      </c>
      <c r="H1216" t="s">
        <v>4267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2890</v>
      </c>
      <c r="H1217" t="s">
        <v>4268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2890</v>
      </c>
      <c r="H1218" t="s">
        <v>4220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2890</v>
      </c>
      <c r="H1219" t="s">
        <v>4269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2899</v>
      </c>
      <c r="H1220" t="s">
        <v>4223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2899</v>
      </c>
      <c r="H1221" t="s">
        <v>4226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2899</v>
      </c>
      <c r="H1222" t="s">
        <v>4225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2899</v>
      </c>
      <c r="H1223" t="s">
        <v>4222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2899</v>
      </c>
      <c r="H1224" t="s">
        <v>4224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2899</v>
      </c>
      <c r="H1225" t="s">
        <v>4227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2908</v>
      </c>
      <c r="H1226" t="s">
        <v>4228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2908</v>
      </c>
      <c r="H1227" t="s">
        <v>4230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2908</v>
      </c>
      <c r="H1228" t="s">
        <v>4190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2908</v>
      </c>
      <c r="H1229" t="s">
        <v>4232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2908</v>
      </c>
      <c r="H1230" t="s">
        <v>4234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2908</v>
      </c>
      <c r="H1231" t="s">
        <v>4231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2908</v>
      </c>
      <c r="H1232" t="s">
        <v>4235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2908</v>
      </c>
      <c r="H1233" t="s">
        <v>4233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2908</v>
      </c>
      <c r="H1234" t="s">
        <v>4229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4270</v>
      </c>
      <c r="H1235" t="s">
        <v>4236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4270</v>
      </c>
      <c r="H1236" t="s">
        <v>4237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4270</v>
      </c>
      <c r="H1237" t="s">
        <v>4238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4270</v>
      </c>
      <c r="H1238" t="s">
        <v>4239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4270</v>
      </c>
      <c r="H1239" t="s">
        <v>4240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4270</v>
      </c>
      <c r="H1240" t="s">
        <v>4271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2954</v>
      </c>
      <c r="H1241" t="s">
        <v>4248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2954</v>
      </c>
      <c r="H1242" t="s">
        <v>4251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2954</v>
      </c>
      <c r="H1243" t="s">
        <v>4253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2954</v>
      </c>
      <c r="H1244" t="s">
        <v>4249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2954</v>
      </c>
      <c r="H1245" t="s">
        <v>4252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2954</v>
      </c>
      <c r="H1246" t="s">
        <v>4246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2954</v>
      </c>
      <c r="H1247" t="s">
        <v>4245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2954</v>
      </c>
      <c r="H1248" t="s">
        <v>4250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2954</v>
      </c>
      <c r="H1249" t="s">
        <v>4247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3097</v>
      </c>
      <c r="H1250" t="s">
        <v>4272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3097</v>
      </c>
      <c r="H1251" t="s">
        <v>4273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3097</v>
      </c>
      <c r="H1252" t="s">
        <v>4274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3097</v>
      </c>
      <c r="H1253" t="s">
        <v>4275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3097</v>
      </c>
      <c r="H1254" t="s">
        <v>4276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3097</v>
      </c>
      <c r="H1255" t="s">
        <v>4277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3097</v>
      </c>
      <c r="H1256" t="s">
        <v>4278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3097</v>
      </c>
      <c r="H1257" t="s">
        <v>4279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3097</v>
      </c>
      <c r="H1258" t="s">
        <v>4280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3097</v>
      </c>
      <c r="H1259" t="s">
        <v>4281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3104</v>
      </c>
      <c r="H1260" t="s">
        <v>4282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3104</v>
      </c>
      <c r="H1261" t="s">
        <v>4283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3104</v>
      </c>
      <c r="H1262" t="s">
        <v>4284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3104</v>
      </c>
      <c r="H1263" t="s">
        <v>4285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3104</v>
      </c>
      <c r="H1264" t="s">
        <v>4286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3110</v>
      </c>
      <c r="H1265" t="s">
        <v>4287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3110</v>
      </c>
      <c r="H1266" t="s">
        <v>4288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3110</v>
      </c>
      <c r="H1267" t="s">
        <v>4289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3110</v>
      </c>
      <c r="H1268" t="s">
        <v>4290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3110</v>
      </c>
      <c r="H1269" t="s">
        <v>4291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3110</v>
      </c>
      <c r="H1270" t="s">
        <v>4292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3110</v>
      </c>
      <c r="H1271" t="s">
        <v>4293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4128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4137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4129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4136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4138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4128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4137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4129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4136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4138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4138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4128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4137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4129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4138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4136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2977</v>
      </c>
      <c r="H1292" t="s">
        <v>4128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2977</v>
      </c>
      <c r="H1293" t="s">
        <v>4130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2977</v>
      </c>
      <c r="H1294" t="s">
        <v>4137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2977</v>
      </c>
      <c r="H1295" t="s">
        <v>4129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2977</v>
      </c>
      <c r="H1296" t="s">
        <v>4136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2977</v>
      </c>
      <c r="H1297" t="s">
        <v>4138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3013</v>
      </c>
      <c r="H1298" t="s">
        <v>4242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3013</v>
      </c>
      <c r="H1299" t="s">
        <v>4241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4128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4137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4136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4138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4129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4128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4137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4129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4136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4138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4138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4137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4129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4136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4138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4128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2978</v>
      </c>
      <c r="H1320" t="s">
        <v>4128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2978</v>
      </c>
      <c r="H1321" t="s">
        <v>4130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2978</v>
      </c>
      <c r="H1322" t="s">
        <v>4137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2978</v>
      </c>
      <c r="H1323" t="s">
        <v>4129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2978</v>
      </c>
      <c r="H1324" t="s">
        <v>4136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2978</v>
      </c>
      <c r="H1325" t="s">
        <v>4138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3014</v>
      </c>
      <c r="H1326" t="s">
        <v>4242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3014</v>
      </c>
      <c r="H1327" t="s">
        <v>4241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4128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4137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4129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4136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4138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4128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4137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4129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4136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4138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4138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4128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4137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4129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4138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4136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2979</v>
      </c>
      <c r="H1347" t="s">
        <v>4128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2979</v>
      </c>
      <c r="H1348" t="s">
        <v>4130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2979</v>
      </c>
      <c r="H1349" t="s">
        <v>4137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2979</v>
      </c>
      <c r="H1350" t="s">
        <v>4129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2979</v>
      </c>
      <c r="H1351" t="s">
        <v>4136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2979</v>
      </c>
      <c r="H1352" t="s">
        <v>4138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3015</v>
      </c>
      <c r="H1353" t="s">
        <v>4242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3015</v>
      </c>
      <c r="H1354" t="s">
        <v>4241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4154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4155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4137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4136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4128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4129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4136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4128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4129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4128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2492</v>
      </c>
      <c r="H1366" t="s">
        <v>4157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2492</v>
      </c>
      <c r="H1367" t="s">
        <v>4158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2492</v>
      </c>
      <c r="H1368" t="s">
        <v>4159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2492</v>
      </c>
      <c r="H1369" t="s">
        <v>4160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2507</v>
      </c>
      <c r="H1370" t="s">
        <v>4161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2507</v>
      </c>
      <c r="H1371" t="s">
        <v>4162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2507</v>
      </c>
      <c r="H1372" t="s">
        <v>4163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2523</v>
      </c>
      <c r="H1373" t="s">
        <v>4164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2523</v>
      </c>
      <c r="H1374" t="s">
        <v>4166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2523</v>
      </c>
      <c r="H1375" t="s">
        <v>4167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2523</v>
      </c>
      <c r="H1376" t="s">
        <v>4165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2575</v>
      </c>
      <c r="H1377" t="s">
        <v>4294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2575</v>
      </c>
      <c r="H1378" t="s">
        <v>4295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2575</v>
      </c>
      <c r="H1379" t="s">
        <v>4296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2575</v>
      </c>
      <c r="H1380" t="s">
        <v>4297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2578</v>
      </c>
      <c r="H1381" t="s">
        <v>4168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2746</v>
      </c>
      <c r="H1382" t="s">
        <v>4158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2797</v>
      </c>
      <c r="H1383" t="s">
        <v>4175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2860</v>
      </c>
      <c r="H1384" t="s">
        <v>4188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2860</v>
      </c>
      <c r="H1385" t="s">
        <v>4189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2860</v>
      </c>
      <c r="H1386" t="s">
        <v>4190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2934</v>
      </c>
      <c r="H1387" t="s">
        <v>4128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2934</v>
      </c>
      <c r="H1388" t="s">
        <v>4130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2934</v>
      </c>
      <c r="H1389" t="s">
        <v>4137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2934</v>
      </c>
      <c r="H1390" t="s">
        <v>4136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2934</v>
      </c>
      <c r="H1391" t="s">
        <v>4138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2934</v>
      </c>
      <c r="H1392" t="s">
        <v>4129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2937</v>
      </c>
      <c r="H1393" t="s">
        <v>4128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2937</v>
      </c>
      <c r="H1394" t="s">
        <v>4130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2937</v>
      </c>
      <c r="H1395" t="s">
        <v>4137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2937</v>
      </c>
      <c r="H1396" t="s">
        <v>4136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2937</v>
      </c>
      <c r="H1397" t="s">
        <v>4138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2937</v>
      </c>
      <c r="H1398" t="s">
        <v>4129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2940</v>
      </c>
      <c r="H1399" t="s">
        <v>4128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2940</v>
      </c>
      <c r="H1400" t="s">
        <v>4129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2940</v>
      </c>
      <c r="H1401" t="s">
        <v>4130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2940</v>
      </c>
      <c r="H1402" t="s">
        <v>4138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2943</v>
      </c>
      <c r="H1403" t="s">
        <v>4191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2943</v>
      </c>
      <c r="H1404" t="s">
        <v>4192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2943</v>
      </c>
      <c r="H1405" t="s">
        <v>4193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2943</v>
      </c>
      <c r="H1406" t="s">
        <v>4194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2961</v>
      </c>
      <c r="H1407" t="s">
        <v>4128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2961</v>
      </c>
      <c r="H1408" t="s">
        <v>4129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2961</v>
      </c>
      <c r="H1409" t="s">
        <v>4136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2961</v>
      </c>
      <c r="H1410" t="s">
        <v>4130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2997</v>
      </c>
      <c r="H1411" t="s">
        <v>4137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2997</v>
      </c>
      <c r="H1412" t="s">
        <v>4138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2997</v>
      </c>
      <c r="H1413" t="s">
        <v>4129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2997</v>
      </c>
      <c r="H1414" t="s">
        <v>4130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2997</v>
      </c>
      <c r="H1415" t="s">
        <v>4128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3035</v>
      </c>
      <c r="H1416" t="s">
        <v>4159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3035</v>
      </c>
      <c r="H1417" t="s">
        <v>4160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3039</v>
      </c>
      <c r="H1418" t="s">
        <v>4160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3039</v>
      </c>
      <c r="H1419" t="s">
        <v>4159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3118</v>
      </c>
      <c r="H1420" t="s">
        <v>4298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3118</v>
      </c>
      <c r="H1421" t="s">
        <v>4299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3120</v>
      </c>
      <c r="H1422" t="s">
        <v>4176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3120</v>
      </c>
      <c r="H1423" t="s">
        <v>4177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3120</v>
      </c>
      <c r="H1424" t="s">
        <v>4178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3120</v>
      </c>
      <c r="H1425" t="s">
        <v>4179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3120</v>
      </c>
      <c r="H1426" t="s">
        <v>4180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3120</v>
      </c>
      <c r="H1427" t="s">
        <v>4181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3120</v>
      </c>
      <c r="H1428" t="s">
        <v>4182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3120</v>
      </c>
      <c r="H1429" t="s">
        <v>4183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3120</v>
      </c>
      <c r="H1430" t="s">
        <v>4184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3120</v>
      </c>
      <c r="H1431" t="s">
        <v>4185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3120</v>
      </c>
      <c r="H1432" t="s">
        <v>4186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3120</v>
      </c>
      <c r="H1433" t="s">
        <v>4187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3124</v>
      </c>
      <c r="H1434" t="s">
        <v>4299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3126</v>
      </c>
      <c r="H1435" t="s">
        <v>4182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3126</v>
      </c>
      <c r="H1436" t="s">
        <v>4177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3126</v>
      </c>
      <c r="H1437" t="s">
        <v>4186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3126</v>
      </c>
      <c r="H1438" t="s">
        <v>4179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3126</v>
      </c>
      <c r="H1439" t="s">
        <v>4185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3126</v>
      </c>
      <c r="H1440" t="s">
        <v>4178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3126</v>
      </c>
      <c r="H1441" t="s">
        <v>4187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3126</v>
      </c>
      <c r="H1442" t="s">
        <v>4181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3126</v>
      </c>
      <c r="H1443" t="s">
        <v>4184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3128</v>
      </c>
      <c r="H1444" t="s">
        <v>4176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3128</v>
      </c>
      <c r="H1445" t="s">
        <v>4177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3128</v>
      </c>
      <c r="H1446" t="s">
        <v>4178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3128</v>
      </c>
      <c r="H1447" t="s">
        <v>4179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3128</v>
      </c>
      <c r="H1448" t="s">
        <v>4180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3128</v>
      </c>
      <c r="H1449" t="s">
        <v>4181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3128</v>
      </c>
      <c r="H1450" t="s">
        <v>4182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3128</v>
      </c>
      <c r="H1451" t="s">
        <v>4183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3128</v>
      </c>
      <c r="H1452" t="s">
        <v>4184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3128</v>
      </c>
      <c r="H1453" t="s">
        <v>4185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3128</v>
      </c>
      <c r="H1454" t="s">
        <v>4186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3128</v>
      </c>
      <c r="H1455" t="s">
        <v>4187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3130</v>
      </c>
      <c r="H1456" t="s">
        <v>4187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4147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4142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4143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4144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4195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4196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4146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4145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4148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4150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4151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4197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4198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4152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4149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4153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2587</v>
      </c>
      <c r="H1473" t="s">
        <v>4202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2739</v>
      </c>
      <c r="H1474" t="s">
        <v>4199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2808</v>
      </c>
      <c r="H1475" t="s">
        <v>4187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2865</v>
      </c>
      <c r="H1476" t="s">
        <v>4243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2865</v>
      </c>
      <c r="H1477" t="s">
        <v>4244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2873</v>
      </c>
      <c r="H1478" t="s">
        <v>4208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2873</v>
      </c>
      <c r="H1479" t="s">
        <v>4205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2873</v>
      </c>
      <c r="H1480" t="s">
        <v>4211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2873</v>
      </c>
      <c r="H1481" t="s">
        <v>4212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2873</v>
      </c>
      <c r="H1482" t="s">
        <v>4209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2873</v>
      </c>
      <c r="H1483" t="s">
        <v>4206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2873</v>
      </c>
      <c r="H1484" t="s">
        <v>4207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2873</v>
      </c>
      <c r="H1485" t="s">
        <v>4210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2873</v>
      </c>
      <c r="H1486" t="s">
        <v>4259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2882</v>
      </c>
      <c r="H1487" t="s">
        <v>4262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2882</v>
      </c>
      <c r="H1488" t="s">
        <v>4216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2882</v>
      </c>
      <c r="H1489" t="s">
        <v>4213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2882</v>
      </c>
      <c r="H1490" t="s">
        <v>4217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2882</v>
      </c>
      <c r="H1491" t="s">
        <v>4214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2882</v>
      </c>
      <c r="H1492" t="s">
        <v>4254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2882</v>
      </c>
      <c r="H1493" t="s">
        <v>4263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2882</v>
      </c>
      <c r="H1494" t="s">
        <v>4218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2882</v>
      </c>
      <c r="H1495" t="s">
        <v>4219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2882</v>
      </c>
      <c r="H1496" t="s">
        <v>4260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2882</v>
      </c>
      <c r="H1497" t="s">
        <v>4261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2882</v>
      </c>
      <c r="H1498" t="s">
        <v>4265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2882</v>
      </c>
      <c r="H1499" t="s">
        <v>4264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2891</v>
      </c>
      <c r="H1500" t="s">
        <v>4266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2891</v>
      </c>
      <c r="H1501" t="s">
        <v>4268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2891</v>
      </c>
      <c r="H1502" t="s">
        <v>4220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2891</v>
      </c>
      <c r="H1503" t="s">
        <v>4221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2891</v>
      </c>
      <c r="H1504" t="s">
        <v>4269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2891</v>
      </c>
      <c r="H1505" t="s">
        <v>4267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2900</v>
      </c>
      <c r="H1506" t="s">
        <v>4227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2900</v>
      </c>
      <c r="H1507" t="s">
        <v>4226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2900</v>
      </c>
      <c r="H1508" t="s">
        <v>4225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2900</v>
      </c>
      <c r="H1509" t="s">
        <v>4224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2900</v>
      </c>
      <c r="H1510" t="s">
        <v>4223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2900</v>
      </c>
      <c r="H1511" t="s">
        <v>4222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2909</v>
      </c>
      <c r="H1512" t="s">
        <v>4235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2909</v>
      </c>
      <c r="H1513" t="s">
        <v>4232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2909</v>
      </c>
      <c r="H1514" t="s">
        <v>4228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2909</v>
      </c>
      <c r="H1515" t="s">
        <v>4229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2909</v>
      </c>
      <c r="H1516" t="s">
        <v>4234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2909</v>
      </c>
      <c r="H1517" t="s">
        <v>4231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2909</v>
      </c>
      <c r="H1518" t="s">
        <v>4230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2909</v>
      </c>
      <c r="H1519" t="s">
        <v>4190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2909</v>
      </c>
      <c r="H1520" t="s">
        <v>4233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2919</v>
      </c>
      <c r="H1521" t="s">
        <v>4236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2919</v>
      </c>
      <c r="H1522" t="s">
        <v>4239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2919</v>
      </c>
      <c r="H1523" t="s">
        <v>4240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2919</v>
      </c>
      <c r="H1524" t="s">
        <v>4237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2919</v>
      </c>
      <c r="H1525" t="s">
        <v>4271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2919</v>
      </c>
      <c r="H1526" t="s">
        <v>4238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2955</v>
      </c>
      <c r="H1527" t="s">
        <v>4248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2955</v>
      </c>
      <c r="H1528" t="s">
        <v>4251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2955</v>
      </c>
      <c r="H1529" t="s">
        <v>4246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2955</v>
      </c>
      <c r="H1530" t="s">
        <v>4245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2955</v>
      </c>
      <c r="H1531" t="s">
        <v>4247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2955</v>
      </c>
      <c r="H1532" t="s">
        <v>4253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2955</v>
      </c>
      <c r="H1533" t="s">
        <v>4250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2955</v>
      </c>
      <c r="H1534" t="s">
        <v>4252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2955</v>
      </c>
      <c r="H1535" t="s">
        <v>4249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3078</v>
      </c>
      <c r="H1536" t="s">
        <v>4300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3078</v>
      </c>
      <c r="H1537" t="s">
        <v>4171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3078</v>
      </c>
      <c r="H1538" t="s">
        <v>4172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3082</v>
      </c>
      <c r="H1539" t="s">
        <v>4172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3082</v>
      </c>
      <c r="H1540" t="s">
        <v>4300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3082</v>
      </c>
      <c r="H1541" t="s">
        <v>4171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3099</v>
      </c>
      <c r="H1542" t="s">
        <v>4276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3099</v>
      </c>
      <c r="H1543" t="s">
        <v>4278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3099</v>
      </c>
      <c r="H1544" t="s">
        <v>4277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3099</v>
      </c>
      <c r="H1545" t="s">
        <v>4272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3099</v>
      </c>
      <c r="H1546" t="s">
        <v>4279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3099</v>
      </c>
      <c r="H1547" t="s">
        <v>4281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3099</v>
      </c>
      <c r="H1548" t="s">
        <v>4280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3099</v>
      </c>
      <c r="H1549" t="s">
        <v>4274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3099</v>
      </c>
      <c r="H1550" t="s">
        <v>4275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3099</v>
      </c>
      <c r="H1551" t="s">
        <v>4273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3105</v>
      </c>
      <c r="H1552" t="s">
        <v>4284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3105</v>
      </c>
      <c r="H1553" t="s">
        <v>4283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3105</v>
      </c>
      <c r="H1554" t="s">
        <v>4286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3105</v>
      </c>
      <c r="H1555" t="s">
        <v>4285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3105</v>
      </c>
      <c r="H1556" t="s">
        <v>4282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3111</v>
      </c>
      <c r="H1557" t="s">
        <v>4289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3111</v>
      </c>
      <c r="H1558" t="s">
        <v>4293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3111</v>
      </c>
      <c r="H1559" t="s">
        <v>4290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3111</v>
      </c>
      <c r="H1560" t="s">
        <v>4287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3111</v>
      </c>
      <c r="H1561" t="s">
        <v>4291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3111</v>
      </c>
      <c r="H1562" t="s">
        <v>4288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3111</v>
      </c>
      <c r="H1563" t="s">
        <v>4292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4128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4137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4129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4136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4138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4128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4137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4129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4136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4137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4136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4128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4129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4138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4128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4137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4129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4136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4138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4128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4137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4136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4138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4129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2980</v>
      </c>
      <c r="H1593" t="s">
        <v>4128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2980</v>
      </c>
      <c r="H1594" t="s">
        <v>4130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2980</v>
      </c>
      <c r="H1595" t="s">
        <v>4137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2980</v>
      </c>
      <c r="H1596" t="s">
        <v>4129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2980</v>
      </c>
      <c r="H1597" t="s">
        <v>4136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3016</v>
      </c>
      <c r="H1598" t="s">
        <v>4241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3016</v>
      </c>
      <c r="H1599" t="s">
        <v>4242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4128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4137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4136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4138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4129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4128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4137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4136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4138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4128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4137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4136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4129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4138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4137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4129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4136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4138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4128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4128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4129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4136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4138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2981</v>
      </c>
      <c r="H1628" t="s">
        <v>4137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2981</v>
      </c>
      <c r="H1629" t="s">
        <v>4130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2981</v>
      </c>
      <c r="H1630" t="s">
        <v>4128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2981</v>
      </c>
      <c r="H1631" t="s">
        <v>4136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2981</v>
      </c>
      <c r="H1632" t="s">
        <v>4129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3017</v>
      </c>
      <c r="H1633" t="s">
        <v>4241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3017</v>
      </c>
      <c r="H1634" t="s">
        <v>4242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4128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4137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4136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4138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4129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4128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4137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4129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4136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4138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4129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4128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4138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4128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4137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4129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4138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4136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4128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4129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4136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4138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2982</v>
      </c>
      <c r="H1662" t="s">
        <v>4137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2982</v>
      </c>
      <c r="H1663" t="s">
        <v>4129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2982</v>
      </c>
      <c r="H1664" t="s">
        <v>4136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2982</v>
      </c>
      <c r="H1665" t="s">
        <v>4138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2982</v>
      </c>
      <c r="H1666" t="s">
        <v>4130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2982</v>
      </c>
      <c r="H1667" t="s">
        <v>4128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3018</v>
      </c>
      <c r="H1668" t="s">
        <v>4242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3018</v>
      </c>
      <c r="H1669" t="s">
        <v>4241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3148</v>
      </c>
      <c r="H1670" t="s">
        <v>4301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3148</v>
      </c>
      <c r="H1671" t="s">
        <v>4302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3148</v>
      </c>
      <c r="H1672" t="s">
        <v>4303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3148</v>
      </c>
      <c r="H1673" t="s">
        <v>4238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3148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3148</v>
      </c>
      <c r="H1675" t="s">
        <v>4304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3148</v>
      </c>
      <c r="H1676" t="s">
        <v>4305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3148</v>
      </c>
      <c r="H1677" t="s">
        <v>4200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4195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4145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4143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4144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4142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4196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4146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4147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4148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4149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4150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4151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4152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4198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4153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2740</v>
      </c>
      <c r="H1693" t="s">
        <v>4204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2740</v>
      </c>
      <c r="H1694" t="s">
        <v>4203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2740</v>
      </c>
      <c r="H1695" t="s">
        <v>4202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2740</v>
      </c>
      <c r="H1696" t="s">
        <v>4201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2740</v>
      </c>
      <c r="H1697" t="s">
        <v>4199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2740</v>
      </c>
      <c r="H1698" t="s">
        <v>4200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2809</v>
      </c>
      <c r="H1699" t="s">
        <v>4176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2809</v>
      </c>
      <c r="H1700" t="s">
        <v>4177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2809</v>
      </c>
      <c r="H1701" t="s">
        <v>4178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2809</v>
      </c>
      <c r="H1702" t="s">
        <v>4179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2809</v>
      </c>
      <c r="H1703" t="s">
        <v>4180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2809</v>
      </c>
      <c r="H1704" t="s">
        <v>4181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2809</v>
      </c>
      <c r="H1705" t="s">
        <v>4182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2809</v>
      </c>
      <c r="H1706" t="s">
        <v>4183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2809</v>
      </c>
      <c r="H1707" t="s">
        <v>4184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2809</v>
      </c>
      <c r="H1708" t="s">
        <v>4185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2809</v>
      </c>
      <c r="H1709" t="s">
        <v>4186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2809</v>
      </c>
      <c r="H1710" t="s">
        <v>4187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2866</v>
      </c>
      <c r="H1711" t="s">
        <v>4243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2866</v>
      </c>
      <c r="H1712" t="s">
        <v>4244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2874</v>
      </c>
      <c r="H1713" t="s">
        <v>4205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2874</v>
      </c>
      <c r="H1714" t="s">
        <v>4206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2874</v>
      </c>
      <c r="H1715" t="s">
        <v>4207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2874</v>
      </c>
      <c r="H1716" t="s">
        <v>4208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2874</v>
      </c>
      <c r="H1717" t="s">
        <v>4209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2874</v>
      </c>
      <c r="H1718" t="s">
        <v>4210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2874</v>
      </c>
      <c r="H1719" t="s">
        <v>4211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2874</v>
      </c>
      <c r="H1720" t="s">
        <v>4212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2874</v>
      </c>
      <c r="H1721" t="s">
        <v>4259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2883</v>
      </c>
      <c r="H1722" t="s">
        <v>4213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2883</v>
      </c>
      <c r="H1723" t="s">
        <v>4214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2883</v>
      </c>
      <c r="H1724" t="s">
        <v>4215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2883</v>
      </c>
      <c r="H1725" t="s">
        <v>4216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2883</v>
      </c>
      <c r="H1726" t="s">
        <v>4217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2883</v>
      </c>
      <c r="H1727" t="s">
        <v>4218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2883</v>
      </c>
      <c r="H1728" t="s">
        <v>4219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2883</v>
      </c>
      <c r="H1729" t="s">
        <v>4254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2883</v>
      </c>
      <c r="H1730" t="s">
        <v>4262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2883</v>
      </c>
      <c r="H1731" t="s">
        <v>4260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2883</v>
      </c>
      <c r="H1732" t="s">
        <v>4265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2883</v>
      </c>
      <c r="H1733" t="s">
        <v>4263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2883</v>
      </c>
      <c r="H1734" t="s">
        <v>4261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2883</v>
      </c>
      <c r="H1735" t="s">
        <v>4264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2892</v>
      </c>
      <c r="H1736" t="s">
        <v>4220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2892</v>
      </c>
      <c r="H1737" t="s">
        <v>4221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2892</v>
      </c>
      <c r="H1738" t="s">
        <v>4267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2892</v>
      </c>
      <c r="H1739" t="s">
        <v>4268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2892</v>
      </c>
      <c r="H1740" t="s">
        <v>4269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2892</v>
      </c>
      <c r="H1741" t="s">
        <v>4266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2901</v>
      </c>
      <c r="H1742" t="s">
        <v>4222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2901</v>
      </c>
      <c r="H1743" t="s">
        <v>4223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2901</v>
      </c>
      <c r="H1744" t="s">
        <v>4224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2901</v>
      </c>
      <c r="H1745" t="s">
        <v>4225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2901</v>
      </c>
      <c r="H1746" t="s">
        <v>4226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2901</v>
      </c>
      <c r="H1747" t="s">
        <v>4227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2910</v>
      </c>
      <c r="H1748" t="s">
        <v>4228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2910</v>
      </c>
      <c r="H1749" t="s">
        <v>4229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2910</v>
      </c>
      <c r="H1750" t="s">
        <v>4230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2910</v>
      </c>
      <c r="H1751" t="s">
        <v>4231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2910</v>
      </c>
      <c r="H1752" t="s">
        <v>4232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2910</v>
      </c>
      <c r="H1753" t="s">
        <v>4233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2910</v>
      </c>
      <c r="H1754" t="s">
        <v>4234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2910</v>
      </c>
      <c r="H1755" t="s">
        <v>4235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2910</v>
      </c>
      <c r="H1756" t="s">
        <v>4190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2920</v>
      </c>
      <c r="H1757" t="s">
        <v>4236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2920</v>
      </c>
      <c r="H1758" t="s">
        <v>4237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2920</v>
      </c>
      <c r="H1759" t="s">
        <v>4238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2920</v>
      </c>
      <c r="H1760" t="s">
        <v>4239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2920</v>
      </c>
      <c r="H1761" t="s">
        <v>4240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2920</v>
      </c>
      <c r="H1762" t="s">
        <v>4271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3100</v>
      </c>
      <c r="H1763" t="s">
        <v>4272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3100</v>
      </c>
      <c r="H1764" t="s">
        <v>4276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3100</v>
      </c>
      <c r="H1765" t="s">
        <v>4274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3100</v>
      </c>
      <c r="H1766" t="s">
        <v>4281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3100</v>
      </c>
      <c r="H1767" t="s">
        <v>4278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3100</v>
      </c>
      <c r="H1768" t="s">
        <v>4273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3100</v>
      </c>
      <c r="H1769" t="s">
        <v>4280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3100</v>
      </c>
      <c r="H1770" t="s">
        <v>4277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3100</v>
      </c>
      <c r="H1771" t="s">
        <v>4275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3100</v>
      </c>
      <c r="H1772" t="s">
        <v>4279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3106</v>
      </c>
      <c r="H1773" t="s">
        <v>4284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3106</v>
      </c>
      <c r="H1774" t="s">
        <v>4285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3106</v>
      </c>
      <c r="H1775" t="s">
        <v>4286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3106</v>
      </c>
      <c r="H1776" t="s">
        <v>4283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3106</v>
      </c>
      <c r="H1777" t="s">
        <v>4282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3112</v>
      </c>
      <c r="H1778" t="s">
        <v>4289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3112</v>
      </c>
      <c r="H1779" t="s">
        <v>4287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3112</v>
      </c>
      <c r="H1780" t="s">
        <v>4290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3112</v>
      </c>
      <c r="H1781" t="s">
        <v>4288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3112</v>
      </c>
      <c r="H1782" t="s">
        <v>4293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3112</v>
      </c>
      <c r="H1783" t="s">
        <v>4291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3112</v>
      </c>
      <c r="H1784" t="s">
        <v>4292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4128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4137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4129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4136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4138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4128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4137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4129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4136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4138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4128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4137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4136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4129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4138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4128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4137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4136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4138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4129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4128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4137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4129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4136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4138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2983</v>
      </c>
      <c r="H1815" t="s">
        <v>4137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2983</v>
      </c>
      <c r="H1816" t="s">
        <v>4129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2983</v>
      </c>
      <c r="H1817" t="s">
        <v>4138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2983</v>
      </c>
      <c r="H1818" t="s">
        <v>4136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2983</v>
      </c>
      <c r="H1819" t="s">
        <v>4128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2983</v>
      </c>
      <c r="H1820" t="s">
        <v>4130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3019</v>
      </c>
      <c r="H1821" t="s">
        <v>4241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3019</v>
      </c>
      <c r="H1822" t="s">
        <v>4242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3149</v>
      </c>
      <c r="H1823" t="s">
        <v>4301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3149</v>
      </c>
      <c r="H1824" t="s">
        <v>4302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3149</v>
      </c>
      <c r="H1825" t="s">
        <v>4303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3149</v>
      </c>
      <c r="H1826" t="s">
        <v>4238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3149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3149</v>
      </c>
      <c r="H1828" t="s">
        <v>4304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3149</v>
      </c>
      <c r="H1829" t="s">
        <v>4305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3149</v>
      </c>
      <c r="H1830" t="s">
        <v>4200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3149</v>
      </c>
      <c r="H1831" t="s">
        <v>4306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3174</v>
      </c>
      <c r="H1832" t="s">
        <v>4301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3174</v>
      </c>
      <c r="H1833" t="s">
        <v>4302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3174</v>
      </c>
      <c r="H1834" t="s">
        <v>4303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3174</v>
      </c>
      <c r="H1835" t="s">
        <v>4238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3174</v>
      </c>
      <c r="H1836" t="s">
        <v>4304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3174</v>
      </c>
      <c r="H1837" t="s">
        <v>4305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3174</v>
      </c>
      <c r="H1838" t="s">
        <v>4200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3174</v>
      </c>
      <c r="H1839" t="s">
        <v>4306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4128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4137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4129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4136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4138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4128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4137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4136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4138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4128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4137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4136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4138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4128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4137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4129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4136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4138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4129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4136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4138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4128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2984</v>
      </c>
      <c r="H1867" t="s">
        <v>4128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2984</v>
      </c>
      <c r="H1868" t="s">
        <v>4137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2984</v>
      </c>
      <c r="H1869" t="s">
        <v>4129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2984</v>
      </c>
      <c r="H1870" t="s">
        <v>4136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2984</v>
      </c>
      <c r="H1871" t="s">
        <v>4138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2984</v>
      </c>
      <c r="H1872" t="s">
        <v>4130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3020</v>
      </c>
      <c r="H1873" t="s">
        <v>4242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3020</v>
      </c>
      <c r="H1874" t="s">
        <v>4241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3150</v>
      </c>
      <c r="H1875" t="s">
        <v>4301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3150</v>
      </c>
      <c r="H1876" t="s">
        <v>4302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3150</v>
      </c>
      <c r="H1877" t="s">
        <v>4303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3150</v>
      </c>
      <c r="H1878" t="s">
        <v>4238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3150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3150</v>
      </c>
      <c r="H1880" t="s">
        <v>4304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3150</v>
      </c>
      <c r="H1881" t="s">
        <v>4305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3150</v>
      </c>
      <c r="H1882" t="s">
        <v>4200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3150</v>
      </c>
      <c r="H1883" t="s">
        <v>4306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3175</v>
      </c>
      <c r="H1884" t="s">
        <v>4301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3175</v>
      </c>
      <c r="H1885" t="s">
        <v>4302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3175</v>
      </c>
      <c r="H1886" t="s">
        <v>4303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3175</v>
      </c>
      <c r="H1887" t="s">
        <v>4238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3175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3175</v>
      </c>
      <c r="H1889" t="s">
        <v>4304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3175</v>
      </c>
      <c r="H1890" t="s">
        <v>4305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3175</v>
      </c>
      <c r="H1891" t="s">
        <v>4200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3175</v>
      </c>
      <c r="H1892" t="s">
        <v>4306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4128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4137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4129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4136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4138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4128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4137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4129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4136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4138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4128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4137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4129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4138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4137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4129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4136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4138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4128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4128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4137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4129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4138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4136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4128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4129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4136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4138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4242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4241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4301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4302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4303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4238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4304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4305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4306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4301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4302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4303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4304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4305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4200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4306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4238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4154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4155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4156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4129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4128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4129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4136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4138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4137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4128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4137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4129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4136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4138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4307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4172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4308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4161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4162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4163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4164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4165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4166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4167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4170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4294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4297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4296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4295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4158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4157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4172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4171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4173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4174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4175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4188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4190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4189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4128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4137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4129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4136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4138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4128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4137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4136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4138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4129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4128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4137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4129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4136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4138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4128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4137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4129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4138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4136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4128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4137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4129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4136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4138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4159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4160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4309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4299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4298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4176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4177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4178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4179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4180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4181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4182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4183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4184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4185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4186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4187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4309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4298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4299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4178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4176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4177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4178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4179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4180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4181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4182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4183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4184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4185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4186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4187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4178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4147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4142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4143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4144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4196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4145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4146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4195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4148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4150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4151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4197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4152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4198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4153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4149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4204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4203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4202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4201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4200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4199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4204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4203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4202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4201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4200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4199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4176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4177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4178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4179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4180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4181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4182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4183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4184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4185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4186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4187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4243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4208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4209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4259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4213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4214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4215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4216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4217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4218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4219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4262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4260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4265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4263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4264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4261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4220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4221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4267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4268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4269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4266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4222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4223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4224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4225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4226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4227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4228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4229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4230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4231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4232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4233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4234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4235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4190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4236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4237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4238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4239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4240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4271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4248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4249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4300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4172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4171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4300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4172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4171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4272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4276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4274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4281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4278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4273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4280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4277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4279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4275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4284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4285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4286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4283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4282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4287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4292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4290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4291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4288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4293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4289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4137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4129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4136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4138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4128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4128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4137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4136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4138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4129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4128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4169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4168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4128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4137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4129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4138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4136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4128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4137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4136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4138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4129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4255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4256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4257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4258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4310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4128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4137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4129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4136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4138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4137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4129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4136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4138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4128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4137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4129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4136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4138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4128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4137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4129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4136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4138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4128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4128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4137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4129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4136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4138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2985</v>
      </c>
      <c r="H2241" t="s">
        <v>4128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2985</v>
      </c>
      <c r="H2242" t="s">
        <v>4137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2985</v>
      </c>
      <c r="H2243" t="s">
        <v>4129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2985</v>
      </c>
      <c r="H2244" t="s">
        <v>4136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2985</v>
      </c>
      <c r="H2245" t="s">
        <v>4138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2985</v>
      </c>
      <c r="H2246" t="s">
        <v>4130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3021</v>
      </c>
      <c r="H2247" t="s">
        <v>4242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3021</v>
      </c>
      <c r="H2248" t="s">
        <v>4241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3151</v>
      </c>
      <c r="H2249" t="s">
        <v>4303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3151</v>
      </c>
      <c r="H2250" t="s">
        <v>4301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3151</v>
      </c>
      <c r="H2251" t="s">
        <v>4305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3176</v>
      </c>
      <c r="H2252" t="s">
        <v>4301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3176</v>
      </c>
      <c r="H2253" t="s">
        <v>4302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3176</v>
      </c>
      <c r="H2254" t="s">
        <v>4303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3176</v>
      </c>
      <c r="H2255" t="s">
        <v>4238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3176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3176</v>
      </c>
      <c r="H2257" t="s">
        <v>4304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3176</v>
      </c>
      <c r="H2258" t="s">
        <v>4305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3176</v>
      </c>
      <c r="H2259" t="s">
        <v>4200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3176</v>
      </c>
      <c r="H2260" t="s">
        <v>4306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3191</v>
      </c>
      <c r="H2261" t="s">
        <v>4311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3191</v>
      </c>
      <c r="H2262" t="s">
        <v>4312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3191</v>
      </c>
      <c r="H2263" t="s">
        <v>4313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3191</v>
      </c>
      <c r="H2264" t="s">
        <v>4314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3191</v>
      </c>
      <c r="H2265" t="s">
        <v>4315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3191</v>
      </c>
      <c r="H2266" t="s">
        <v>4316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3191</v>
      </c>
      <c r="H2267" t="s">
        <v>4317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3191</v>
      </c>
      <c r="H2268" t="s">
        <v>4318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3191</v>
      </c>
      <c r="H2269" t="s">
        <v>4319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3191</v>
      </c>
      <c r="H2270" t="s">
        <v>4320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3191</v>
      </c>
      <c r="H2271" t="s">
        <v>4321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3191</v>
      </c>
      <c r="H2272" t="s">
        <v>4322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3191</v>
      </c>
      <c r="H2273" t="s">
        <v>4323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3191</v>
      </c>
      <c r="H2274" t="s">
        <v>4324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3191</v>
      </c>
      <c r="H2275" t="s">
        <v>4325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3191</v>
      </c>
      <c r="H2276" t="s">
        <v>4326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3191</v>
      </c>
      <c r="H2277" t="s">
        <v>4327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3191</v>
      </c>
      <c r="H2278" t="s">
        <v>4328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4128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4137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4129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4136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4138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4137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4129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4136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4138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4128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4137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4129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4136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4138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4128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4128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4137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4129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4136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4138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4128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4137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4129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4136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4138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2986</v>
      </c>
      <c r="H2309" t="s">
        <v>4130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2986</v>
      </c>
      <c r="H2310" t="s">
        <v>4137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2986</v>
      </c>
      <c r="H2311" t="s">
        <v>4129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2986</v>
      </c>
      <c r="H2312" t="s">
        <v>4136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2986</v>
      </c>
      <c r="H2313" t="s">
        <v>4138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2986</v>
      </c>
      <c r="H2314" t="s">
        <v>4128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3022</v>
      </c>
      <c r="H2315" t="s">
        <v>4242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3022</v>
      </c>
      <c r="H2316" t="s">
        <v>4241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3152</v>
      </c>
      <c r="H2317" t="s">
        <v>4301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3152</v>
      </c>
      <c r="H2318" t="s">
        <v>4302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3152</v>
      </c>
      <c r="H2319" t="s">
        <v>4303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3152</v>
      </c>
      <c r="H2320" t="s">
        <v>4238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3152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3152</v>
      </c>
      <c r="H2322" t="s">
        <v>4304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3152</v>
      </c>
      <c r="H2323" t="s">
        <v>4200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3152</v>
      </c>
      <c r="H2324" t="s">
        <v>4306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3152</v>
      </c>
      <c r="H2325" t="s">
        <v>4305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3177</v>
      </c>
      <c r="H2326" t="s">
        <v>4301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3177</v>
      </c>
      <c r="H2327" t="s">
        <v>4302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3177</v>
      </c>
      <c r="H2328" t="s">
        <v>4238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3177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3177</v>
      </c>
      <c r="H2330" t="s">
        <v>4304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3177</v>
      </c>
      <c r="H2331" t="s">
        <v>4305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3177</v>
      </c>
      <c r="H2332" t="s">
        <v>4200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3177</v>
      </c>
      <c r="H2333" t="s">
        <v>4306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3177</v>
      </c>
      <c r="H2334" t="s">
        <v>4303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3192</v>
      </c>
      <c r="H2335" t="s">
        <v>4311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3192</v>
      </c>
      <c r="H2336" t="s">
        <v>4312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3192</v>
      </c>
      <c r="H2337" t="s">
        <v>4313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3192</v>
      </c>
      <c r="H2338" t="s">
        <v>4314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3192</v>
      </c>
      <c r="H2339" t="s">
        <v>4315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3192</v>
      </c>
      <c r="H2340" t="s">
        <v>4316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3192</v>
      </c>
      <c r="H2341" t="s">
        <v>4317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3192</v>
      </c>
      <c r="H2342" t="s">
        <v>4318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3192</v>
      </c>
      <c r="H2343" t="s">
        <v>4319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3192</v>
      </c>
      <c r="H2344" t="s">
        <v>4320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3192</v>
      </c>
      <c r="H2345" t="s">
        <v>4321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3192</v>
      </c>
      <c r="H2346" t="s">
        <v>4322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3192</v>
      </c>
      <c r="H2347" t="s">
        <v>4324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3192</v>
      </c>
      <c r="H2348" t="s">
        <v>4325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3192</v>
      </c>
      <c r="H2349" t="s">
        <v>4326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3192</v>
      </c>
      <c r="H2350" t="s">
        <v>4327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3192</v>
      </c>
      <c r="H2351" t="s">
        <v>4328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4128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4129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4136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4138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4137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4137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4129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4136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4138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4128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4137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4129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4136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4138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4128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4128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4137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4129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4136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4138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4128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4137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4129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4136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4138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4139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3282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4140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4141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4329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2987</v>
      </c>
      <c r="H2387" t="s">
        <v>4130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2987</v>
      </c>
      <c r="H2388" t="s">
        <v>4137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2987</v>
      </c>
      <c r="H2389" t="s">
        <v>4129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2987</v>
      </c>
      <c r="H2390" t="s">
        <v>4136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2987</v>
      </c>
      <c r="H2391" t="s">
        <v>4138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2987</v>
      </c>
      <c r="H2392" t="s">
        <v>4128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3023</v>
      </c>
      <c r="H2393" t="s">
        <v>4241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3023</v>
      </c>
      <c r="H2394" t="s">
        <v>4242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3153</v>
      </c>
      <c r="H2395" t="s">
        <v>4301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3153</v>
      </c>
      <c r="H2396" t="s">
        <v>4302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3153</v>
      </c>
      <c r="H2397" t="s">
        <v>4303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3153</v>
      </c>
      <c r="H2398" t="s">
        <v>4238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3153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3153</v>
      </c>
      <c r="H2400" t="s">
        <v>4304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3153</v>
      </c>
      <c r="H2401" t="s">
        <v>4305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3153</v>
      </c>
      <c r="H2402" t="s">
        <v>4200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3153</v>
      </c>
      <c r="H2403" t="s">
        <v>4306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3178</v>
      </c>
      <c r="H2404" t="s">
        <v>4301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3178</v>
      </c>
      <c r="H2405" t="s">
        <v>4302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3178</v>
      </c>
      <c r="H2406" t="s">
        <v>4303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3178</v>
      </c>
      <c r="H2407" t="s">
        <v>4238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3178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3178</v>
      </c>
      <c r="H2409" t="s">
        <v>4304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3178</v>
      </c>
      <c r="H2410" t="s">
        <v>4305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3178</v>
      </c>
      <c r="H2411" t="s">
        <v>4200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3178</v>
      </c>
      <c r="H2412" t="s">
        <v>4306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3193</v>
      </c>
      <c r="H2413" t="s">
        <v>4311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3193</v>
      </c>
      <c r="H2414" t="s">
        <v>4312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3193</v>
      </c>
      <c r="H2415" t="s">
        <v>4313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3193</v>
      </c>
      <c r="H2416" t="s">
        <v>4315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3193</v>
      </c>
      <c r="H2417" t="s">
        <v>4316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3193</v>
      </c>
      <c r="H2418" t="s">
        <v>4317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3193</v>
      </c>
      <c r="H2419" t="s">
        <v>4318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3193</v>
      </c>
      <c r="H2420" t="s">
        <v>4319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4147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4142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4143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4144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4195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4196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4146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4145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4148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4149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4150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4151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4197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4198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4153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4152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2741</v>
      </c>
      <c r="H2437" t="s">
        <v>4203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2741</v>
      </c>
      <c r="H2438" t="s">
        <v>4202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2741</v>
      </c>
      <c r="H2439" t="s">
        <v>4201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2741</v>
      </c>
      <c r="H2440" t="s">
        <v>4200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2741</v>
      </c>
      <c r="H2441" t="s">
        <v>4199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2741</v>
      </c>
      <c r="H2442" t="s">
        <v>4204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2810</v>
      </c>
      <c r="H2443" t="s">
        <v>4176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2810</v>
      </c>
      <c r="H2444" t="s">
        <v>4177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2810</v>
      </c>
      <c r="H2445" t="s">
        <v>4178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2810</v>
      </c>
      <c r="H2446" t="s">
        <v>4179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2810</v>
      </c>
      <c r="H2447" t="s">
        <v>4180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2810</v>
      </c>
      <c r="H2448" t="s">
        <v>4181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2810</v>
      </c>
      <c r="H2449" t="s">
        <v>4182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2810</v>
      </c>
      <c r="H2450" t="s">
        <v>4183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2810</v>
      </c>
      <c r="H2451" t="s">
        <v>4185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2810</v>
      </c>
      <c r="H2452" t="s">
        <v>4186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2810</v>
      </c>
      <c r="H2453" t="s">
        <v>4187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2810</v>
      </c>
      <c r="H2454" t="s">
        <v>4184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2867</v>
      </c>
      <c r="H2455" t="s">
        <v>4244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2867</v>
      </c>
      <c r="H2456" t="s">
        <v>4243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2875</v>
      </c>
      <c r="H2457" t="s">
        <v>4205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2875</v>
      </c>
      <c r="H2458" t="s">
        <v>4206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2875</v>
      </c>
      <c r="H2459" t="s">
        <v>4207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2875</v>
      </c>
      <c r="H2460" t="s">
        <v>4209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2875</v>
      </c>
      <c r="H2461" t="s">
        <v>4210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2875</v>
      </c>
      <c r="H2462" t="s">
        <v>4211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2875</v>
      </c>
      <c r="H2463" t="s">
        <v>4212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2875</v>
      </c>
      <c r="H2464" t="s">
        <v>4259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2875</v>
      </c>
      <c r="H2465" t="s">
        <v>4208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2884</v>
      </c>
      <c r="H2466" t="s">
        <v>4213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2884</v>
      </c>
      <c r="H2467" t="s">
        <v>4214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2884</v>
      </c>
      <c r="H2468" t="s">
        <v>4215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2884</v>
      </c>
      <c r="H2469" t="s">
        <v>4216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2884</v>
      </c>
      <c r="H2470" t="s">
        <v>4217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2884</v>
      </c>
      <c r="H2471" t="s">
        <v>4218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2884</v>
      </c>
      <c r="H2472" t="s">
        <v>4254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2884</v>
      </c>
      <c r="H2473" t="s">
        <v>4262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2884</v>
      </c>
      <c r="H2474" t="s">
        <v>4260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2884</v>
      </c>
      <c r="H2475" t="s">
        <v>4265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2884</v>
      </c>
      <c r="H2476" t="s">
        <v>4263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2884</v>
      </c>
      <c r="H2477" t="s">
        <v>4261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2884</v>
      </c>
      <c r="H2478" t="s">
        <v>4264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2884</v>
      </c>
      <c r="H2479" t="s">
        <v>4219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2893</v>
      </c>
      <c r="H2480" t="s">
        <v>4220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2893</v>
      </c>
      <c r="H2481" t="s">
        <v>4221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2893</v>
      </c>
      <c r="H2482" t="s">
        <v>4267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2893</v>
      </c>
      <c r="H2483" t="s">
        <v>4268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2893</v>
      </c>
      <c r="H2484" t="s">
        <v>4269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2893</v>
      </c>
      <c r="H2485" t="s">
        <v>4266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2902</v>
      </c>
      <c r="H2486" t="s">
        <v>4222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2902</v>
      </c>
      <c r="H2487" t="s">
        <v>4223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2902</v>
      </c>
      <c r="H2488" t="s">
        <v>4224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2902</v>
      </c>
      <c r="H2489" t="s">
        <v>4226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2902</v>
      </c>
      <c r="H2490" t="s">
        <v>4227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2902</v>
      </c>
      <c r="H2491" t="s">
        <v>4225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2911</v>
      </c>
      <c r="H2492" t="s">
        <v>4228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2911</v>
      </c>
      <c r="H2493" t="s">
        <v>4230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2911</v>
      </c>
      <c r="H2494" t="s">
        <v>4231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2911</v>
      </c>
      <c r="H2495" t="s">
        <v>4232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2911</v>
      </c>
      <c r="H2496" t="s">
        <v>4233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2911</v>
      </c>
      <c r="H2497" t="s">
        <v>4234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2911</v>
      </c>
      <c r="H2498" t="s">
        <v>4235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2911</v>
      </c>
      <c r="H2499" t="s">
        <v>4190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2911</v>
      </c>
      <c r="H2500" t="s">
        <v>4229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2921</v>
      </c>
      <c r="H2501" t="s">
        <v>4236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2921</v>
      </c>
      <c r="H2502" t="s">
        <v>4237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2921</v>
      </c>
      <c r="H2503" t="s">
        <v>4238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2921</v>
      </c>
      <c r="H2504" t="s">
        <v>4239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2921</v>
      </c>
      <c r="H2505" t="s">
        <v>4240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2921</v>
      </c>
      <c r="H2506" t="s">
        <v>4271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2957</v>
      </c>
      <c r="H2507" t="s">
        <v>4245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2957</v>
      </c>
      <c r="H2508" t="s">
        <v>4246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2957</v>
      </c>
      <c r="H2509" t="s">
        <v>4247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2957</v>
      </c>
      <c r="H2510" t="s">
        <v>4248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2957</v>
      </c>
      <c r="H2511" t="s">
        <v>4250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2957</v>
      </c>
      <c r="H2512" t="s">
        <v>4251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2957</v>
      </c>
      <c r="H2513" t="s">
        <v>4252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2957</v>
      </c>
      <c r="H2514" t="s">
        <v>4253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2957</v>
      </c>
      <c r="H2515" t="s">
        <v>4249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3079</v>
      </c>
      <c r="H2516" t="s">
        <v>4171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3079</v>
      </c>
      <c r="H2517" t="s">
        <v>4172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3079</v>
      </c>
      <c r="H2518" t="s">
        <v>4300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3083</v>
      </c>
      <c r="H2519" t="s">
        <v>4171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3083</v>
      </c>
      <c r="H2520" t="s">
        <v>4172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3083</v>
      </c>
      <c r="H2521" t="s">
        <v>4300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3101</v>
      </c>
      <c r="H2522" t="s">
        <v>4276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3101</v>
      </c>
      <c r="H2523" t="s">
        <v>4281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3101</v>
      </c>
      <c r="H2524" t="s">
        <v>4278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3101</v>
      </c>
      <c r="H2525" t="s">
        <v>4273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3101</v>
      </c>
      <c r="H2526" t="s">
        <v>4280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3101</v>
      </c>
      <c r="H2527" t="s">
        <v>4277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3101</v>
      </c>
      <c r="H2528" t="s">
        <v>4275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3101</v>
      </c>
      <c r="H2529" t="s">
        <v>4279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3101</v>
      </c>
      <c r="H2530" t="s">
        <v>4274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3107</v>
      </c>
      <c r="H2531" t="s">
        <v>4285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3107</v>
      </c>
      <c r="H2532" t="s">
        <v>4286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3107</v>
      </c>
      <c r="H2533" t="s">
        <v>4283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3107</v>
      </c>
      <c r="H2534" t="s">
        <v>4282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3107</v>
      </c>
      <c r="H2535" t="s">
        <v>4284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3113</v>
      </c>
      <c r="H2536" t="s">
        <v>4289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3113</v>
      </c>
      <c r="H2537" t="s">
        <v>4287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3113</v>
      </c>
      <c r="H2538" t="s">
        <v>4290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3113</v>
      </c>
      <c r="H2539" t="s">
        <v>4291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3113</v>
      </c>
      <c r="H2540" t="s">
        <v>4288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3113</v>
      </c>
      <c r="H2541" t="s">
        <v>4293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3113</v>
      </c>
      <c r="H2542" t="s">
        <v>4292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3202</v>
      </c>
      <c r="H2543" t="s">
        <v>4330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3205</v>
      </c>
      <c r="H2544" t="s">
        <v>4331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3205</v>
      </c>
      <c r="H2545" t="s">
        <v>4332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3205</v>
      </c>
      <c r="H2546" t="s">
        <v>4333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3205</v>
      </c>
      <c r="H2547" t="s">
        <v>4334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3205</v>
      </c>
      <c r="H2548" t="s">
        <v>4335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3205</v>
      </c>
      <c r="H2549" t="s">
        <v>4336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3205</v>
      </c>
      <c r="H2550" t="s">
        <v>4337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4128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4137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4129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4136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4138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4137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4129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4136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4138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4128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4137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4129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4136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4138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4128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4128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4137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4129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4136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4138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4128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4137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4129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4136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4138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4139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3282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4140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4329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4141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2988</v>
      </c>
      <c r="H2586" t="s">
        <v>4128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2988</v>
      </c>
      <c r="H2587" t="s">
        <v>4130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2988</v>
      </c>
      <c r="H2588" t="s">
        <v>4137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2988</v>
      </c>
      <c r="H2589" t="s">
        <v>4129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2988</v>
      </c>
      <c r="H2590" t="s">
        <v>4138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2988</v>
      </c>
      <c r="H2591" t="s">
        <v>4136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3024</v>
      </c>
      <c r="H2592" t="s">
        <v>4241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3024</v>
      </c>
      <c r="H2593" t="s">
        <v>4242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3154</v>
      </c>
      <c r="H2594" t="s">
        <v>4301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3154</v>
      </c>
      <c r="H2595" t="s">
        <v>4302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3154</v>
      </c>
      <c r="H2596" t="s">
        <v>4303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3154</v>
      </c>
      <c r="H2597" t="s">
        <v>4238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3154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3154</v>
      </c>
      <c r="H2599" t="s">
        <v>4304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3154</v>
      </c>
      <c r="H2600" t="s">
        <v>4305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3154</v>
      </c>
      <c r="H2601" t="s">
        <v>4200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3154</v>
      </c>
      <c r="H2602" t="s">
        <v>4306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3179</v>
      </c>
      <c r="H2603" t="s">
        <v>4301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3179</v>
      </c>
      <c r="H2604" t="s">
        <v>4302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3179</v>
      </c>
      <c r="H2605" t="s">
        <v>4303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3179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3179</v>
      </c>
      <c r="H2607" t="s">
        <v>4304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3179</v>
      </c>
      <c r="H2608" t="s">
        <v>4305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3179</v>
      </c>
      <c r="H2609" t="s">
        <v>4200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3179</v>
      </c>
      <c r="H2610" t="s">
        <v>4306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3179</v>
      </c>
      <c r="H2611" t="s">
        <v>4238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3194</v>
      </c>
      <c r="H2612" t="s">
        <v>4311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3194</v>
      </c>
      <c r="H2613" t="s">
        <v>4312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3194</v>
      </c>
      <c r="H2614" t="s">
        <v>4314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3194</v>
      </c>
      <c r="H2615" t="s">
        <v>4315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3194</v>
      </c>
      <c r="H2616" t="s">
        <v>4318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3194</v>
      </c>
      <c r="H2617" t="s">
        <v>4319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3194</v>
      </c>
      <c r="H2618" t="s">
        <v>4320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4128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4137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4129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4136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4138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4137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4129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4136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4138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4128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4137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4129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4136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4138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4128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4128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4129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4136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4138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4137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4128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4137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4129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4136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4138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4139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3282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4140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4141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4329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2989</v>
      </c>
      <c r="H2654" t="s">
        <v>4128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2989</v>
      </c>
      <c r="H2655" t="s">
        <v>4137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2989</v>
      </c>
      <c r="H2656" t="s">
        <v>4129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2989</v>
      </c>
      <c r="H2657" t="s">
        <v>4136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2989</v>
      </c>
      <c r="H2658" t="s">
        <v>4138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2989</v>
      </c>
      <c r="H2659" t="s">
        <v>4130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3025</v>
      </c>
      <c r="H2660" t="s">
        <v>4241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3025</v>
      </c>
      <c r="H2661" t="s">
        <v>4242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3155</v>
      </c>
      <c r="H2662" t="s">
        <v>4301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3155</v>
      </c>
      <c r="H2663" t="s">
        <v>4302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3155</v>
      </c>
      <c r="H2664" t="s">
        <v>4303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3155</v>
      </c>
      <c r="H2665" t="s">
        <v>4238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3155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3155</v>
      </c>
      <c r="H2667" t="s">
        <v>4304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3155</v>
      </c>
      <c r="H2668" t="s">
        <v>4305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3155</v>
      </c>
      <c r="H2669" t="s">
        <v>4200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3155</v>
      </c>
      <c r="H2670" t="s">
        <v>4306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3180</v>
      </c>
      <c r="H2671" t="s">
        <v>4301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3180</v>
      </c>
      <c r="H2672" t="s">
        <v>4302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3180</v>
      </c>
      <c r="H2673" t="s">
        <v>4238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3180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3180</v>
      </c>
      <c r="H2675" t="s">
        <v>4304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3180</v>
      </c>
      <c r="H2676" t="s">
        <v>4305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3180</v>
      </c>
      <c r="H2677" t="s">
        <v>4200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3180</v>
      </c>
      <c r="H2678" t="s">
        <v>4306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3180</v>
      </c>
      <c r="H2679" t="s">
        <v>4303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3195</v>
      </c>
      <c r="H2680" t="s">
        <v>4318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3195</v>
      </c>
      <c r="H2681" t="s">
        <v>4319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3195</v>
      </c>
      <c r="H2682" t="s">
        <v>4320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3195</v>
      </c>
      <c r="H2683" t="s">
        <v>4321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3195</v>
      </c>
      <c r="H2684" t="s">
        <v>4322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3195</v>
      </c>
      <c r="H2685" t="s">
        <v>4323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3195</v>
      </c>
      <c r="H2686" t="s">
        <v>4324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3195</v>
      </c>
      <c r="H2687" t="s">
        <v>4325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4128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4137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4129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4136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4138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4137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4129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4136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4138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4128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4137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4129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4136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4138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4128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4128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4137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4136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4138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4129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4128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4137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4129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4136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4138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4139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3282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4140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4141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4329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2990</v>
      </c>
      <c r="H2723" t="s">
        <v>4128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2990</v>
      </c>
      <c r="H2724" t="s">
        <v>4137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2990</v>
      </c>
      <c r="H2725" t="s">
        <v>4129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2990</v>
      </c>
      <c r="H2726" t="s">
        <v>4136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2990</v>
      </c>
      <c r="H2727" t="s">
        <v>4138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2990</v>
      </c>
      <c r="H2728" t="s">
        <v>4130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3026</v>
      </c>
      <c r="H2729" t="s">
        <v>4241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3026</v>
      </c>
      <c r="H2730" t="s">
        <v>4242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3156</v>
      </c>
      <c r="H2731" t="s">
        <v>4301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3156</v>
      </c>
      <c r="H2732" t="s">
        <v>4302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3156</v>
      </c>
      <c r="H2733" t="s">
        <v>4238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3156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3156</v>
      </c>
      <c r="H2735" t="s">
        <v>4304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3156</v>
      </c>
      <c r="H2736" t="s">
        <v>4305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3156</v>
      </c>
      <c r="H2737" t="s">
        <v>4200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3156</v>
      </c>
      <c r="H2738" t="s">
        <v>4306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3156</v>
      </c>
      <c r="H2739" t="s">
        <v>4303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3181</v>
      </c>
      <c r="H2740" t="s">
        <v>4301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3181</v>
      </c>
      <c r="H2741" t="s">
        <v>4303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3181</v>
      </c>
      <c r="H2742" t="s">
        <v>4238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3181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3181</v>
      </c>
      <c r="H2744" t="s">
        <v>4304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3181</v>
      </c>
      <c r="H2745" t="s">
        <v>4305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3181</v>
      </c>
      <c r="H2746" t="s">
        <v>4200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3181</v>
      </c>
      <c r="H2747" t="s">
        <v>4306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3181</v>
      </c>
      <c r="H2748" t="s">
        <v>4302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3196</v>
      </c>
      <c r="H2749" t="s">
        <v>4311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3196</v>
      </c>
      <c r="H2750" t="s">
        <v>4312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3196</v>
      </c>
      <c r="H2751" t="s">
        <v>4313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3196</v>
      </c>
      <c r="H2752" t="s">
        <v>4314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3196</v>
      </c>
      <c r="H2753" t="s">
        <v>4315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3196</v>
      </c>
      <c r="H2754" t="s">
        <v>4316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3196</v>
      </c>
      <c r="H2755" t="s">
        <v>4317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3196</v>
      </c>
      <c r="H2756" t="s">
        <v>4318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3196</v>
      </c>
      <c r="H2757" t="s">
        <v>4319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3196</v>
      </c>
      <c r="H2758" t="s">
        <v>4320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3196</v>
      </c>
      <c r="H2759" t="s">
        <v>4321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3196</v>
      </c>
      <c r="H2760" t="s">
        <v>4322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3196</v>
      </c>
      <c r="H2761" t="s">
        <v>4323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3196</v>
      </c>
      <c r="H2762" t="s">
        <v>4324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3196</v>
      </c>
      <c r="H2763" t="s">
        <v>4325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3196</v>
      </c>
      <c r="H2764" t="s">
        <v>4326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3196</v>
      </c>
      <c r="H2765" t="s">
        <v>4327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3196</v>
      </c>
      <c r="H2766" t="s">
        <v>4328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4154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4155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4156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4128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4137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4129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4136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4138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4128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4137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4129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4136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4138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4128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4137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4129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4138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4136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2493</v>
      </c>
      <c r="H2788" t="s">
        <v>4157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2493</v>
      </c>
      <c r="H2789" t="s">
        <v>4158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2493</v>
      </c>
      <c r="H2790" t="s">
        <v>4159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2493</v>
      </c>
      <c r="H2791" t="s">
        <v>4160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2498</v>
      </c>
      <c r="H2792" t="s">
        <v>4172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2508</v>
      </c>
      <c r="H2793" t="s">
        <v>4161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2508</v>
      </c>
      <c r="H2794" t="s">
        <v>4163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2508</v>
      </c>
      <c r="H2795" t="s">
        <v>4162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2524</v>
      </c>
      <c r="H2796" t="s">
        <v>4164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2524</v>
      </c>
      <c r="H2797" t="s">
        <v>4165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2524</v>
      </c>
      <c r="H2798" t="s">
        <v>4166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2524</v>
      </c>
      <c r="H2799" t="s">
        <v>4167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2545</v>
      </c>
      <c r="H2800" t="s">
        <v>4168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2545</v>
      </c>
      <c r="H2801" t="s">
        <v>4169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2545</v>
      </c>
      <c r="H2802" t="s">
        <v>4170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2550</v>
      </c>
      <c r="H2803" t="s">
        <v>4169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2550</v>
      </c>
      <c r="H2804" t="s">
        <v>4170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2550</v>
      </c>
      <c r="H2805" t="s">
        <v>4168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2576</v>
      </c>
      <c r="H2806" t="s">
        <v>4294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2576</v>
      </c>
      <c r="H2807" t="s">
        <v>4297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2576</v>
      </c>
      <c r="H2808" t="s">
        <v>4295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2576</v>
      </c>
      <c r="H2809" t="s">
        <v>4296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2579</v>
      </c>
      <c r="H2810" t="s">
        <v>4169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2579</v>
      </c>
      <c r="H2811" t="s">
        <v>4170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2579</v>
      </c>
      <c r="H2812" t="s">
        <v>4168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2708</v>
      </c>
      <c r="H2813" t="s">
        <v>4157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2708</v>
      </c>
      <c r="H2814" t="s">
        <v>4158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2724</v>
      </c>
      <c r="H2815" t="s">
        <v>4172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2724</v>
      </c>
      <c r="H2816" t="s">
        <v>4171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2747</v>
      </c>
      <c r="H2817" t="s">
        <v>4157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2747</v>
      </c>
      <c r="H2818" t="s">
        <v>4158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2798</v>
      </c>
      <c r="H2819" t="s">
        <v>4173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2798</v>
      </c>
      <c r="H2820" t="s">
        <v>4174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2798</v>
      </c>
      <c r="H2821" t="s">
        <v>4175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2861</v>
      </c>
      <c r="H2822" t="s">
        <v>4190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2935</v>
      </c>
      <c r="H2823" t="s">
        <v>4128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2935</v>
      </c>
      <c r="H2824" t="s">
        <v>4130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2935</v>
      </c>
      <c r="H2825" t="s">
        <v>4137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2935</v>
      </c>
      <c r="H2826" t="s">
        <v>4129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2935</v>
      </c>
      <c r="H2827" t="s">
        <v>4138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2935</v>
      </c>
      <c r="H2828" t="s">
        <v>4136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2938</v>
      </c>
      <c r="H2829" t="s">
        <v>4128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2938</v>
      </c>
      <c r="H2830" t="s">
        <v>4137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2938</v>
      </c>
      <c r="H2831" t="s">
        <v>4129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2938</v>
      </c>
      <c r="H2832" t="s">
        <v>4136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2938</v>
      </c>
      <c r="H2833" t="s">
        <v>4138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2938</v>
      </c>
      <c r="H2834" t="s">
        <v>4130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2941</v>
      </c>
      <c r="H2835" t="s">
        <v>4128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2941</v>
      </c>
      <c r="H2836" t="s">
        <v>4130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2941</v>
      </c>
      <c r="H2837" t="s">
        <v>4129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2941</v>
      </c>
      <c r="H2838" t="s">
        <v>4136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2941</v>
      </c>
      <c r="H2839" t="s">
        <v>4138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2941</v>
      </c>
      <c r="H2840" t="s">
        <v>4137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2944</v>
      </c>
      <c r="H2841" t="s">
        <v>4191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2944</v>
      </c>
      <c r="H2842" t="s">
        <v>4192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2944</v>
      </c>
      <c r="H2843" t="s">
        <v>4193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2944</v>
      </c>
      <c r="H2844" t="s">
        <v>4194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2962</v>
      </c>
      <c r="H2845" t="s">
        <v>4128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2962</v>
      </c>
      <c r="H2846" t="s">
        <v>4130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2962</v>
      </c>
      <c r="H2847" t="s">
        <v>4137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2962</v>
      </c>
      <c r="H2848" t="s">
        <v>4129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2962</v>
      </c>
      <c r="H2849" t="s">
        <v>4136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2962</v>
      </c>
      <c r="H2850" t="s">
        <v>4138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2998</v>
      </c>
      <c r="H2851" t="s">
        <v>4128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2998</v>
      </c>
      <c r="H2852" t="s">
        <v>4137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2998</v>
      </c>
      <c r="H2853" t="s">
        <v>4129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2998</v>
      </c>
      <c r="H2854" t="s">
        <v>4136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2998</v>
      </c>
      <c r="H2855" t="s">
        <v>4130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3036</v>
      </c>
      <c r="H2856" t="s">
        <v>4160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3036</v>
      </c>
      <c r="H2857" t="s">
        <v>4159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3040</v>
      </c>
      <c r="H2858" t="s">
        <v>4159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3040</v>
      </c>
      <c r="H2859" t="s">
        <v>4160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4298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4299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4309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3125</v>
      </c>
      <c r="H2863" t="s">
        <v>4298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3125</v>
      </c>
      <c r="H2864" t="s">
        <v>4299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3125</v>
      </c>
      <c r="H2865" t="s">
        <v>4309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3215</v>
      </c>
      <c r="H2866" t="s">
        <v>4338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3215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3216</v>
      </c>
      <c r="H2868" t="s">
        <v>4174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3216</v>
      </c>
      <c r="H2869" t="s">
        <v>4339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3216</v>
      </c>
      <c r="H2870" t="s">
        <v>4340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3217</v>
      </c>
      <c r="H2871" t="s">
        <v>4341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3217</v>
      </c>
      <c r="H2872" t="s">
        <v>4342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3217</v>
      </c>
      <c r="H2873" t="s">
        <v>4343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3217</v>
      </c>
      <c r="H2874" t="s">
        <v>4344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3217</v>
      </c>
      <c r="H2875" t="s">
        <v>4345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3217</v>
      </c>
      <c r="H2876" t="s">
        <v>4346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3222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3222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3222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3222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3223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3223</v>
      </c>
      <c r="H2882" t="s">
        <v>4347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3224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3224</v>
      </c>
      <c r="H2884" t="s">
        <v>4348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3225</v>
      </c>
      <c r="H2885" t="s">
        <v>4349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3225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3226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3226</v>
      </c>
      <c r="H2888" t="s">
        <v>4350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3229</v>
      </c>
      <c r="H2889" t="s">
        <v>4351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3229</v>
      </c>
      <c r="H2890" t="s">
        <v>4352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3230</v>
      </c>
      <c r="H2891" t="s">
        <v>4353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3230</v>
      </c>
      <c r="H2892" t="s">
        <v>4354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3230</v>
      </c>
      <c r="H2893" t="s">
        <v>4355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3230</v>
      </c>
      <c r="H2894" t="s">
        <v>4356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4147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4142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4143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4144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4195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4196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4145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4146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4148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4149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4150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4151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4197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4152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4198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4153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2589</v>
      </c>
      <c r="H2911" t="s">
        <v>4204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2589</v>
      </c>
      <c r="H2912" t="s">
        <v>4202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2589</v>
      </c>
      <c r="H2913" t="s">
        <v>4201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2589</v>
      </c>
      <c r="H2914" t="s">
        <v>4200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2589</v>
      </c>
      <c r="H2915" t="s">
        <v>4199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2589</v>
      </c>
      <c r="H2916" t="s">
        <v>4203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2742</v>
      </c>
      <c r="H2917" t="s">
        <v>4203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2742</v>
      </c>
      <c r="H2918" t="s">
        <v>4202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2742</v>
      </c>
      <c r="H2919" t="s">
        <v>4201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2742</v>
      </c>
      <c r="H2920" t="s">
        <v>4200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2742</v>
      </c>
      <c r="H2921" t="s">
        <v>4199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2742</v>
      </c>
      <c r="H2922" t="s">
        <v>4204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2811</v>
      </c>
      <c r="H2923" t="s">
        <v>4176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2811</v>
      </c>
      <c r="H2924" t="s">
        <v>4177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2811</v>
      </c>
      <c r="H2925" t="s">
        <v>4178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2811</v>
      </c>
      <c r="H2926" t="s">
        <v>4179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2811</v>
      </c>
      <c r="H2927" t="s">
        <v>4180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2811</v>
      </c>
      <c r="H2928" t="s">
        <v>4181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2811</v>
      </c>
      <c r="H2929" t="s">
        <v>4182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2811</v>
      </c>
      <c r="H2930" t="s">
        <v>4183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2811</v>
      </c>
      <c r="H2931" t="s">
        <v>4184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2811</v>
      </c>
      <c r="H2932" t="s">
        <v>4185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2811</v>
      </c>
      <c r="H2933" t="s">
        <v>4186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2811</v>
      </c>
      <c r="H2934" t="s">
        <v>4187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2876</v>
      </c>
      <c r="H2935" t="s">
        <v>4205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2876</v>
      </c>
      <c r="H2936" t="s">
        <v>4206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2876</v>
      </c>
      <c r="H2937" t="s">
        <v>4207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2876</v>
      </c>
      <c r="H2938" t="s">
        <v>4208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2876</v>
      </c>
      <c r="H2939" t="s">
        <v>4209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2876</v>
      </c>
      <c r="H2940" t="s">
        <v>4210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2876</v>
      </c>
      <c r="H2941" t="s">
        <v>4211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2876</v>
      </c>
      <c r="H2942" t="s">
        <v>4259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2876</v>
      </c>
      <c r="H2943" t="s">
        <v>4212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2885</v>
      </c>
      <c r="H2944" t="s">
        <v>4213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2885</v>
      </c>
      <c r="H2945" t="s">
        <v>4214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2885</v>
      </c>
      <c r="H2946" t="s">
        <v>4215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2885</v>
      </c>
      <c r="H2947" t="s">
        <v>4216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2885</v>
      </c>
      <c r="H2948" t="s">
        <v>4217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2885</v>
      </c>
      <c r="H2949" t="s">
        <v>4218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2885</v>
      </c>
      <c r="H2950" t="s">
        <v>4219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2885</v>
      </c>
      <c r="H2951" t="s">
        <v>4254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2885</v>
      </c>
      <c r="H2952" t="s">
        <v>4262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2885</v>
      </c>
      <c r="H2953" t="s">
        <v>4260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2885</v>
      </c>
      <c r="H2954" t="s">
        <v>4265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2885</v>
      </c>
      <c r="H2955" t="s">
        <v>4263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2885</v>
      </c>
      <c r="H2956" t="s">
        <v>4261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2885</v>
      </c>
      <c r="H2957" t="s">
        <v>4264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2894</v>
      </c>
      <c r="H2958" t="s">
        <v>4220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2894</v>
      </c>
      <c r="H2959" t="s">
        <v>4221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2894</v>
      </c>
      <c r="H2960" t="s">
        <v>4267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2894</v>
      </c>
      <c r="H2961" t="s">
        <v>4268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2894</v>
      </c>
      <c r="H2962" t="s">
        <v>4269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2894</v>
      </c>
      <c r="H2963" t="s">
        <v>4266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2903</v>
      </c>
      <c r="H2964" t="s">
        <v>4222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2903</v>
      </c>
      <c r="H2965" t="s">
        <v>4223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2903</v>
      </c>
      <c r="H2966" t="s">
        <v>4224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2903</v>
      </c>
      <c r="H2967" t="s">
        <v>4226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2903</v>
      </c>
      <c r="H2968" t="s">
        <v>4227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2903</v>
      </c>
      <c r="H2969" t="s">
        <v>4225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2912</v>
      </c>
      <c r="H2970" t="s">
        <v>4228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2912</v>
      </c>
      <c r="H2971" t="s">
        <v>4229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2912</v>
      </c>
      <c r="H2972" t="s">
        <v>4230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2912</v>
      </c>
      <c r="H2973" t="s">
        <v>4231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2912</v>
      </c>
      <c r="H2974" t="s">
        <v>4232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2912</v>
      </c>
      <c r="H2975" t="s">
        <v>4233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2912</v>
      </c>
      <c r="H2976" t="s">
        <v>4234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2912</v>
      </c>
      <c r="H2977" t="s">
        <v>4235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2912</v>
      </c>
      <c r="H2978" t="s">
        <v>4190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2922</v>
      </c>
      <c r="H2979" t="s">
        <v>4236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2922</v>
      </c>
      <c r="H2980" t="s">
        <v>4237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2922</v>
      </c>
      <c r="H2981" t="s">
        <v>4238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2922</v>
      </c>
      <c r="H2982" t="s">
        <v>4239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2922</v>
      </c>
      <c r="H2983" t="s">
        <v>4271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2922</v>
      </c>
      <c r="H2984" t="s">
        <v>4240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2958</v>
      </c>
      <c r="H2985" t="s">
        <v>4245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2958</v>
      </c>
      <c r="H2986" t="s">
        <v>4246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2958</v>
      </c>
      <c r="H2987" t="s">
        <v>4247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2958</v>
      </c>
      <c r="H2988" t="s">
        <v>4248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2958</v>
      </c>
      <c r="H2989" t="s">
        <v>4250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2958</v>
      </c>
      <c r="H2990" t="s">
        <v>4251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2958</v>
      </c>
      <c r="H2991" t="s">
        <v>4252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2958</v>
      </c>
      <c r="H2992" t="s">
        <v>4253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2958</v>
      </c>
      <c r="H2993" t="s">
        <v>4249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3080</v>
      </c>
      <c r="H2994" t="s">
        <v>4171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3080</v>
      </c>
      <c r="H2995" t="s">
        <v>4172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3080</v>
      </c>
      <c r="H2996" t="s">
        <v>4300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3084</v>
      </c>
      <c r="H2997" t="s">
        <v>4171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3084</v>
      </c>
      <c r="H2998" t="s">
        <v>4300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3084</v>
      </c>
      <c r="H2999" t="s">
        <v>4172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3102</v>
      </c>
      <c r="H3000" t="s">
        <v>4276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3102</v>
      </c>
      <c r="H3001" t="s">
        <v>4274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3102</v>
      </c>
      <c r="H3002" t="s">
        <v>4281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3102</v>
      </c>
      <c r="H3003" t="s">
        <v>4278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3102</v>
      </c>
      <c r="H3004" t="s">
        <v>4273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3102</v>
      </c>
      <c r="H3005" t="s">
        <v>4280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3102</v>
      </c>
      <c r="H3006" t="s">
        <v>4277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3102</v>
      </c>
      <c r="H3007" t="s">
        <v>4275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3102</v>
      </c>
      <c r="H3008" t="s">
        <v>4279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3108</v>
      </c>
      <c r="H3009" t="s">
        <v>4284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3108</v>
      </c>
      <c r="H3010" t="s">
        <v>4285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3108</v>
      </c>
      <c r="H3011" t="s">
        <v>4286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3108</v>
      </c>
      <c r="H3012" t="s">
        <v>4283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3108</v>
      </c>
      <c r="H3013" t="s">
        <v>4282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3114</v>
      </c>
      <c r="H3014" t="s">
        <v>4289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3114</v>
      </c>
      <c r="H3015" t="s">
        <v>4287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3114</v>
      </c>
      <c r="H3016" t="s">
        <v>4290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3114</v>
      </c>
      <c r="H3017" t="s">
        <v>4291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3114</v>
      </c>
      <c r="H3018" t="s">
        <v>4288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3114</v>
      </c>
      <c r="H3019" t="s">
        <v>4293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3114</v>
      </c>
      <c r="H3020" t="s">
        <v>4292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3203</v>
      </c>
      <c r="H3021" t="s">
        <v>4330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3206</v>
      </c>
      <c r="H3022" t="s">
        <v>4331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3206</v>
      </c>
      <c r="H3023" t="s">
        <v>4332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3206</v>
      </c>
      <c r="H3024" t="s">
        <v>4333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3206</v>
      </c>
      <c r="H3025" t="s">
        <v>4334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3206</v>
      </c>
      <c r="H3026" t="s">
        <v>4335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3206</v>
      </c>
      <c r="H3027" t="s">
        <v>4336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3206</v>
      </c>
      <c r="H3028" t="s">
        <v>4337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4128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4137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4129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4136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4138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4137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4129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4136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4138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4128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4137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4129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4136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4138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4128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4137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4129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4136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4138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4128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4128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4137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4129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4136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4138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4139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4140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4141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4329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3282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2991</v>
      </c>
      <c r="H3064" t="s">
        <v>4128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2991</v>
      </c>
      <c r="H3065" t="s">
        <v>4137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2991</v>
      </c>
      <c r="H3066" t="s">
        <v>4129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2991</v>
      </c>
      <c r="H3067" t="s">
        <v>4136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2991</v>
      </c>
      <c r="H3068" t="s">
        <v>4138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2991</v>
      </c>
      <c r="H3069" t="s">
        <v>4130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3027</v>
      </c>
      <c r="H3070" t="s">
        <v>4241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3027</v>
      </c>
      <c r="H3071" t="s">
        <v>4242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3157</v>
      </c>
      <c r="H3072" t="s">
        <v>4303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3157</v>
      </c>
      <c r="H3073" t="s">
        <v>4238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3157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3157</v>
      </c>
      <c r="H3075" t="s">
        <v>4304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3157</v>
      </c>
      <c r="H3076" t="s">
        <v>4305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3182</v>
      </c>
      <c r="H3077" t="s">
        <v>4301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3182</v>
      </c>
      <c r="H3078" t="s">
        <v>4302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3182</v>
      </c>
      <c r="H3079" t="s">
        <v>4303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3182</v>
      </c>
      <c r="H3080" t="s">
        <v>4238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3182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3182</v>
      </c>
      <c r="H3082" t="s">
        <v>4304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3182</v>
      </c>
      <c r="H3083" t="s">
        <v>4200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3182</v>
      </c>
      <c r="H3084" t="s">
        <v>4306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3182</v>
      </c>
      <c r="H3085" t="s">
        <v>4305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3197</v>
      </c>
      <c r="H3086" t="s">
        <v>4311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3197</v>
      </c>
      <c r="H3087" t="s">
        <v>4312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3197</v>
      </c>
      <c r="H3088" t="s">
        <v>4313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3197</v>
      </c>
      <c r="H3089" t="s">
        <v>4314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3197</v>
      </c>
      <c r="H3090" t="s">
        <v>4315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3197</v>
      </c>
      <c r="H3091" t="s">
        <v>4316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3197</v>
      </c>
      <c r="H3092" t="s">
        <v>4317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3197</v>
      </c>
      <c r="H3093" t="s">
        <v>4318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3197</v>
      </c>
      <c r="H3094" t="s">
        <v>4319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3197</v>
      </c>
      <c r="H3095" t="s">
        <v>4320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3197</v>
      </c>
      <c r="H3096" t="s">
        <v>4321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3197</v>
      </c>
      <c r="H3097" t="s">
        <v>4322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3197</v>
      </c>
      <c r="H3098" t="s">
        <v>4323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3197</v>
      </c>
      <c r="H3099" t="s">
        <v>4324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3197</v>
      </c>
      <c r="H3100" t="s">
        <v>4325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3197</v>
      </c>
      <c r="H3101" t="s">
        <v>4326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3197</v>
      </c>
      <c r="H3102" t="s">
        <v>4327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3197</v>
      </c>
      <c r="H3103" t="s">
        <v>4328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4128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4137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4129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4136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4138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4128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4137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4136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4138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4129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4128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4137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4136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4138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4129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4128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4137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4129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4136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4138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4128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4137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4129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4136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4138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4139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3282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4141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4329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4140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2992</v>
      </c>
      <c r="H3139" t="s">
        <v>4128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2992</v>
      </c>
      <c r="H3140" t="s">
        <v>4137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2992</v>
      </c>
      <c r="H3141" t="s">
        <v>4129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2992</v>
      </c>
      <c r="H3142" t="s">
        <v>4136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2992</v>
      </c>
      <c r="H3143" t="s">
        <v>4138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2992</v>
      </c>
      <c r="H3144" t="s">
        <v>4130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3028</v>
      </c>
      <c r="H3145" t="s">
        <v>4241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3028</v>
      </c>
      <c r="H3146" t="s">
        <v>4242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3158</v>
      </c>
      <c r="H3147" t="s">
        <v>4301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3158</v>
      </c>
      <c r="H3148" t="s">
        <v>4302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3158</v>
      </c>
      <c r="H3149" t="s">
        <v>4303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3158</v>
      </c>
      <c r="H3150" t="s">
        <v>4238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3158</v>
      </c>
      <c r="H3151" t="s">
        <v>4305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3183</v>
      </c>
      <c r="H3152" t="s">
        <v>4301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3183</v>
      </c>
      <c r="H3153" t="s">
        <v>4302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3183</v>
      </c>
      <c r="H3154" t="s">
        <v>4303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3183</v>
      </c>
      <c r="H3155" t="s">
        <v>4238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3183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3183</v>
      </c>
      <c r="H3157" t="s">
        <v>4304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3183</v>
      </c>
      <c r="H3158" t="s">
        <v>4305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3183</v>
      </c>
      <c r="H3159" t="s">
        <v>4200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3183</v>
      </c>
      <c r="H3160" t="s">
        <v>4306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3198</v>
      </c>
      <c r="H3161" t="s">
        <v>4311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3198</v>
      </c>
      <c r="H3162" t="s">
        <v>4312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3198</v>
      </c>
      <c r="H3163" t="s">
        <v>4313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3198</v>
      </c>
      <c r="H3164" t="s">
        <v>4314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3198</v>
      </c>
      <c r="H3165" t="s">
        <v>4315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3198</v>
      </c>
      <c r="H3166" t="s">
        <v>4316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3198</v>
      </c>
      <c r="H3167" t="s">
        <v>4317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3198</v>
      </c>
      <c r="H3168" t="s">
        <v>4318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3198</v>
      </c>
      <c r="H3169" t="s">
        <v>4319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3198</v>
      </c>
      <c r="H3170" t="s">
        <v>4320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3198</v>
      </c>
      <c r="H3171" t="s">
        <v>4321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3198</v>
      </c>
      <c r="H3172" t="s">
        <v>4322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3198</v>
      </c>
      <c r="H3173" t="s">
        <v>4323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3198</v>
      </c>
      <c r="H3174" t="s">
        <v>4324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3198</v>
      </c>
      <c r="H3175" t="s">
        <v>4325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3198</v>
      </c>
      <c r="H3176" t="s">
        <v>4326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3198</v>
      </c>
      <c r="H3177" t="s">
        <v>4327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3198</v>
      </c>
      <c r="H3178" t="s">
        <v>4328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4128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4137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4129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4136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4138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4128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4137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4136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4138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4129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4128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4137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4136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4138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4129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4137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4129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4136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4138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4128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4128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4137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4129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4136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4138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4130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4139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3282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4140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4141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4329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2993</v>
      </c>
      <c r="H3214" t="s">
        <v>4128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2993</v>
      </c>
      <c r="H3215" t="s">
        <v>4137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2993</v>
      </c>
      <c r="H3216" t="s">
        <v>4129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2993</v>
      </c>
      <c r="H3217" t="s">
        <v>4136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2993</v>
      </c>
      <c r="H3218" t="s">
        <v>4138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2993</v>
      </c>
      <c r="H3219" t="s">
        <v>4130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3029</v>
      </c>
      <c r="H3220" t="s">
        <v>4241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3029</v>
      </c>
      <c r="H3221" t="s">
        <v>4242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3159</v>
      </c>
      <c r="H3222" t="s">
        <v>4302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3159</v>
      </c>
      <c r="H3223" t="s">
        <v>4303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3159</v>
      </c>
      <c r="H3224" t="s">
        <v>4238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3159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3159</v>
      </c>
      <c r="H3226" t="s">
        <v>4304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3159</v>
      </c>
      <c r="H3227" t="s">
        <v>4305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3159</v>
      </c>
      <c r="H3228" t="s">
        <v>4306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3159</v>
      </c>
      <c r="H3229" t="s">
        <v>4301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3184</v>
      </c>
      <c r="H3230" t="s">
        <v>4302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3184</v>
      </c>
      <c r="H3231" t="s">
        <v>4303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3184</v>
      </c>
      <c r="H3232" t="s">
        <v>4238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3184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3184</v>
      </c>
      <c r="H3234" t="s">
        <v>4304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3184</v>
      </c>
      <c r="H3235" t="s">
        <v>4305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3184</v>
      </c>
      <c r="H3236" t="s">
        <v>4200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3184</v>
      </c>
      <c r="H3237" t="s">
        <v>4306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3184</v>
      </c>
      <c r="H3238" t="s">
        <v>4301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3199</v>
      </c>
      <c r="H3239" t="s">
        <v>4311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3199</v>
      </c>
      <c r="H3240" t="s">
        <v>4312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3199</v>
      </c>
      <c r="H3241" t="s">
        <v>4313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3199</v>
      </c>
      <c r="H3242" t="s">
        <v>4314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3199</v>
      </c>
      <c r="H3243" t="s">
        <v>4315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3199</v>
      </c>
      <c r="H3244" t="s">
        <v>4316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3199</v>
      </c>
      <c r="H3245" t="s">
        <v>4317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3199</v>
      </c>
      <c r="H3246" t="s">
        <v>4318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3199</v>
      </c>
      <c r="H3247" t="s">
        <v>4319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3199</v>
      </c>
      <c r="H3248" t="s">
        <v>4320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3199</v>
      </c>
      <c r="H3249" t="s">
        <v>4321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3199</v>
      </c>
      <c r="H3250" t="s">
        <v>4322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3199</v>
      </c>
      <c r="H3251" t="s">
        <v>4323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3199</v>
      </c>
      <c r="H3252" t="s">
        <v>4324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3199</v>
      </c>
      <c r="H3253" t="s">
        <v>4325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3199</v>
      </c>
      <c r="H3254" t="s">
        <v>4326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3199</v>
      </c>
      <c r="H3255" t="s">
        <v>4327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3199</v>
      </c>
      <c r="H3256" t="s">
        <v>4328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4147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4142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4143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4144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4195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4196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4145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4146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4357</v>
      </c>
      <c r="H3265" t="s">
        <v>4148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4357</v>
      </c>
      <c r="H3266" t="s">
        <v>4149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4357</v>
      </c>
      <c r="H3267" t="s">
        <v>4150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4357</v>
      </c>
      <c r="H3268" t="s">
        <v>4151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4357</v>
      </c>
      <c r="H3269" t="s">
        <v>4197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4357</v>
      </c>
      <c r="H3270" t="s">
        <v>4152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4357</v>
      </c>
      <c r="H3271" t="s">
        <v>4198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4357</v>
      </c>
      <c r="H3272" t="s">
        <v>4153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2590</v>
      </c>
      <c r="H3273" t="s">
        <v>4204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2590</v>
      </c>
      <c r="H3274" t="s">
        <v>4202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2590</v>
      </c>
      <c r="H3275" t="s">
        <v>4201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2590</v>
      </c>
      <c r="H3276" t="s">
        <v>4200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2590</v>
      </c>
      <c r="H3277" t="s">
        <v>4199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2590</v>
      </c>
      <c r="H3278" t="s">
        <v>4203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2743</v>
      </c>
      <c r="H3279" t="s">
        <v>4204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2743</v>
      </c>
      <c r="H3280" t="s">
        <v>4203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2743</v>
      </c>
      <c r="H3281" t="s">
        <v>4202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2743</v>
      </c>
      <c r="H3282" t="s">
        <v>4200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2743</v>
      </c>
      <c r="H3283" t="s">
        <v>4199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2743</v>
      </c>
      <c r="H3284" t="s">
        <v>4201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2812</v>
      </c>
      <c r="H3285" t="s">
        <v>4176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2812</v>
      </c>
      <c r="H3286" t="s">
        <v>4177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2812</v>
      </c>
      <c r="H3287" t="s">
        <v>4178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2812</v>
      </c>
      <c r="H3288" t="s">
        <v>4179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2812</v>
      </c>
      <c r="H3289" t="s">
        <v>4180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2812</v>
      </c>
      <c r="H3290" t="s">
        <v>4181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2812</v>
      </c>
      <c r="H3291" t="s">
        <v>4182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2812</v>
      </c>
      <c r="H3292" t="s">
        <v>4183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2812</v>
      </c>
      <c r="H3293" t="s">
        <v>4184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2812</v>
      </c>
      <c r="H3294" t="s">
        <v>4185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2812</v>
      </c>
      <c r="H3295" t="s">
        <v>4186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2812</v>
      </c>
      <c r="H3296" t="s">
        <v>4187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2877</v>
      </c>
      <c r="H3297" t="s">
        <v>4205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2877</v>
      </c>
      <c r="H3298" t="s">
        <v>4206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2877</v>
      </c>
      <c r="H3299" t="s">
        <v>4207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2877</v>
      </c>
      <c r="H3300" t="s">
        <v>4208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2877</v>
      </c>
      <c r="H3301" t="s">
        <v>4209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2877</v>
      </c>
      <c r="H3302" t="s">
        <v>4211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2877</v>
      </c>
      <c r="H3303" t="s">
        <v>4212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2877</v>
      </c>
      <c r="H3304" t="s">
        <v>4259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2877</v>
      </c>
      <c r="H3305" t="s">
        <v>4210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2886</v>
      </c>
      <c r="H3306" t="s">
        <v>4213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2886</v>
      </c>
      <c r="H3307" t="s">
        <v>4214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2886</v>
      </c>
      <c r="H3308" t="s">
        <v>4215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2886</v>
      </c>
      <c r="H3309" t="s">
        <v>4216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2886</v>
      </c>
      <c r="H3310" t="s">
        <v>4217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2886</v>
      </c>
      <c r="H3311" t="s">
        <v>4218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2886</v>
      </c>
      <c r="H3312" t="s">
        <v>4219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2886</v>
      </c>
      <c r="H3313" t="s">
        <v>4254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2886</v>
      </c>
      <c r="H3314" t="s">
        <v>4262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2886</v>
      </c>
      <c r="H3315" t="s">
        <v>4260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2886</v>
      </c>
      <c r="H3316" t="s">
        <v>4265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2886</v>
      </c>
      <c r="H3317" t="s">
        <v>4263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2886</v>
      </c>
      <c r="H3318" t="s">
        <v>4261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2886</v>
      </c>
      <c r="H3319" t="s">
        <v>4264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2895</v>
      </c>
      <c r="H3320" t="s">
        <v>4220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2895</v>
      </c>
      <c r="H3321" t="s">
        <v>4221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2895</v>
      </c>
      <c r="H3322" t="s">
        <v>4267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2895</v>
      </c>
      <c r="H3323" t="s">
        <v>4268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2895</v>
      </c>
      <c r="H3324" t="s">
        <v>4269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2895</v>
      </c>
      <c r="H3325" t="s">
        <v>4266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2904</v>
      </c>
      <c r="H3326" t="s">
        <v>4222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2904</v>
      </c>
      <c r="H3327" t="s">
        <v>4223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2904</v>
      </c>
      <c r="H3328" t="s">
        <v>4224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2904</v>
      </c>
      <c r="H3329" t="s">
        <v>4225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2904</v>
      </c>
      <c r="H3330" t="s">
        <v>4227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2904</v>
      </c>
      <c r="H3331" t="s">
        <v>4226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2913</v>
      </c>
      <c r="H3332" t="s">
        <v>4228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2913</v>
      </c>
      <c r="H3333" t="s">
        <v>4229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2913</v>
      </c>
      <c r="H3334" t="s">
        <v>4230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2913</v>
      </c>
      <c r="H3335" t="s">
        <v>4231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2913</v>
      </c>
      <c r="H3336" t="s">
        <v>4232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2913</v>
      </c>
      <c r="H3337" t="s">
        <v>4233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2913</v>
      </c>
      <c r="H3338" t="s">
        <v>4234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2913</v>
      </c>
      <c r="H3339" t="s">
        <v>4235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2913</v>
      </c>
      <c r="H3340" t="s">
        <v>4190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2923</v>
      </c>
      <c r="H3341" t="s">
        <v>4237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2923</v>
      </c>
      <c r="H3342" t="s">
        <v>4238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2923</v>
      </c>
      <c r="H3343" t="s">
        <v>4239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2923</v>
      </c>
      <c r="H3344" t="s">
        <v>4240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2923</v>
      </c>
      <c r="H3345" t="s">
        <v>4271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2923</v>
      </c>
      <c r="H3346" t="s">
        <v>4236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2959</v>
      </c>
      <c r="H3347" t="s">
        <v>4245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2959</v>
      </c>
      <c r="H3348" t="s">
        <v>4246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2959</v>
      </c>
      <c r="H3349" t="s">
        <v>4247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2959</v>
      </c>
      <c r="H3350" t="s">
        <v>4249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2959</v>
      </c>
      <c r="H3351" t="s">
        <v>4250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2959</v>
      </c>
      <c r="H3352" t="s">
        <v>4251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2959</v>
      </c>
      <c r="H3353" t="s">
        <v>4252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2959</v>
      </c>
      <c r="H3354" t="s">
        <v>4253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2959</v>
      </c>
      <c r="H3355" t="s">
        <v>4248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3081</v>
      </c>
      <c r="H3356" t="s">
        <v>4171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3081</v>
      </c>
      <c r="H3357" t="s">
        <v>4172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3081</v>
      </c>
      <c r="H3358" t="s">
        <v>4300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3085</v>
      </c>
      <c r="H3359" t="s">
        <v>4171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3085</v>
      </c>
      <c r="H3360" t="s">
        <v>4172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3085</v>
      </c>
      <c r="H3361" t="s">
        <v>4300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3103</v>
      </c>
      <c r="H3362" t="s">
        <v>4276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3103</v>
      </c>
      <c r="H3363" t="s">
        <v>4274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3103</v>
      </c>
      <c r="H3364" t="s">
        <v>4281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3103</v>
      </c>
      <c r="H3365" t="s">
        <v>4278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3103</v>
      </c>
      <c r="H3366" t="s">
        <v>4273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3103</v>
      </c>
      <c r="H3367" t="s">
        <v>4280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3103</v>
      </c>
      <c r="H3368" t="s">
        <v>4277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3103</v>
      </c>
      <c r="H3369" t="s">
        <v>4279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3103</v>
      </c>
      <c r="H3370" t="s">
        <v>4275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3109</v>
      </c>
      <c r="H3371" t="s">
        <v>4284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3109</v>
      </c>
      <c r="H3372" t="s">
        <v>4286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3109</v>
      </c>
      <c r="H3373" t="s">
        <v>4283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3109</v>
      </c>
      <c r="H3374" t="s">
        <v>4282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3109</v>
      </c>
      <c r="H3375" t="s">
        <v>4285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3115</v>
      </c>
      <c r="H3376" t="s">
        <v>4289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3115</v>
      </c>
      <c r="H3377" t="s">
        <v>4287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3115</v>
      </c>
      <c r="H3378" t="s">
        <v>4290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3115</v>
      </c>
      <c r="H3379" t="s">
        <v>4291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3115</v>
      </c>
      <c r="H3380" t="s">
        <v>4288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3115</v>
      </c>
      <c r="H3381" t="s">
        <v>4293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3115</v>
      </c>
      <c r="H3382" t="s">
        <v>4292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3204</v>
      </c>
      <c r="H3383" t="s">
        <v>4330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3207</v>
      </c>
      <c r="H3384" t="s">
        <v>4331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3207</v>
      </c>
      <c r="H3385" t="s">
        <v>4332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3207</v>
      </c>
      <c r="H3386" t="s">
        <v>4333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3207</v>
      </c>
      <c r="H3387" t="s">
        <v>4334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3207</v>
      </c>
      <c r="H3388" t="s">
        <v>4335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3207</v>
      </c>
      <c r="H3389" t="s">
        <v>4336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3207</v>
      </c>
      <c r="H3390" t="s">
        <v>4337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3221</v>
      </c>
      <c r="H3391" t="s">
        <v>4168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3221</v>
      </c>
      <c r="H3392" t="s">
        <v>4169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4128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4129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4136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4138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4137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4137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4129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4136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4138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4128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4137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4129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4136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4138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4128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4128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4137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4129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4136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4138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4128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4137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4129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4138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4136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4139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3282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4140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4329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4141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2994</v>
      </c>
      <c r="H3428" t="s">
        <v>4128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2994</v>
      </c>
      <c r="H3429" t="s">
        <v>4130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2994</v>
      </c>
      <c r="H3430" t="s">
        <v>4137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2994</v>
      </c>
      <c r="H3431" t="s">
        <v>4136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2994</v>
      </c>
      <c r="H3432" t="s">
        <v>4138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2994</v>
      </c>
      <c r="H3433" t="s">
        <v>4129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3030</v>
      </c>
      <c r="H3434" t="s">
        <v>4241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3030</v>
      </c>
      <c r="H3435" t="s">
        <v>4242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3160</v>
      </c>
      <c r="H3436" t="s">
        <v>4302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3160</v>
      </c>
      <c r="H3437" t="s">
        <v>4303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3160</v>
      </c>
      <c r="H3438" t="s">
        <v>4238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3160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3160</v>
      </c>
      <c r="H3440" t="s">
        <v>4304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3160</v>
      </c>
      <c r="H3441" t="s">
        <v>4305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3160</v>
      </c>
      <c r="H3442" t="s">
        <v>4200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3160</v>
      </c>
      <c r="H3443" t="s">
        <v>4306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3185</v>
      </c>
      <c r="H3444" t="s">
        <v>4301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3185</v>
      </c>
      <c r="H3445" t="s">
        <v>4302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3185</v>
      </c>
      <c r="H3446" t="s">
        <v>4303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3185</v>
      </c>
      <c r="H3447" t="s">
        <v>4238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3185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3185</v>
      </c>
      <c r="H3449" t="s">
        <v>4304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3185</v>
      </c>
      <c r="H3450" t="s">
        <v>4305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3185</v>
      </c>
      <c r="H3451" t="s">
        <v>4200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3185</v>
      </c>
      <c r="H3452" t="s">
        <v>4306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4128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4137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4129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4136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4138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4128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4137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4129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4136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4138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4128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4137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4129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4136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4138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4137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4129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4136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4138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4128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4128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4137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4129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4136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4138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4139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3282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4140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4141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4329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2995</v>
      </c>
      <c r="H3488" t="s">
        <v>4130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2995</v>
      </c>
      <c r="H3489" t="s">
        <v>4137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2995</v>
      </c>
      <c r="H3490" t="s">
        <v>4129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2995</v>
      </c>
      <c r="H3491" t="s">
        <v>4136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2995</v>
      </c>
      <c r="H3492" t="s">
        <v>4138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2995</v>
      </c>
      <c r="H3493" t="s">
        <v>4128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3031</v>
      </c>
      <c r="H3494" t="s">
        <v>4241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3031</v>
      </c>
      <c r="H3495" t="s">
        <v>4242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3161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3161</v>
      </c>
      <c r="H3497" t="s">
        <v>4304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3161</v>
      </c>
      <c r="H3498" t="s">
        <v>4305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3161</v>
      </c>
      <c r="H3499" t="s">
        <v>4200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3161</v>
      </c>
      <c r="H3500" t="s">
        <v>4306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3161</v>
      </c>
      <c r="H3501" t="s">
        <v>4238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3186</v>
      </c>
      <c r="H3502" t="s">
        <v>4301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3186</v>
      </c>
      <c r="H3503" t="s">
        <v>4302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3186</v>
      </c>
      <c r="H3504" t="s">
        <v>4303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3186</v>
      </c>
      <c r="H3505" t="s">
        <v>4238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3186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3186</v>
      </c>
      <c r="H3507" t="s">
        <v>4304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3186</v>
      </c>
      <c r="H3508" t="s">
        <v>4200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3186</v>
      </c>
      <c r="H3509" t="s">
        <v>4306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3186</v>
      </c>
      <c r="H3510" t="s">
        <v>4305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3201</v>
      </c>
      <c r="H3511" t="s">
        <v>4311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3201</v>
      </c>
      <c r="H3512" t="s">
        <v>4312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3201</v>
      </c>
      <c r="H3513" t="s">
        <v>4313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3201</v>
      </c>
      <c r="H3514" t="s">
        <v>4314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3201</v>
      </c>
      <c r="H3515" t="s">
        <v>4315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3201</v>
      </c>
      <c r="H3516" t="s">
        <v>4316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3201</v>
      </c>
      <c r="H3517" t="s">
        <v>4317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3201</v>
      </c>
      <c r="H3518" t="s">
        <v>4318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3201</v>
      </c>
      <c r="H3519" t="s">
        <v>4319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3201</v>
      </c>
      <c r="H3520" t="s">
        <v>4320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3201</v>
      </c>
      <c r="H3521" t="s">
        <v>4321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3201</v>
      </c>
      <c r="H3522" t="s">
        <v>4322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3201</v>
      </c>
      <c r="H3523" t="s">
        <v>4323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3201</v>
      </c>
      <c r="H3524" t="s">
        <v>4324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3201</v>
      </c>
      <c r="H3525" t="s">
        <v>4325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3201</v>
      </c>
      <c r="H3526" t="s">
        <v>4326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3201</v>
      </c>
      <c r="H3527" t="s">
        <v>4327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3201</v>
      </c>
      <c r="H3528" t="s">
        <v>4328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4128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4137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4129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4136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4138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4128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4137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4136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4138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4129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4128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4137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4136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4138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4129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4128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4137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4129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4136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4138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4128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4137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4129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4138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4136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4139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3282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4140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4329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4141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4128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4129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4136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4241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4242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4301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4302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4303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4238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4304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4305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4200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4306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4301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4302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4303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4238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4304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4200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4306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4305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4311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4312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4313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4314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4316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4317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4318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4319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4320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4321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4322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4323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4324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4325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4326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4327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4328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4154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4156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4155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4128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4137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4136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4138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4129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4128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4129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4136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4138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4137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4128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4137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4129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4136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4138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4157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4158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4160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4159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4308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4172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4307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4161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4162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4163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4164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4166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4167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4165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4168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4169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4170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4168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4169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4170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4294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4297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4295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4296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4168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4169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4170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4158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4157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4172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4171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4158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4157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4173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4174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4175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4190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4128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4129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4136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4138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4137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4128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4129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4136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4138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4137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4128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4137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4129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4136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4138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4191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4192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4194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4193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4128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4137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4136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4138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4129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4128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4137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4129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4136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4138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4160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4159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4159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4160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4358</v>
      </c>
      <c r="H3702" t="s">
        <v>4298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4358</v>
      </c>
      <c r="H3703" t="s">
        <v>4299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4358</v>
      </c>
      <c r="H3704" t="s">
        <v>4309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4309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4338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4174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4339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4340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4341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4343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4344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4345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4346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4342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4347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4348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4349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4350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4353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4354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4356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4355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4147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4142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4144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4195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4196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4145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4146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4143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4148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4149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4150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4151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4197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4152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4153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4198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4204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4203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4202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4200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4199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4201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4204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4202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4201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4200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4199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4203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4176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4177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4178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4179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4180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4181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4182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4183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4184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4185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4186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4187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4208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4209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4259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4213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4214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4215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4216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4217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4218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4219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4260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4263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4261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4264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4265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4220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4221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4267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4268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4269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4266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4222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4224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4225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4226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4227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4223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4228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4229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4230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4231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4233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4234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4235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4190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4236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4237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4238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4239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4240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4271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4248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4249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4171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4172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4300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4171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4172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4300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4276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4281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4278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4273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4280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4277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4275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4279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4284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4286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4283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4282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4285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4289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4287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4292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4290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4291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4288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4293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4330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4331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4332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4333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4334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4335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4336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4337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4168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4169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4128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4137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4129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4136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4138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4128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4129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4136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4138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4137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4128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4169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4168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4128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4137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4129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4136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4138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4359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4360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4361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4362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4359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4360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4361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4363</v>
      </c>
      <c r="D1" t="s">
        <v>2</v>
      </c>
      <c r="E1" t="s">
        <v>3</v>
      </c>
      <c r="F1" t="s">
        <v>4</v>
      </c>
      <c r="G1" t="s">
        <v>4364</v>
      </c>
      <c r="H1" t="s">
        <v>4365</v>
      </c>
      <c r="I1" t="s">
        <v>3271</v>
      </c>
      <c r="J1" t="s">
        <v>4366</v>
      </c>
      <c r="K1" t="s">
        <v>4367</v>
      </c>
      <c r="L1" t="s">
        <v>4368</v>
      </c>
    </row>
    <row r="2" spans="1:12" x14ac:dyDescent="0.3">
      <c r="A2">
        <v>68</v>
      </c>
      <c r="B2" t="s">
        <v>19</v>
      </c>
      <c r="C2" t="s">
        <v>4369</v>
      </c>
      <c r="D2" t="s">
        <v>20</v>
      </c>
      <c r="E2" t="s">
        <v>27</v>
      </c>
      <c r="F2" t="s">
        <v>22</v>
      </c>
      <c r="G2" t="s">
        <v>3267</v>
      </c>
      <c r="H2" t="s">
        <v>4370</v>
      </c>
      <c r="I2" t="s">
        <v>4371</v>
      </c>
      <c r="J2" t="s">
        <v>4372</v>
      </c>
      <c r="L2" t="s">
        <v>25</v>
      </c>
    </row>
    <row r="3" spans="1:12" x14ac:dyDescent="0.3">
      <c r="A3">
        <v>69</v>
      </c>
      <c r="B3" t="s">
        <v>34</v>
      </c>
      <c r="C3" t="s">
        <v>4369</v>
      </c>
      <c r="D3" t="s">
        <v>20</v>
      </c>
      <c r="E3" t="s">
        <v>21</v>
      </c>
      <c r="F3" t="s">
        <v>22</v>
      </c>
      <c r="G3" t="s">
        <v>3267</v>
      </c>
      <c r="H3" t="s">
        <v>4370</v>
      </c>
      <c r="I3" t="s">
        <v>4371</v>
      </c>
      <c r="J3" t="s">
        <v>4372</v>
      </c>
      <c r="L3" t="s">
        <v>25</v>
      </c>
    </row>
    <row r="4" spans="1:12" x14ac:dyDescent="0.3">
      <c r="A4">
        <v>73</v>
      </c>
      <c r="B4" t="s">
        <v>39</v>
      </c>
      <c r="C4" t="s">
        <v>4369</v>
      </c>
      <c r="D4" t="s">
        <v>40</v>
      </c>
      <c r="E4" t="s">
        <v>27</v>
      </c>
      <c r="F4" t="s">
        <v>41</v>
      </c>
      <c r="G4" t="s">
        <v>3267</v>
      </c>
      <c r="H4" t="s">
        <v>4370</v>
      </c>
      <c r="I4" t="s">
        <v>4371</v>
      </c>
      <c r="J4" t="s">
        <v>4372</v>
      </c>
      <c r="L4" t="s">
        <v>42</v>
      </c>
    </row>
    <row r="5" spans="1:12" x14ac:dyDescent="0.3">
      <c r="A5">
        <v>74</v>
      </c>
      <c r="B5" t="s">
        <v>47</v>
      </c>
      <c r="C5" t="s">
        <v>4369</v>
      </c>
      <c r="D5" t="s">
        <v>40</v>
      </c>
      <c r="E5" t="s">
        <v>27</v>
      </c>
      <c r="F5" t="s">
        <v>22</v>
      </c>
      <c r="G5" t="s">
        <v>3267</v>
      </c>
      <c r="H5" t="s">
        <v>4370</v>
      </c>
      <c r="I5" t="s">
        <v>4371</v>
      </c>
      <c r="J5" t="s">
        <v>4372</v>
      </c>
      <c r="L5" t="s">
        <v>25</v>
      </c>
    </row>
    <row r="6" spans="1:12" x14ac:dyDescent="0.3">
      <c r="A6">
        <v>77</v>
      </c>
      <c r="B6" t="s">
        <v>52</v>
      </c>
      <c r="C6" t="s">
        <v>4373</v>
      </c>
      <c r="D6" t="s">
        <v>53</v>
      </c>
      <c r="E6" t="s">
        <v>54</v>
      </c>
      <c r="F6" t="s">
        <v>22</v>
      </c>
      <c r="G6" t="s">
        <v>3267</v>
      </c>
      <c r="H6" t="s">
        <v>4370</v>
      </c>
      <c r="I6" t="s">
        <v>4371</v>
      </c>
      <c r="J6" t="s">
        <v>4372</v>
      </c>
      <c r="L6" t="s">
        <v>25</v>
      </c>
    </row>
    <row r="7" spans="1:12" x14ac:dyDescent="0.3">
      <c r="A7">
        <v>78</v>
      </c>
      <c r="B7" t="s">
        <v>62</v>
      </c>
      <c r="C7" t="s">
        <v>4373</v>
      </c>
      <c r="D7" t="s">
        <v>63</v>
      </c>
      <c r="E7" t="s">
        <v>64</v>
      </c>
      <c r="F7" t="s">
        <v>22</v>
      </c>
      <c r="H7" t="s">
        <v>4374</v>
      </c>
      <c r="I7" t="s">
        <v>4374</v>
      </c>
      <c r="J7" t="s">
        <v>4372</v>
      </c>
      <c r="L7" t="s">
        <v>25</v>
      </c>
    </row>
    <row r="8" spans="1:12" x14ac:dyDescent="0.3">
      <c r="A8">
        <v>79</v>
      </c>
      <c r="B8" t="s">
        <v>67</v>
      </c>
      <c r="C8" t="s">
        <v>4369</v>
      </c>
      <c r="D8" t="s">
        <v>63</v>
      </c>
      <c r="E8" t="s">
        <v>64</v>
      </c>
      <c r="F8" t="s">
        <v>22</v>
      </c>
      <c r="H8" t="s">
        <v>4374</v>
      </c>
      <c r="I8" t="s">
        <v>4374</v>
      </c>
      <c r="J8" t="s">
        <v>4372</v>
      </c>
      <c r="L8" t="s">
        <v>25</v>
      </c>
    </row>
    <row r="9" spans="1:12" x14ac:dyDescent="0.3">
      <c r="A9">
        <v>84</v>
      </c>
      <c r="B9" t="s">
        <v>69</v>
      </c>
      <c r="C9" t="s">
        <v>4373</v>
      </c>
      <c r="D9" t="s">
        <v>70</v>
      </c>
      <c r="E9" t="s">
        <v>71</v>
      </c>
      <c r="F9" t="s">
        <v>22</v>
      </c>
      <c r="G9" t="s">
        <v>3267</v>
      </c>
      <c r="H9" t="s">
        <v>4370</v>
      </c>
      <c r="I9" t="s">
        <v>4371</v>
      </c>
      <c r="J9" t="s">
        <v>4140</v>
      </c>
      <c r="L9" t="s">
        <v>25</v>
      </c>
    </row>
    <row r="10" spans="1:12" x14ac:dyDescent="0.3">
      <c r="A10">
        <v>85</v>
      </c>
      <c r="B10" t="s">
        <v>76</v>
      </c>
      <c r="C10" t="s">
        <v>4369</v>
      </c>
      <c r="D10" t="s">
        <v>70</v>
      </c>
      <c r="E10" t="s">
        <v>71</v>
      </c>
      <c r="F10" t="s">
        <v>22</v>
      </c>
      <c r="G10" t="s">
        <v>3267</v>
      </c>
      <c r="H10" t="s">
        <v>4370</v>
      </c>
      <c r="I10" t="s">
        <v>4371</v>
      </c>
      <c r="J10" t="s">
        <v>4140</v>
      </c>
      <c r="L10" t="s">
        <v>25</v>
      </c>
    </row>
    <row r="11" spans="1:12" x14ac:dyDescent="0.3">
      <c r="A11">
        <v>86</v>
      </c>
      <c r="B11" t="s">
        <v>81</v>
      </c>
      <c r="C11" t="s">
        <v>4373</v>
      </c>
      <c r="D11" t="s">
        <v>70</v>
      </c>
      <c r="E11" t="s">
        <v>27</v>
      </c>
      <c r="F11" t="s">
        <v>22</v>
      </c>
      <c r="G11" t="s">
        <v>3267</v>
      </c>
      <c r="H11" t="s">
        <v>4370</v>
      </c>
      <c r="I11" t="s">
        <v>4371</v>
      </c>
      <c r="J11" t="s">
        <v>4372</v>
      </c>
      <c r="L11" t="s">
        <v>25</v>
      </c>
    </row>
    <row r="12" spans="1:12" x14ac:dyDescent="0.3">
      <c r="A12">
        <v>87</v>
      </c>
      <c r="B12" t="s">
        <v>86</v>
      </c>
      <c r="C12" t="s">
        <v>4369</v>
      </c>
      <c r="D12" t="s">
        <v>70</v>
      </c>
      <c r="E12" t="s">
        <v>71</v>
      </c>
      <c r="F12" t="s">
        <v>22</v>
      </c>
      <c r="G12" t="s">
        <v>3267</v>
      </c>
      <c r="H12" t="s">
        <v>4370</v>
      </c>
      <c r="I12" t="s">
        <v>4371</v>
      </c>
      <c r="J12" t="s">
        <v>4140</v>
      </c>
      <c r="L12" t="s">
        <v>25</v>
      </c>
    </row>
    <row r="13" spans="1:12" x14ac:dyDescent="0.3">
      <c r="A13">
        <v>88</v>
      </c>
      <c r="B13" t="s">
        <v>91</v>
      </c>
      <c r="C13" t="s">
        <v>4369</v>
      </c>
      <c r="D13" t="s">
        <v>70</v>
      </c>
      <c r="E13" t="s">
        <v>71</v>
      </c>
      <c r="F13" t="s">
        <v>22</v>
      </c>
      <c r="G13" t="s">
        <v>3267</v>
      </c>
      <c r="H13" t="s">
        <v>4370</v>
      </c>
      <c r="I13" t="s">
        <v>4371</v>
      </c>
      <c r="J13" t="s">
        <v>4140</v>
      </c>
      <c r="L13" t="s">
        <v>25</v>
      </c>
    </row>
    <row r="14" spans="1:12" x14ac:dyDescent="0.3">
      <c r="A14">
        <v>89</v>
      </c>
      <c r="B14" t="s">
        <v>96</v>
      </c>
      <c r="C14" t="s">
        <v>4369</v>
      </c>
      <c r="D14" t="s">
        <v>70</v>
      </c>
      <c r="E14" t="s">
        <v>71</v>
      </c>
      <c r="F14" t="s">
        <v>22</v>
      </c>
      <c r="G14" t="s">
        <v>3267</v>
      </c>
      <c r="H14" t="s">
        <v>4370</v>
      </c>
      <c r="I14" t="s">
        <v>4371</v>
      </c>
      <c r="J14" t="s">
        <v>4140</v>
      </c>
      <c r="L14" t="s">
        <v>25</v>
      </c>
    </row>
    <row r="15" spans="1:12" x14ac:dyDescent="0.3">
      <c r="A15">
        <v>90</v>
      </c>
      <c r="B15" t="s">
        <v>101</v>
      </c>
      <c r="C15" t="s">
        <v>4369</v>
      </c>
      <c r="D15" t="s">
        <v>70</v>
      </c>
      <c r="E15" t="s">
        <v>71</v>
      </c>
      <c r="F15" t="s">
        <v>22</v>
      </c>
      <c r="G15" t="s">
        <v>3267</v>
      </c>
      <c r="H15" t="s">
        <v>4370</v>
      </c>
      <c r="I15" t="s">
        <v>4371</v>
      </c>
      <c r="J15" t="s">
        <v>4140</v>
      </c>
      <c r="L15" t="s">
        <v>25</v>
      </c>
    </row>
    <row r="16" spans="1:12" x14ac:dyDescent="0.3">
      <c r="A16">
        <v>91</v>
      </c>
      <c r="B16" t="s">
        <v>106</v>
      </c>
      <c r="C16" t="s">
        <v>4369</v>
      </c>
      <c r="D16" t="s">
        <v>70</v>
      </c>
      <c r="E16" t="s">
        <v>71</v>
      </c>
      <c r="F16" t="s">
        <v>22</v>
      </c>
      <c r="G16" t="s">
        <v>3267</v>
      </c>
      <c r="H16" t="s">
        <v>4370</v>
      </c>
      <c r="I16" t="s">
        <v>4371</v>
      </c>
      <c r="J16" t="s">
        <v>4140</v>
      </c>
      <c r="L16" t="s">
        <v>25</v>
      </c>
    </row>
    <row r="17" spans="1:12" x14ac:dyDescent="0.3">
      <c r="A17">
        <v>92</v>
      </c>
      <c r="B17" t="s">
        <v>111</v>
      </c>
      <c r="C17" t="s">
        <v>4369</v>
      </c>
      <c r="D17" t="s">
        <v>70</v>
      </c>
      <c r="E17" t="s">
        <v>71</v>
      </c>
      <c r="F17" t="s">
        <v>22</v>
      </c>
      <c r="G17" t="s">
        <v>3267</v>
      </c>
      <c r="H17" t="s">
        <v>4370</v>
      </c>
      <c r="I17" t="s">
        <v>4371</v>
      </c>
      <c r="J17" t="s">
        <v>4140</v>
      </c>
      <c r="L17" t="s">
        <v>25</v>
      </c>
    </row>
    <row r="18" spans="1:12" x14ac:dyDescent="0.3">
      <c r="A18">
        <v>94</v>
      </c>
      <c r="B18" t="s">
        <v>116</v>
      </c>
      <c r="C18" t="s">
        <v>4369</v>
      </c>
      <c r="D18" t="s">
        <v>70</v>
      </c>
      <c r="E18" t="s">
        <v>71</v>
      </c>
      <c r="F18" t="s">
        <v>22</v>
      </c>
      <c r="G18" t="s">
        <v>3267</v>
      </c>
      <c r="H18" t="s">
        <v>4370</v>
      </c>
      <c r="I18" t="s">
        <v>4371</v>
      </c>
      <c r="J18" t="s">
        <v>4140</v>
      </c>
      <c r="L18" t="s">
        <v>25</v>
      </c>
    </row>
    <row r="19" spans="1:12" x14ac:dyDescent="0.3">
      <c r="A19">
        <v>95</v>
      </c>
      <c r="B19" t="s">
        <v>121</v>
      </c>
      <c r="C19" t="s">
        <v>4369</v>
      </c>
      <c r="D19" t="s">
        <v>70</v>
      </c>
      <c r="E19" t="s">
        <v>27</v>
      </c>
      <c r="F19" t="s">
        <v>22</v>
      </c>
      <c r="G19" t="s">
        <v>3267</v>
      </c>
      <c r="H19" t="s">
        <v>4370</v>
      </c>
      <c r="I19" t="s">
        <v>4371</v>
      </c>
      <c r="J19" t="s">
        <v>4372</v>
      </c>
      <c r="L19" t="s">
        <v>25</v>
      </c>
    </row>
    <row r="20" spans="1:12" x14ac:dyDescent="0.3">
      <c r="A20">
        <v>96</v>
      </c>
      <c r="B20" t="s">
        <v>4375</v>
      </c>
      <c r="C20" t="s">
        <v>4369</v>
      </c>
      <c r="D20" t="s">
        <v>70</v>
      </c>
      <c r="E20" t="s">
        <v>71</v>
      </c>
      <c r="F20" t="s">
        <v>22</v>
      </c>
      <c r="H20" t="s">
        <v>4374</v>
      </c>
      <c r="I20" t="s">
        <v>4374</v>
      </c>
      <c r="J20" t="s">
        <v>4140</v>
      </c>
      <c r="L20" t="s">
        <v>128</v>
      </c>
    </row>
    <row r="21" spans="1:12" x14ac:dyDescent="0.3">
      <c r="A21">
        <v>100</v>
      </c>
      <c r="B21" t="s">
        <v>130</v>
      </c>
      <c r="C21" t="s">
        <v>4369</v>
      </c>
      <c r="D21" t="s">
        <v>70</v>
      </c>
      <c r="E21" t="s">
        <v>71</v>
      </c>
      <c r="F21" t="s">
        <v>22</v>
      </c>
      <c r="G21" t="s">
        <v>3267</v>
      </c>
      <c r="H21" t="s">
        <v>4370</v>
      </c>
      <c r="I21" t="s">
        <v>4371</v>
      </c>
      <c r="J21" t="s">
        <v>4140</v>
      </c>
      <c r="L21" t="s">
        <v>25</v>
      </c>
    </row>
    <row r="22" spans="1:12" x14ac:dyDescent="0.3">
      <c r="A22">
        <v>104</v>
      </c>
      <c r="B22" t="s">
        <v>135</v>
      </c>
      <c r="C22" t="s">
        <v>4369</v>
      </c>
      <c r="D22" t="s">
        <v>70</v>
      </c>
      <c r="E22" t="s">
        <v>71</v>
      </c>
      <c r="F22" t="s">
        <v>41</v>
      </c>
      <c r="G22" t="s">
        <v>3267</v>
      </c>
      <c r="H22" t="s">
        <v>4370</v>
      </c>
      <c r="I22" t="s">
        <v>4371</v>
      </c>
      <c r="J22" t="s">
        <v>4140</v>
      </c>
      <c r="L22" t="s">
        <v>136</v>
      </c>
    </row>
    <row r="23" spans="1:12" x14ac:dyDescent="0.3">
      <c r="A23">
        <v>106</v>
      </c>
      <c r="B23" t="s">
        <v>141</v>
      </c>
      <c r="C23" t="s">
        <v>4369</v>
      </c>
      <c r="D23" t="s">
        <v>70</v>
      </c>
      <c r="E23" t="s">
        <v>71</v>
      </c>
      <c r="F23" t="s">
        <v>41</v>
      </c>
      <c r="G23" t="s">
        <v>3267</v>
      </c>
      <c r="H23" t="s">
        <v>4370</v>
      </c>
      <c r="I23" t="s">
        <v>4371</v>
      </c>
      <c r="J23" t="s">
        <v>4140</v>
      </c>
      <c r="L23" t="s">
        <v>136</v>
      </c>
    </row>
    <row r="24" spans="1:12" x14ac:dyDescent="0.3">
      <c r="A24">
        <v>109</v>
      </c>
      <c r="B24" t="s">
        <v>146</v>
      </c>
      <c r="C24" t="s">
        <v>4373</v>
      </c>
      <c r="D24" t="s">
        <v>149</v>
      </c>
      <c r="E24" t="s">
        <v>71</v>
      </c>
      <c r="F24" t="s">
        <v>22</v>
      </c>
      <c r="G24" t="s">
        <v>3267</v>
      </c>
      <c r="H24" t="s">
        <v>4370</v>
      </c>
      <c r="I24" t="s">
        <v>4371</v>
      </c>
      <c r="J24" t="s">
        <v>4140</v>
      </c>
      <c r="L24" t="s">
        <v>25</v>
      </c>
    </row>
    <row r="25" spans="1:12" x14ac:dyDescent="0.3">
      <c r="A25">
        <v>110</v>
      </c>
      <c r="B25" t="s">
        <v>146</v>
      </c>
      <c r="C25" t="s">
        <v>4373</v>
      </c>
      <c r="D25" t="s">
        <v>3237</v>
      </c>
      <c r="E25" t="s">
        <v>71</v>
      </c>
      <c r="F25" t="s">
        <v>22</v>
      </c>
      <c r="H25" t="s">
        <v>4374</v>
      </c>
      <c r="I25" t="s">
        <v>4374</v>
      </c>
      <c r="J25" t="s">
        <v>4140</v>
      </c>
      <c r="L25" t="s">
        <v>25</v>
      </c>
    </row>
    <row r="26" spans="1:12" x14ac:dyDescent="0.3">
      <c r="A26">
        <v>111</v>
      </c>
      <c r="B26" t="s">
        <v>146</v>
      </c>
      <c r="C26" t="s">
        <v>4369</v>
      </c>
      <c r="D26" t="s">
        <v>20</v>
      </c>
      <c r="E26" t="s">
        <v>21</v>
      </c>
      <c r="F26" t="s">
        <v>22</v>
      </c>
      <c r="G26" t="s">
        <v>3267</v>
      </c>
      <c r="H26" t="s">
        <v>4370</v>
      </c>
      <c r="I26" t="s">
        <v>4371</v>
      </c>
      <c r="J26" t="s">
        <v>4372</v>
      </c>
      <c r="L26" t="s">
        <v>25</v>
      </c>
    </row>
    <row r="27" spans="1:12" x14ac:dyDescent="0.3">
      <c r="A27">
        <v>112</v>
      </c>
      <c r="B27" t="s">
        <v>146</v>
      </c>
      <c r="C27" t="s">
        <v>4373</v>
      </c>
      <c r="D27" t="s">
        <v>167</v>
      </c>
      <c r="E27" t="s">
        <v>71</v>
      </c>
      <c r="F27" t="s">
        <v>22</v>
      </c>
      <c r="G27" t="s">
        <v>3267</v>
      </c>
      <c r="H27" t="s">
        <v>4370</v>
      </c>
      <c r="I27" t="s">
        <v>4371</v>
      </c>
      <c r="J27" t="s">
        <v>4140</v>
      </c>
      <c r="L27" t="s">
        <v>25</v>
      </c>
    </row>
    <row r="28" spans="1:12" x14ac:dyDescent="0.3">
      <c r="A28">
        <v>113</v>
      </c>
      <c r="B28" t="s">
        <v>146</v>
      </c>
      <c r="C28" t="s">
        <v>4369</v>
      </c>
      <c r="D28" t="s">
        <v>40</v>
      </c>
      <c r="E28" t="s">
        <v>71</v>
      </c>
      <c r="F28" t="s">
        <v>22</v>
      </c>
      <c r="G28" t="s">
        <v>3267</v>
      </c>
      <c r="H28" t="s">
        <v>4370</v>
      </c>
      <c r="I28" t="s">
        <v>4371</v>
      </c>
      <c r="J28" t="s">
        <v>4140</v>
      </c>
      <c r="L28" t="s">
        <v>25</v>
      </c>
    </row>
    <row r="29" spans="1:12" x14ac:dyDescent="0.3">
      <c r="A29">
        <v>114</v>
      </c>
      <c r="B29" t="s">
        <v>146</v>
      </c>
      <c r="C29" t="s">
        <v>4373</v>
      </c>
      <c r="D29" t="s">
        <v>53</v>
      </c>
      <c r="E29" t="s">
        <v>71</v>
      </c>
      <c r="F29" t="s">
        <v>22</v>
      </c>
      <c r="G29" t="s">
        <v>3267</v>
      </c>
      <c r="H29" t="s">
        <v>4370</v>
      </c>
      <c r="I29" t="s">
        <v>4371</v>
      </c>
      <c r="J29" t="s">
        <v>4140</v>
      </c>
      <c r="L29" t="s">
        <v>25</v>
      </c>
    </row>
    <row r="30" spans="1:12" x14ac:dyDescent="0.3">
      <c r="A30">
        <v>115</v>
      </c>
      <c r="B30" t="s">
        <v>146</v>
      </c>
      <c r="C30" t="s">
        <v>4373</v>
      </c>
      <c r="D30" t="s">
        <v>70</v>
      </c>
      <c r="E30" t="s">
        <v>71</v>
      </c>
      <c r="F30" t="s">
        <v>22</v>
      </c>
      <c r="G30" t="s">
        <v>3267</v>
      </c>
      <c r="H30" t="s">
        <v>4370</v>
      </c>
      <c r="I30" t="s">
        <v>4371</v>
      </c>
      <c r="J30" t="s">
        <v>4140</v>
      </c>
      <c r="L30" t="s">
        <v>25</v>
      </c>
    </row>
    <row r="31" spans="1:12" x14ac:dyDescent="0.3">
      <c r="A31">
        <v>116</v>
      </c>
      <c r="B31" t="s">
        <v>146</v>
      </c>
      <c r="C31" t="s">
        <v>4373</v>
      </c>
      <c r="D31" t="s">
        <v>63</v>
      </c>
      <c r="E31" t="s">
        <v>71</v>
      </c>
      <c r="F31" t="s">
        <v>22</v>
      </c>
      <c r="G31" t="s">
        <v>3267</v>
      </c>
      <c r="H31" t="s">
        <v>4370</v>
      </c>
      <c r="I31" t="s">
        <v>4371</v>
      </c>
      <c r="J31" t="s">
        <v>4140</v>
      </c>
      <c r="L31" t="s">
        <v>25</v>
      </c>
    </row>
    <row r="32" spans="1:12" x14ac:dyDescent="0.3">
      <c r="A32">
        <v>117</v>
      </c>
      <c r="B32" t="s">
        <v>146</v>
      </c>
      <c r="C32" t="s">
        <v>4373</v>
      </c>
      <c r="D32" t="s">
        <v>190</v>
      </c>
      <c r="E32" t="s">
        <v>71</v>
      </c>
      <c r="F32" t="s">
        <v>22</v>
      </c>
      <c r="G32" t="s">
        <v>3267</v>
      </c>
      <c r="H32" t="s">
        <v>4370</v>
      </c>
      <c r="I32" t="s">
        <v>4371</v>
      </c>
      <c r="J32" t="s">
        <v>4140</v>
      </c>
      <c r="L32" t="s">
        <v>25</v>
      </c>
    </row>
    <row r="33" spans="1:12" x14ac:dyDescent="0.3">
      <c r="A33">
        <v>118</v>
      </c>
      <c r="B33" t="s">
        <v>195</v>
      </c>
      <c r="C33" t="s">
        <v>4373</v>
      </c>
      <c r="D33" t="s">
        <v>198</v>
      </c>
      <c r="E33" t="s">
        <v>71</v>
      </c>
      <c r="F33" t="s">
        <v>22</v>
      </c>
      <c r="G33" t="s">
        <v>3267</v>
      </c>
      <c r="H33" t="s">
        <v>4370</v>
      </c>
      <c r="I33" t="s">
        <v>4371</v>
      </c>
      <c r="J33" t="s">
        <v>4140</v>
      </c>
      <c r="L33" t="s">
        <v>25</v>
      </c>
    </row>
    <row r="34" spans="1:12" x14ac:dyDescent="0.3">
      <c r="A34">
        <v>121</v>
      </c>
      <c r="B34" t="s">
        <v>204</v>
      </c>
      <c r="C34" t="s">
        <v>4369</v>
      </c>
      <c r="D34" t="s">
        <v>40</v>
      </c>
      <c r="E34" t="s">
        <v>54</v>
      </c>
      <c r="F34" t="s">
        <v>41</v>
      </c>
      <c r="G34" t="s">
        <v>3267</v>
      </c>
      <c r="H34" t="s">
        <v>4370</v>
      </c>
      <c r="I34" t="s">
        <v>4371</v>
      </c>
      <c r="J34" t="s">
        <v>4140</v>
      </c>
      <c r="L34" t="s">
        <v>205</v>
      </c>
    </row>
    <row r="35" spans="1:12" x14ac:dyDescent="0.3">
      <c r="A35">
        <v>122</v>
      </c>
      <c r="B35" t="s">
        <v>212</v>
      </c>
      <c r="C35" t="s">
        <v>4369</v>
      </c>
      <c r="D35" t="s">
        <v>198</v>
      </c>
      <c r="E35" t="s">
        <v>54</v>
      </c>
      <c r="F35" t="s">
        <v>22</v>
      </c>
      <c r="G35" t="s">
        <v>3267</v>
      </c>
      <c r="H35" t="s">
        <v>4370</v>
      </c>
      <c r="I35" t="s">
        <v>4371</v>
      </c>
      <c r="J35" t="s">
        <v>4372</v>
      </c>
      <c r="L35" t="s">
        <v>25</v>
      </c>
    </row>
    <row r="36" spans="1:12" x14ac:dyDescent="0.3">
      <c r="A36">
        <v>124</v>
      </c>
      <c r="B36" t="s">
        <v>218</v>
      </c>
      <c r="C36" t="s">
        <v>4369</v>
      </c>
      <c r="D36" t="s">
        <v>70</v>
      </c>
      <c r="E36" t="s">
        <v>54</v>
      </c>
      <c r="F36" t="s">
        <v>41</v>
      </c>
      <c r="G36" t="s">
        <v>3267</v>
      </c>
      <c r="H36" t="s">
        <v>4370</v>
      </c>
      <c r="I36" t="s">
        <v>4371</v>
      </c>
      <c r="J36" t="s">
        <v>4372</v>
      </c>
      <c r="L36" t="s">
        <v>136</v>
      </c>
    </row>
    <row r="37" spans="1:12" x14ac:dyDescent="0.3">
      <c r="A37">
        <v>125</v>
      </c>
      <c r="B37" t="s">
        <v>224</v>
      </c>
      <c r="C37" t="s">
        <v>4369</v>
      </c>
      <c r="D37" t="s">
        <v>70</v>
      </c>
      <c r="E37" t="s">
        <v>54</v>
      </c>
      <c r="F37" t="s">
        <v>41</v>
      </c>
      <c r="G37" t="s">
        <v>3267</v>
      </c>
      <c r="H37" t="s">
        <v>4370</v>
      </c>
      <c r="I37" t="s">
        <v>4371</v>
      </c>
      <c r="J37" t="s">
        <v>4372</v>
      </c>
      <c r="L37" t="s">
        <v>136</v>
      </c>
    </row>
    <row r="38" spans="1:12" x14ac:dyDescent="0.3">
      <c r="A38">
        <v>126</v>
      </c>
      <c r="B38" t="s">
        <v>230</v>
      </c>
      <c r="C38" t="s">
        <v>4369</v>
      </c>
      <c r="D38" t="s">
        <v>70</v>
      </c>
      <c r="E38" t="s">
        <v>71</v>
      </c>
      <c r="F38" t="s">
        <v>41</v>
      </c>
      <c r="G38" t="s">
        <v>3267</v>
      </c>
      <c r="H38" t="s">
        <v>4370</v>
      </c>
      <c r="I38" t="s">
        <v>4371</v>
      </c>
      <c r="J38" t="s">
        <v>4140</v>
      </c>
      <c r="L38" t="s">
        <v>136</v>
      </c>
    </row>
    <row r="39" spans="1:12" x14ac:dyDescent="0.3">
      <c r="A39">
        <v>127</v>
      </c>
      <c r="B39" t="s">
        <v>235</v>
      </c>
      <c r="C39" t="s">
        <v>4369</v>
      </c>
      <c r="D39" t="s">
        <v>70</v>
      </c>
      <c r="E39" t="s">
        <v>71</v>
      </c>
      <c r="F39" t="s">
        <v>41</v>
      </c>
      <c r="G39" t="s">
        <v>3267</v>
      </c>
      <c r="H39" t="s">
        <v>4370</v>
      </c>
      <c r="I39" t="s">
        <v>4371</v>
      </c>
      <c r="J39" t="s">
        <v>4140</v>
      </c>
      <c r="L39" t="s">
        <v>136</v>
      </c>
    </row>
    <row r="40" spans="1:12" x14ac:dyDescent="0.3">
      <c r="A40">
        <v>128</v>
      </c>
      <c r="B40" t="s">
        <v>240</v>
      </c>
      <c r="C40" t="s">
        <v>4369</v>
      </c>
      <c r="D40" t="s">
        <v>70</v>
      </c>
      <c r="E40" t="s">
        <v>54</v>
      </c>
      <c r="F40" t="s">
        <v>41</v>
      </c>
      <c r="G40" t="s">
        <v>3267</v>
      </c>
      <c r="H40" t="s">
        <v>4370</v>
      </c>
      <c r="I40" t="s">
        <v>4371</v>
      </c>
      <c r="J40" t="s">
        <v>4372</v>
      </c>
      <c r="L40" t="s">
        <v>136</v>
      </c>
    </row>
    <row r="41" spans="1:12" x14ac:dyDescent="0.3">
      <c r="A41">
        <v>133</v>
      </c>
      <c r="B41" t="s">
        <v>146</v>
      </c>
      <c r="C41" t="s">
        <v>4373</v>
      </c>
      <c r="D41" t="s">
        <v>246</v>
      </c>
      <c r="E41" t="s">
        <v>71</v>
      </c>
      <c r="F41" t="s">
        <v>22</v>
      </c>
      <c r="G41" t="s">
        <v>3267</v>
      </c>
      <c r="H41" t="s">
        <v>4370</v>
      </c>
      <c r="I41" t="s">
        <v>4371</v>
      </c>
      <c r="J41" t="s">
        <v>4140</v>
      </c>
      <c r="L41" t="s">
        <v>25</v>
      </c>
    </row>
    <row r="42" spans="1:12" x14ac:dyDescent="0.3">
      <c r="A42">
        <v>136</v>
      </c>
      <c r="B42" t="s">
        <v>253</v>
      </c>
      <c r="C42" t="s">
        <v>4369</v>
      </c>
      <c r="D42" t="s">
        <v>254</v>
      </c>
      <c r="E42" t="s">
        <v>27</v>
      </c>
      <c r="F42" t="s">
        <v>22</v>
      </c>
      <c r="H42" t="s">
        <v>4374</v>
      </c>
      <c r="I42" t="s">
        <v>4374</v>
      </c>
      <c r="J42" t="s">
        <v>4372</v>
      </c>
      <c r="L42" t="s">
        <v>25</v>
      </c>
    </row>
    <row r="43" spans="1:12" x14ac:dyDescent="0.3">
      <c r="A43">
        <v>137</v>
      </c>
      <c r="B43" t="s">
        <v>256</v>
      </c>
      <c r="C43" t="s">
        <v>4369</v>
      </c>
      <c r="D43" t="s">
        <v>254</v>
      </c>
      <c r="E43" t="s">
        <v>21</v>
      </c>
      <c r="F43" t="s">
        <v>22</v>
      </c>
      <c r="H43" t="s">
        <v>4374</v>
      </c>
      <c r="I43" t="s">
        <v>4374</v>
      </c>
      <c r="J43" t="s">
        <v>4372</v>
      </c>
      <c r="L43" t="s">
        <v>128</v>
      </c>
    </row>
    <row r="44" spans="1:12" x14ac:dyDescent="0.3">
      <c r="A44">
        <v>139</v>
      </c>
      <c r="B44" t="s">
        <v>258</v>
      </c>
      <c r="C44" t="s">
        <v>4369</v>
      </c>
      <c r="D44" t="s">
        <v>254</v>
      </c>
      <c r="E44" t="s">
        <v>54</v>
      </c>
      <c r="F44" t="s">
        <v>41</v>
      </c>
      <c r="H44" t="s">
        <v>4374</v>
      </c>
      <c r="I44" t="s">
        <v>4374</v>
      </c>
      <c r="J44" t="s">
        <v>4140</v>
      </c>
      <c r="L44" t="s">
        <v>205</v>
      </c>
    </row>
    <row r="45" spans="1:12" x14ac:dyDescent="0.3">
      <c r="A45">
        <v>143</v>
      </c>
      <c r="B45" t="s">
        <v>262</v>
      </c>
      <c r="C45" t="s">
        <v>4369</v>
      </c>
      <c r="D45" t="s">
        <v>127</v>
      </c>
      <c r="E45" t="s">
        <v>27</v>
      </c>
      <c r="F45" t="s">
        <v>22</v>
      </c>
      <c r="G45" t="s">
        <v>3267</v>
      </c>
      <c r="H45" t="s">
        <v>4370</v>
      </c>
      <c r="I45" t="s">
        <v>4371</v>
      </c>
      <c r="J45" t="s">
        <v>4372</v>
      </c>
      <c r="L45" t="s">
        <v>128</v>
      </c>
    </row>
    <row r="46" spans="1:12" x14ac:dyDescent="0.3">
      <c r="A46">
        <v>144</v>
      </c>
      <c r="B46" t="s">
        <v>268</v>
      </c>
      <c r="C46" t="s">
        <v>4373</v>
      </c>
      <c r="D46" t="s">
        <v>127</v>
      </c>
      <c r="E46" t="s">
        <v>71</v>
      </c>
      <c r="F46" t="s">
        <v>22</v>
      </c>
      <c r="G46" t="s">
        <v>3267</v>
      </c>
      <c r="H46" t="s">
        <v>4370</v>
      </c>
      <c r="I46" t="s">
        <v>4371</v>
      </c>
      <c r="J46" t="s">
        <v>4140</v>
      </c>
      <c r="L46" t="s">
        <v>136</v>
      </c>
    </row>
    <row r="47" spans="1:12" x14ac:dyDescent="0.3">
      <c r="A47">
        <v>145</v>
      </c>
      <c r="B47" t="s">
        <v>273</v>
      </c>
      <c r="C47" t="s">
        <v>4373</v>
      </c>
      <c r="D47" t="s">
        <v>274</v>
      </c>
      <c r="E47" t="s">
        <v>27</v>
      </c>
      <c r="F47" t="s">
        <v>22</v>
      </c>
      <c r="G47" t="s">
        <v>3267</v>
      </c>
      <c r="H47" t="s">
        <v>4370</v>
      </c>
      <c r="I47" t="s">
        <v>4371</v>
      </c>
      <c r="J47" t="s">
        <v>4372</v>
      </c>
      <c r="L47" t="s">
        <v>128</v>
      </c>
    </row>
    <row r="48" spans="1:12" x14ac:dyDescent="0.3">
      <c r="A48">
        <v>146</v>
      </c>
      <c r="B48" t="s">
        <v>279</v>
      </c>
      <c r="C48" t="s">
        <v>4373</v>
      </c>
      <c r="D48" t="s">
        <v>127</v>
      </c>
      <c r="E48" t="s">
        <v>27</v>
      </c>
      <c r="F48" t="s">
        <v>22</v>
      </c>
      <c r="G48" t="s">
        <v>3267</v>
      </c>
      <c r="H48" t="s">
        <v>4370</v>
      </c>
      <c r="I48" t="s">
        <v>4371</v>
      </c>
      <c r="J48" t="s">
        <v>4372</v>
      </c>
      <c r="L48" t="s">
        <v>128</v>
      </c>
    </row>
    <row r="49" spans="1:12" x14ac:dyDescent="0.3">
      <c r="A49">
        <v>147</v>
      </c>
      <c r="B49" t="s">
        <v>284</v>
      </c>
      <c r="C49" t="s">
        <v>4369</v>
      </c>
      <c r="D49" t="s">
        <v>127</v>
      </c>
      <c r="E49" t="s">
        <v>71</v>
      </c>
      <c r="F49" t="s">
        <v>22</v>
      </c>
      <c r="G49" t="s">
        <v>3267</v>
      </c>
      <c r="H49" t="s">
        <v>4370</v>
      </c>
      <c r="I49" t="s">
        <v>4371</v>
      </c>
      <c r="J49" t="s">
        <v>4140</v>
      </c>
      <c r="L49" t="s">
        <v>128</v>
      </c>
    </row>
    <row r="50" spans="1:12" x14ac:dyDescent="0.3">
      <c r="A50">
        <v>148</v>
      </c>
      <c r="B50" t="s">
        <v>289</v>
      </c>
      <c r="C50" t="s">
        <v>4373</v>
      </c>
      <c r="D50" t="s">
        <v>274</v>
      </c>
      <c r="E50" t="s">
        <v>27</v>
      </c>
      <c r="F50" t="s">
        <v>22</v>
      </c>
      <c r="G50" t="s">
        <v>3267</v>
      </c>
      <c r="H50" t="s">
        <v>4370</v>
      </c>
      <c r="I50" t="s">
        <v>4371</v>
      </c>
      <c r="J50" t="s">
        <v>4372</v>
      </c>
      <c r="L50" t="s">
        <v>25</v>
      </c>
    </row>
    <row r="51" spans="1:12" x14ac:dyDescent="0.3">
      <c r="A51">
        <v>150</v>
      </c>
      <c r="B51" t="s">
        <v>295</v>
      </c>
      <c r="C51" t="s">
        <v>4373</v>
      </c>
      <c r="D51" t="s">
        <v>127</v>
      </c>
      <c r="E51" t="s">
        <v>71</v>
      </c>
      <c r="F51" t="s">
        <v>22</v>
      </c>
      <c r="G51" t="s">
        <v>3267</v>
      </c>
      <c r="H51" t="s">
        <v>4370</v>
      </c>
      <c r="I51" t="s">
        <v>4371</v>
      </c>
      <c r="J51" t="s">
        <v>4140</v>
      </c>
      <c r="L51" t="s">
        <v>25</v>
      </c>
    </row>
    <row r="52" spans="1:12" x14ac:dyDescent="0.3">
      <c r="A52">
        <v>151</v>
      </c>
      <c r="B52" t="s">
        <v>146</v>
      </c>
      <c r="C52" t="s">
        <v>4373</v>
      </c>
      <c r="D52" t="s">
        <v>254</v>
      </c>
      <c r="E52" t="s">
        <v>71</v>
      </c>
      <c r="F52" t="s">
        <v>22</v>
      </c>
      <c r="G52" t="s">
        <v>3267</v>
      </c>
      <c r="H52" t="s">
        <v>4370</v>
      </c>
      <c r="I52" t="s">
        <v>4371</v>
      </c>
      <c r="J52" t="s">
        <v>4140</v>
      </c>
      <c r="L52" t="s">
        <v>25</v>
      </c>
    </row>
    <row r="53" spans="1:12" x14ac:dyDescent="0.3">
      <c r="A53">
        <v>157</v>
      </c>
      <c r="B53" t="s">
        <v>307</v>
      </c>
      <c r="C53" t="s">
        <v>4373</v>
      </c>
      <c r="D53" t="s">
        <v>308</v>
      </c>
      <c r="E53" t="s">
        <v>71</v>
      </c>
      <c r="F53" t="s">
        <v>22</v>
      </c>
      <c r="H53" t="s">
        <v>4374</v>
      </c>
      <c r="I53" t="s">
        <v>4374</v>
      </c>
      <c r="J53" t="s">
        <v>4140</v>
      </c>
      <c r="L53" t="s">
        <v>128</v>
      </c>
    </row>
    <row r="54" spans="1:12" x14ac:dyDescent="0.3">
      <c r="A54">
        <v>159</v>
      </c>
      <c r="B54" t="s">
        <v>146</v>
      </c>
      <c r="C54" t="s">
        <v>4373</v>
      </c>
      <c r="D54" t="s">
        <v>308</v>
      </c>
      <c r="E54" t="s">
        <v>27</v>
      </c>
      <c r="F54" t="s">
        <v>22</v>
      </c>
      <c r="G54" t="s">
        <v>3267</v>
      </c>
      <c r="H54" t="s">
        <v>4370</v>
      </c>
      <c r="I54" t="s">
        <v>4371</v>
      </c>
      <c r="J54" t="s">
        <v>4372</v>
      </c>
      <c r="L54" t="s">
        <v>25</v>
      </c>
    </row>
    <row r="55" spans="1:12" x14ac:dyDescent="0.3">
      <c r="A55">
        <v>167</v>
      </c>
      <c r="B55" t="s">
        <v>315</v>
      </c>
      <c r="C55" t="s">
        <v>4369</v>
      </c>
      <c r="D55" t="s">
        <v>40</v>
      </c>
      <c r="E55" t="s">
        <v>27</v>
      </c>
      <c r="F55" t="s">
        <v>22</v>
      </c>
      <c r="G55" t="s">
        <v>3267</v>
      </c>
      <c r="H55" t="s">
        <v>4370</v>
      </c>
      <c r="I55" t="s">
        <v>4371</v>
      </c>
      <c r="J55" t="s">
        <v>4372</v>
      </c>
      <c r="L55" t="s">
        <v>25</v>
      </c>
    </row>
    <row r="56" spans="1:12" x14ac:dyDescent="0.3">
      <c r="A56">
        <v>172</v>
      </c>
      <c r="B56" t="s">
        <v>320</v>
      </c>
      <c r="C56" t="s">
        <v>4369</v>
      </c>
      <c r="D56" t="s">
        <v>198</v>
      </c>
      <c r="E56" t="s">
        <v>54</v>
      </c>
      <c r="F56" t="s">
        <v>22</v>
      </c>
      <c r="G56" t="s">
        <v>3267</v>
      </c>
      <c r="H56" t="s">
        <v>4370</v>
      </c>
      <c r="I56" t="s">
        <v>4371</v>
      </c>
      <c r="J56" t="s">
        <v>4372</v>
      </c>
      <c r="L56" t="s">
        <v>25</v>
      </c>
    </row>
    <row r="57" spans="1:12" x14ac:dyDescent="0.3">
      <c r="A57">
        <v>174</v>
      </c>
      <c r="B57" t="s">
        <v>326</v>
      </c>
      <c r="C57" t="s">
        <v>4369</v>
      </c>
      <c r="D57" t="s">
        <v>198</v>
      </c>
      <c r="E57" t="s">
        <v>27</v>
      </c>
      <c r="F57" t="s">
        <v>22</v>
      </c>
      <c r="H57" t="s">
        <v>4374</v>
      </c>
      <c r="I57" t="s">
        <v>4374</v>
      </c>
      <c r="J57" t="s">
        <v>4140</v>
      </c>
      <c r="L57" t="s">
        <v>25</v>
      </c>
    </row>
    <row r="58" spans="1:12" x14ac:dyDescent="0.3">
      <c r="A58">
        <v>176</v>
      </c>
      <c r="B58" t="s">
        <v>329</v>
      </c>
      <c r="C58" t="s">
        <v>4369</v>
      </c>
      <c r="D58" t="s">
        <v>198</v>
      </c>
      <c r="E58" t="s">
        <v>54</v>
      </c>
      <c r="F58" t="s">
        <v>22</v>
      </c>
      <c r="H58" t="s">
        <v>4374</v>
      </c>
      <c r="I58" t="s">
        <v>4374</v>
      </c>
      <c r="J58" t="s">
        <v>4372</v>
      </c>
      <c r="L58" t="s">
        <v>25</v>
      </c>
    </row>
    <row r="59" spans="1:12" x14ac:dyDescent="0.3">
      <c r="A59">
        <v>193</v>
      </c>
      <c r="B59" t="s">
        <v>1965</v>
      </c>
      <c r="C59" t="s">
        <v>4373</v>
      </c>
      <c r="D59" t="s">
        <v>333</v>
      </c>
      <c r="E59" t="s">
        <v>27</v>
      </c>
      <c r="F59" t="s">
        <v>22</v>
      </c>
      <c r="G59" t="s">
        <v>3267</v>
      </c>
      <c r="H59" t="s">
        <v>4370</v>
      </c>
      <c r="I59" t="s">
        <v>4371</v>
      </c>
      <c r="J59" t="s">
        <v>4372</v>
      </c>
      <c r="L59" t="s">
        <v>25</v>
      </c>
    </row>
    <row r="60" spans="1:12" x14ac:dyDescent="0.3">
      <c r="A60">
        <v>194</v>
      </c>
      <c r="B60" t="s">
        <v>338</v>
      </c>
      <c r="C60" t="s">
        <v>4373</v>
      </c>
      <c r="D60" t="s">
        <v>333</v>
      </c>
      <c r="E60" t="s">
        <v>27</v>
      </c>
      <c r="F60" t="s">
        <v>22</v>
      </c>
      <c r="H60" t="s">
        <v>4374</v>
      </c>
      <c r="I60" t="s">
        <v>4374</v>
      </c>
      <c r="J60" t="s">
        <v>4140</v>
      </c>
      <c r="L60" t="s">
        <v>25</v>
      </c>
    </row>
    <row r="61" spans="1:12" x14ac:dyDescent="0.3">
      <c r="A61">
        <v>195</v>
      </c>
      <c r="B61" t="s">
        <v>1969</v>
      </c>
      <c r="C61" t="s">
        <v>4373</v>
      </c>
      <c r="D61" t="s">
        <v>333</v>
      </c>
      <c r="E61" t="s">
        <v>27</v>
      </c>
      <c r="F61" t="s">
        <v>22</v>
      </c>
      <c r="H61" t="s">
        <v>4374</v>
      </c>
      <c r="I61" t="s">
        <v>4374</v>
      </c>
      <c r="J61" t="s">
        <v>4372</v>
      </c>
      <c r="L61" t="s">
        <v>128</v>
      </c>
    </row>
    <row r="62" spans="1:12" x14ac:dyDescent="0.3">
      <c r="A62">
        <v>196</v>
      </c>
      <c r="B62" t="s">
        <v>342</v>
      </c>
      <c r="C62" t="s">
        <v>4373</v>
      </c>
      <c r="D62" t="s">
        <v>333</v>
      </c>
      <c r="E62" t="s">
        <v>27</v>
      </c>
      <c r="F62" t="s">
        <v>41</v>
      </c>
      <c r="H62" t="s">
        <v>4374</v>
      </c>
      <c r="I62" t="s">
        <v>4374</v>
      </c>
      <c r="J62" t="s">
        <v>4140</v>
      </c>
      <c r="L62" t="s">
        <v>25</v>
      </c>
    </row>
    <row r="63" spans="1:12" x14ac:dyDescent="0.3">
      <c r="A63">
        <v>197</v>
      </c>
      <c r="B63" t="s">
        <v>344</v>
      </c>
      <c r="C63" t="s">
        <v>4373</v>
      </c>
      <c r="D63" t="s">
        <v>167</v>
      </c>
      <c r="E63" t="s">
        <v>21</v>
      </c>
      <c r="F63" t="s">
        <v>22</v>
      </c>
      <c r="G63" t="s">
        <v>3267</v>
      </c>
      <c r="H63" t="s">
        <v>4370</v>
      </c>
      <c r="I63" t="s">
        <v>4371</v>
      </c>
      <c r="J63" t="s">
        <v>4372</v>
      </c>
      <c r="L63" t="s">
        <v>25</v>
      </c>
    </row>
    <row r="64" spans="1:12" x14ac:dyDescent="0.3">
      <c r="A64">
        <v>199</v>
      </c>
      <c r="B64" t="s">
        <v>349</v>
      </c>
      <c r="C64" t="s">
        <v>4369</v>
      </c>
      <c r="D64" t="s">
        <v>40</v>
      </c>
      <c r="E64" t="s">
        <v>27</v>
      </c>
      <c r="F64" t="s">
        <v>22</v>
      </c>
      <c r="G64" t="s">
        <v>3267</v>
      </c>
      <c r="H64" t="s">
        <v>4370</v>
      </c>
      <c r="I64" t="s">
        <v>4371</v>
      </c>
      <c r="J64" t="s">
        <v>4372</v>
      </c>
      <c r="L64" t="s">
        <v>25</v>
      </c>
    </row>
    <row r="65" spans="1:12" x14ac:dyDescent="0.3">
      <c r="A65">
        <v>200</v>
      </c>
      <c r="B65" t="s">
        <v>353</v>
      </c>
      <c r="C65" t="s">
        <v>4373</v>
      </c>
      <c r="D65" t="s">
        <v>40</v>
      </c>
      <c r="E65" t="s">
        <v>71</v>
      </c>
      <c r="F65" t="s">
        <v>22</v>
      </c>
      <c r="G65" t="s">
        <v>3267</v>
      </c>
      <c r="H65" t="s">
        <v>4370</v>
      </c>
      <c r="I65" t="s">
        <v>4371</v>
      </c>
      <c r="J65" t="s">
        <v>4140</v>
      </c>
      <c r="L65" t="s">
        <v>25</v>
      </c>
    </row>
    <row r="66" spans="1:12" x14ac:dyDescent="0.3">
      <c r="A66">
        <v>202</v>
      </c>
      <c r="B66" t="s">
        <v>359</v>
      </c>
      <c r="C66" t="s">
        <v>4373</v>
      </c>
      <c r="D66" t="s">
        <v>40</v>
      </c>
      <c r="E66" t="s">
        <v>71</v>
      </c>
      <c r="F66" t="s">
        <v>22</v>
      </c>
      <c r="G66" t="s">
        <v>3267</v>
      </c>
      <c r="H66" t="s">
        <v>4370</v>
      </c>
      <c r="I66" t="s">
        <v>4371</v>
      </c>
      <c r="J66" t="s">
        <v>4140</v>
      </c>
      <c r="L66" t="s">
        <v>136</v>
      </c>
    </row>
    <row r="67" spans="1:12" x14ac:dyDescent="0.3">
      <c r="A67">
        <v>203</v>
      </c>
      <c r="B67" t="s">
        <v>363</v>
      </c>
      <c r="C67" t="s">
        <v>4373</v>
      </c>
      <c r="D67" t="s">
        <v>159</v>
      </c>
      <c r="E67" t="s">
        <v>27</v>
      </c>
      <c r="F67" t="s">
        <v>22</v>
      </c>
      <c r="G67" t="s">
        <v>3268</v>
      </c>
      <c r="H67" t="s">
        <v>4370</v>
      </c>
      <c r="I67" t="s">
        <v>4371</v>
      </c>
      <c r="J67" t="s">
        <v>4140</v>
      </c>
      <c r="L67" t="s">
        <v>205</v>
      </c>
    </row>
    <row r="68" spans="1:12" x14ac:dyDescent="0.3">
      <c r="A68">
        <v>204</v>
      </c>
      <c r="B68" t="s">
        <v>368</v>
      </c>
      <c r="C68" t="s">
        <v>4373</v>
      </c>
      <c r="D68" t="s">
        <v>159</v>
      </c>
      <c r="E68" t="s">
        <v>27</v>
      </c>
      <c r="F68" t="s">
        <v>22</v>
      </c>
      <c r="G68" t="s">
        <v>3267</v>
      </c>
      <c r="H68" t="s">
        <v>4370</v>
      </c>
      <c r="I68" t="s">
        <v>4371</v>
      </c>
      <c r="J68" t="s">
        <v>4140</v>
      </c>
      <c r="L68" t="s">
        <v>205</v>
      </c>
    </row>
    <row r="69" spans="1:12" x14ac:dyDescent="0.3">
      <c r="A69">
        <v>205</v>
      </c>
      <c r="B69" t="s">
        <v>373</v>
      </c>
      <c r="C69" t="s">
        <v>4373</v>
      </c>
      <c r="D69" t="s">
        <v>159</v>
      </c>
      <c r="E69" t="s">
        <v>27</v>
      </c>
      <c r="F69" t="s">
        <v>22</v>
      </c>
      <c r="G69" t="s">
        <v>3267</v>
      </c>
      <c r="H69" t="s">
        <v>4370</v>
      </c>
      <c r="I69" t="s">
        <v>4371</v>
      </c>
      <c r="J69" t="s">
        <v>4140</v>
      </c>
      <c r="L69" t="s">
        <v>205</v>
      </c>
    </row>
    <row r="70" spans="1:12" x14ac:dyDescent="0.3">
      <c r="A70">
        <v>206</v>
      </c>
      <c r="B70" t="s">
        <v>381</v>
      </c>
      <c r="C70" t="s">
        <v>4373</v>
      </c>
      <c r="D70" t="s">
        <v>159</v>
      </c>
      <c r="E70" t="s">
        <v>71</v>
      </c>
      <c r="F70" t="s">
        <v>22</v>
      </c>
      <c r="G70" t="s">
        <v>3267</v>
      </c>
      <c r="H70" t="s">
        <v>4370</v>
      </c>
      <c r="I70" t="s">
        <v>4371</v>
      </c>
      <c r="J70" t="s">
        <v>4140</v>
      </c>
      <c r="L70" t="s">
        <v>25</v>
      </c>
    </row>
    <row r="71" spans="1:12" x14ac:dyDescent="0.3">
      <c r="A71">
        <v>207</v>
      </c>
      <c r="B71" t="s">
        <v>383</v>
      </c>
      <c r="C71" t="s">
        <v>4373</v>
      </c>
      <c r="D71" t="s">
        <v>159</v>
      </c>
      <c r="E71" t="s">
        <v>27</v>
      </c>
      <c r="F71" t="s">
        <v>41</v>
      </c>
      <c r="G71" t="s">
        <v>3267</v>
      </c>
      <c r="H71" t="s">
        <v>4370</v>
      </c>
      <c r="I71" t="s">
        <v>4371</v>
      </c>
      <c r="J71" t="s">
        <v>4140</v>
      </c>
      <c r="L71" t="s">
        <v>205</v>
      </c>
    </row>
    <row r="72" spans="1:12" x14ac:dyDescent="0.3">
      <c r="A72">
        <v>208</v>
      </c>
      <c r="B72" t="s">
        <v>387</v>
      </c>
      <c r="C72" t="s">
        <v>4369</v>
      </c>
      <c r="D72" t="s">
        <v>190</v>
      </c>
      <c r="E72" t="s">
        <v>54</v>
      </c>
      <c r="F72" t="s">
        <v>41</v>
      </c>
      <c r="G72" t="s">
        <v>3268</v>
      </c>
      <c r="H72" t="s">
        <v>4370</v>
      </c>
      <c r="I72" t="s">
        <v>4371</v>
      </c>
      <c r="J72" t="s">
        <v>4372</v>
      </c>
      <c r="L72" t="s">
        <v>388</v>
      </c>
    </row>
    <row r="73" spans="1:12" x14ac:dyDescent="0.3">
      <c r="A73">
        <v>213</v>
      </c>
      <c r="B73" t="s">
        <v>397</v>
      </c>
      <c r="C73" t="s">
        <v>4373</v>
      </c>
      <c r="D73" t="s">
        <v>190</v>
      </c>
      <c r="E73" t="s">
        <v>21</v>
      </c>
      <c r="F73" t="s">
        <v>22</v>
      </c>
      <c r="G73" t="s">
        <v>3268</v>
      </c>
      <c r="H73" t="s">
        <v>4370</v>
      </c>
      <c r="I73" t="s">
        <v>4371</v>
      </c>
      <c r="J73" t="s">
        <v>4140</v>
      </c>
      <c r="L73" t="s">
        <v>25</v>
      </c>
    </row>
    <row r="74" spans="1:12" x14ac:dyDescent="0.3">
      <c r="A74">
        <v>214</v>
      </c>
      <c r="B74" t="s">
        <v>402</v>
      </c>
      <c r="C74" t="s">
        <v>4369</v>
      </c>
      <c r="D74" t="s">
        <v>190</v>
      </c>
      <c r="E74" t="s">
        <v>54</v>
      </c>
      <c r="F74" t="s">
        <v>41</v>
      </c>
      <c r="G74" t="s">
        <v>3268</v>
      </c>
      <c r="H74" t="s">
        <v>4370</v>
      </c>
      <c r="I74" t="s">
        <v>4371</v>
      </c>
      <c r="J74" t="s">
        <v>4376</v>
      </c>
      <c r="L74" t="s">
        <v>403</v>
      </c>
    </row>
    <row r="75" spans="1:12" x14ac:dyDescent="0.3">
      <c r="A75">
        <v>215</v>
      </c>
      <c r="B75" t="s">
        <v>409</v>
      </c>
      <c r="C75" t="s">
        <v>4369</v>
      </c>
      <c r="D75" t="s">
        <v>190</v>
      </c>
      <c r="E75" t="s">
        <v>27</v>
      </c>
      <c r="F75" t="s">
        <v>22</v>
      </c>
      <c r="G75" t="s">
        <v>3268</v>
      </c>
      <c r="H75" t="s">
        <v>4370</v>
      </c>
      <c r="I75" t="s">
        <v>4371</v>
      </c>
      <c r="J75" t="s">
        <v>4372</v>
      </c>
      <c r="L75" t="s">
        <v>25</v>
      </c>
    </row>
    <row r="76" spans="1:12" x14ac:dyDescent="0.3">
      <c r="A76">
        <v>216</v>
      </c>
      <c r="B76" t="s">
        <v>414</v>
      </c>
      <c r="C76" t="s">
        <v>4373</v>
      </c>
      <c r="D76" t="s">
        <v>190</v>
      </c>
      <c r="E76" t="s">
        <v>71</v>
      </c>
      <c r="F76" t="s">
        <v>22</v>
      </c>
      <c r="G76" t="s">
        <v>3268</v>
      </c>
      <c r="H76" t="s">
        <v>4370</v>
      </c>
      <c r="I76" t="s">
        <v>4371</v>
      </c>
      <c r="J76" t="s">
        <v>4372</v>
      </c>
      <c r="L76" t="s">
        <v>25</v>
      </c>
    </row>
    <row r="77" spans="1:12" x14ac:dyDescent="0.3">
      <c r="A77">
        <v>217</v>
      </c>
      <c r="B77" t="s">
        <v>419</v>
      </c>
      <c r="C77" t="s">
        <v>4373</v>
      </c>
      <c r="D77" t="s">
        <v>190</v>
      </c>
      <c r="E77" t="s">
        <v>54</v>
      </c>
      <c r="F77" t="s">
        <v>22</v>
      </c>
      <c r="G77" t="s">
        <v>3268</v>
      </c>
      <c r="H77" t="s">
        <v>4370</v>
      </c>
      <c r="I77" t="s">
        <v>4371</v>
      </c>
      <c r="J77" t="s">
        <v>4376</v>
      </c>
      <c r="L77" t="s">
        <v>25</v>
      </c>
    </row>
    <row r="78" spans="1:12" x14ac:dyDescent="0.3">
      <c r="A78">
        <v>218</v>
      </c>
      <c r="B78" t="s">
        <v>423</v>
      </c>
      <c r="C78" t="s">
        <v>4369</v>
      </c>
      <c r="D78" t="s">
        <v>190</v>
      </c>
      <c r="E78" t="s">
        <v>54</v>
      </c>
      <c r="F78" t="s">
        <v>41</v>
      </c>
      <c r="G78" t="s">
        <v>3268</v>
      </c>
      <c r="H78" t="s">
        <v>4370</v>
      </c>
      <c r="I78" t="s">
        <v>4371</v>
      </c>
      <c r="J78" t="s">
        <v>4376</v>
      </c>
      <c r="L78" t="s">
        <v>424</v>
      </c>
    </row>
    <row r="79" spans="1:12" x14ac:dyDescent="0.3">
      <c r="A79">
        <v>219</v>
      </c>
      <c r="B79" t="s">
        <v>430</v>
      </c>
      <c r="C79" t="s">
        <v>4369</v>
      </c>
      <c r="D79" t="s">
        <v>190</v>
      </c>
      <c r="E79" t="s">
        <v>27</v>
      </c>
      <c r="F79" t="s">
        <v>22</v>
      </c>
      <c r="G79" t="s">
        <v>3268</v>
      </c>
      <c r="H79" t="s">
        <v>4370</v>
      </c>
      <c r="I79" t="s">
        <v>4371</v>
      </c>
      <c r="J79" t="s">
        <v>4372</v>
      </c>
      <c r="L79" t="s">
        <v>25</v>
      </c>
    </row>
    <row r="80" spans="1:12" x14ac:dyDescent="0.3">
      <c r="A80">
        <v>220</v>
      </c>
      <c r="B80" t="s">
        <v>435</v>
      </c>
      <c r="C80" t="s">
        <v>4369</v>
      </c>
      <c r="D80" t="s">
        <v>190</v>
      </c>
      <c r="E80" t="s">
        <v>27</v>
      </c>
      <c r="F80" t="s">
        <v>22</v>
      </c>
      <c r="G80" t="s">
        <v>3268</v>
      </c>
      <c r="H80" t="s">
        <v>4370</v>
      </c>
      <c r="I80" t="s">
        <v>4371</v>
      </c>
      <c r="J80" t="s">
        <v>4372</v>
      </c>
      <c r="L80" t="s">
        <v>25</v>
      </c>
    </row>
    <row r="81" spans="1:12" x14ac:dyDescent="0.3">
      <c r="A81">
        <v>221</v>
      </c>
      <c r="B81" t="s">
        <v>440</v>
      </c>
      <c r="C81" t="s">
        <v>4369</v>
      </c>
      <c r="D81" t="s">
        <v>190</v>
      </c>
      <c r="E81" t="s">
        <v>71</v>
      </c>
      <c r="F81" t="s">
        <v>22</v>
      </c>
      <c r="G81" t="s">
        <v>3268</v>
      </c>
      <c r="H81" t="s">
        <v>4370</v>
      </c>
      <c r="I81" t="s">
        <v>4371</v>
      </c>
      <c r="J81" t="s">
        <v>4372</v>
      </c>
      <c r="L81" t="s">
        <v>25</v>
      </c>
    </row>
    <row r="82" spans="1:12" x14ac:dyDescent="0.3">
      <c r="A82">
        <v>222</v>
      </c>
      <c r="B82" t="s">
        <v>445</v>
      </c>
      <c r="C82" t="s">
        <v>4369</v>
      </c>
      <c r="D82" t="s">
        <v>190</v>
      </c>
      <c r="E82" t="s">
        <v>71</v>
      </c>
      <c r="F82" t="s">
        <v>22</v>
      </c>
      <c r="G82" t="s">
        <v>3268</v>
      </c>
      <c r="H82" t="s">
        <v>4370</v>
      </c>
      <c r="I82" t="s">
        <v>4371</v>
      </c>
      <c r="J82" t="s">
        <v>4376</v>
      </c>
      <c r="L82" t="s">
        <v>25</v>
      </c>
    </row>
    <row r="83" spans="1:12" x14ac:dyDescent="0.3">
      <c r="A83">
        <v>223</v>
      </c>
      <c r="B83" t="s">
        <v>450</v>
      </c>
      <c r="C83" t="s">
        <v>4369</v>
      </c>
      <c r="D83" t="s">
        <v>190</v>
      </c>
      <c r="E83" t="s">
        <v>71</v>
      </c>
      <c r="F83" t="s">
        <v>22</v>
      </c>
      <c r="G83" t="s">
        <v>3268</v>
      </c>
      <c r="H83" t="s">
        <v>4370</v>
      </c>
      <c r="I83" t="s">
        <v>4371</v>
      </c>
      <c r="J83" t="s">
        <v>4140</v>
      </c>
      <c r="L83" t="s">
        <v>25</v>
      </c>
    </row>
    <row r="84" spans="1:12" x14ac:dyDescent="0.3">
      <c r="A84">
        <v>224</v>
      </c>
      <c r="B84" t="s">
        <v>455</v>
      </c>
      <c r="C84" t="s">
        <v>4369</v>
      </c>
      <c r="D84" t="s">
        <v>190</v>
      </c>
      <c r="E84" t="s">
        <v>71</v>
      </c>
      <c r="F84" t="s">
        <v>22</v>
      </c>
      <c r="G84" t="s">
        <v>3268</v>
      </c>
      <c r="H84" t="s">
        <v>4370</v>
      </c>
      <c r="I84" t="s">
        <v>4371</v>
      </c>
      <c r="J84" t="s">
        <v>4376</v>
      </c>
      <c r="L84" t="s">
        <v>25</v>
      </c>
    </row>
    <row r="85" spans="1:12" x14ac:dyDescent="0.3">
      <c r="A85">
        <v>225</v>
      </c>
      <c r="B85" t="s">
        <v>460</v>
      </c>
      <c r="C85" t="s">
        <v>4369</v>
      </c>
      <c r="D85" t="s">
        <v>190</v>
      </c>
      <c r="E85" t="s">
        <v>54</v>
      </c>
      <c r="F85" t="s">
        <v>22</v>
      </c>
      <c r="G85" t="s">
        <v>3268</v>
      </c>
      <c r="H85" t="s">
        <v>4370</v>
      </c>
      <c r="I85" t="s">
        <v>4371</v>
      </c>
      <c r="J85" t="s">
        <v>4372</v>
      </c>
      <c r="L85" t="s">
        <v>25</v>
      </c>
    </row>
    <row r="86" spans="1:12" x14ac:dyDescent="0.3">
      <c r="A86">
        <v>226</v>
      </c>
      <c r="B86" t="s">
        <v>465</v>
      </c>
      <c r="C86" t="s">
        <v>4369</v>
      </c>
      <c r="D86" t="s">
        <v>190</v>
      </c>
      <c r="E86" t="s">
        <v>71</v>
      </c>
      <c r="F86" t="s">
        <v>22</v>
      </c>
      <c r="G86" t="s">
        <v>3268</v>
      </c>
      <c r="H86" t="s">
        <v>4370</v>
      </c>
      <c r="I86" t="s">
        <v>4371</v>
      </c>
      <c r="J86" t="s">
        <v>4140</v>
      </c>
      <c r="L86" t="s">
        <v>25</v>
      </c>
    </row>
    <row r="87" spans="1:12" x14ac:dyDescent="0.3">
      <c r="A87">
        <v>227</v>
      </c>
      <c r="B87" t="s">
        <v>471</v>
      </c>
      <c r="C87" t="s">
        <v>4369</v>
      </c>
      <c r="D87" t="s">
        <v>190</v>
      </c>
      <c r="E87" t="s">
        <v>71</v>
      </c>
      <c r="F87" t="s">
        <v>41</v>
      </c>
      <c r="G87" t="s">
        <v>3268</v>
      </c>
      <c r="H87" t="s">
        <v>4370</v>
      </c>
      <c r="I87" t="s">
        <v>4371</v>
      </c>
      <c r="J87" t="s">
        <v>4372</v>
      </c>
      <c r="L87" t="s">
        <v>25</v>
      </c>
    </row>
    <row r="88" spans="1:12" x14ac:dyDescent="0.3">
      <c r="A88">
        <v>228</v>
      </c>
      <c r="B88" t="s">
        <v>475</v>
      </c>
      <c r="C88" t="s">
        <v>4369</v>
      </c>
      <c r="D88" t="s">
        <v>190</v>
      </c>
      <c r="E88" t="s">
        <v>71</v>
      </c>
      <c r="F88" t="s">
        <v>22</v>
      </c>
      <c r="G88" t="s">
        <v>3268</v>
      </c>
      <c r="H88" t="s">
        <v>4370</v>
      </c>
      <c r="I88" t="s">
        <v>4371</v>
      </c>
      <c r="J88" t="s">
        <v>4140</v>
      </c>
      <c r="L88" t="s">
        <v>467</v>
      </c>
    </row>
    <row r="89" spans="1:12" x14ac:dyDescent="0.3">
      <c r="A89">
        <v>230</v>
      </c>
      <c r="B89" t="s">
        <v>479</v>
      </c>
      <c r="C89" t="s">
        <v>4369</v>
      </c>
      <c r="D89" t="s">
        <v>190</v>
      </c>
      <c r="E89" t="s">
        <v>27</v>
      </c>
      <c r="F89" t="s">
        <v>22</v>
      </c>
      <c r="G89" t="s">
        <v>3267</v>
      </c>
      <c r="H89" t="s">
        <v>4370</v>
      </c>
      <c r="I89" t="s">
        <v>4371</v>
      </c>
      <c r="J89" t="s">
        <v>4372</v>
      </c>
      <c r="L89" t="s">
        <v>25</v>
      </c>
    </row>
    <row r="90" spans="1:12" x14ac:dyDescent="0.3">
      <c r="A90">
        <v>231</v>
      </c>
      <c r="B90" t="s">
        <v>483</v>
      </c>
      <c r="C90" t="s">
        <v>4369</v>
      </c>
      <c r="D90" t="s">
        <v>190</v>
      </c>
      <c r="E90" t="s">
        <v>27</v>
      </c>
      <c r="F90" t="s">
        <v>22</v>
      </c>
      <c r="G90" t="s">
        <v>3267</v>
      </c>
      <c r="H90" t="s">
        <v>4370</v>
      </c>
      <c r="I90" t="s">
        <v>4371</v>
      </c>
      <c r="J90" t="s">
        <v>4376</v>
      </c>
      <c r="L90" t="s">
        <v>25</v>
      </c>
    </row>
    <row r="91" spans="1:12" x14ac:dyDescent="0.3">
      <c r="A91">
        <v>232</v>
      </c>
      <c r="B91" t="s">
        <v>487</v>
      </c>
      <c r="C91" t="s">
        <v>4369</v>
      </c>
      <c r="D91" t="s">
        <v>190</v>
      </c>
      <c r="E91" t="s">
        <v>27</v>
      </c>
      <c r="F91" t="s">
        <v>22</v>
      </c>
      <c r="G91" t="s">
        <v>3267</v>
      </c>
      <c r="H91" t="s">
        <v>4370</v>
      </c>
      <c r="I91" t="s">
        <v>4371</v>
      </c>
      <c r="J91" t="s">
        <v>4376</v>
      </c>
      <c r="L91" t="s">
        <v>25</v>
      </c>
    </row>
    <row r="92" spans="1:12" x14ac:dyDescent="0.3">
      <c r="A92">
        <v>233</v>
      </c>
      <c r="B92" t="s">
        <v>491</v>
      </c>
      <c r="C92" t="s">
        <v>4369</v>
      </c>
      <c r="D92" t="s">
        <v>190</v>
      </c>
      <c r="E92" t="s">
        <v>21</v>
      </c>
      <c r="F92" t="s">
        <v>22</v>
      </c>
      <c r="G92" t="s">
        <v>3267</v>
      </c>
      <c r="H92" t="s">
        <v>4370</v>
      </c>
      <c r="I92" t="s">
        <v>4371</v>
      </c>
      <c r="J92" t="s">
        <v>4372</v>
      </c>
      <c r="L92" t="s">
        <v>25</v>
      </c>
    </row>
    <row r="93" spans="1:12" x14ac:dyDescent="0.3">
      <c r="A93">
        <v>234</v>
      </c>
      <c r="B93" t="s">
        <v>495</v>
      </c>
      <c r="C93" t="s">
        <v>4369</v>
      </c>
      <c r="D93" t="s">
        <v>190</v>
      </c>
      <c r="E93" t="s">
        <v>21</v>
      </c>
      <c r="F93" t="s">
        <v>22</v>
      </c>
      <c r="G93" t="s">
        <v>3267</v>
      </c>
      <c r="H93" t="s">
        <v>4370</v>
      </c>
      <c r="I93" t="s">
        <v>4371</v>
      </c>
      <c r="J93" t="s">
        <v>4372</v>
      </c>
      <c r="L93" t="s">
        <v>128</v>
      </c>
    </row>
    <row r="94" spans="1:12" x14ac:dyDescent="0.3">
      <c r="A94">
        <v>235</v>
      </c>
      <c r="B94" t="s">
        <v>499</v>
      </c>
      <c r="C94" t="s">
        <v>4369</v>
      </c>
      <c r="D94" t="s">
        <v>190</v>
      </c>
      <c r="E94" t="s">
        <v>71</v>
      </c>
      <c r="F94" t="s">
        <v>22</v>
      </c>
      <c r="G94" t="s">
        <v>3267</v>
      </c>
      <c r="H94" t="s">
        <v>4370</v>
      </c>
      <c r="I94" t="s">
        <v>4371</v>
      </c>
      <c r="J94" t="s">
        <v>4140</v>
      </c>
      <c r="L94" t="s">
        <v>25</v>
      </c>
    </row>
    <row r="95" spans="1:12" x14ac:dyDescent="0.3">
      <c r="A95">
        <v>236</v>
      </c>
      <c r="B95" t="s">
        <v>502</v>
      </c>
      <c r="C95" t="s">
        <v>4369</v>
      </c>
      <c r="D95" t="s">
        <v>190</v>
      </c>
      <c r="E95" t="s">
        <v>71</v>
      </c>
      <c r="F95" t="s">
        <v>41</v>
      </c>
      <c r="G95" t="s">
        <v>3267</v>
      </c>
      <c r="H95" t="s">
        <v>4370</v>
      </c>
      <c r="I95" t="s">
        <v>4371</v>
      </c>
      <c r="J95" t="s">
        <v>4140</v>
      </c>
      <c r="L95" t="s">
        <v>25</v>
      </c>
    </row>
    <row r="96" spans="1:12" x14ac:dyDescent="0.3">
      <c r="A96">
        <v>238</v>
      </c>
      <c r="B96" t="s">
        <v>506</v>
      </c>
      <c r="C96" t="s">
        <v>4373</v>
      </c>
      <c r="D96" t="s">
        <v>190</v>
      </c>
      <c r="E96" t="s">
        <v>21</v>
      </c>
      <c r="F96" t="s">
        <v>22</v>
      </c>
      <c r="G96" t="s">
        <v>3268</v>
      </c>
      <c r="H96" t="s">
        <v>4370</v>
      </c>
      <c r="I96" t="s">
        <v>4371</v>
      </c>
      <c r="J96" t="s">
        <v>4372</v>
      </c>
      <c r="L96" t="s">
        <v>25</v>
      </c>
    </row>
    <row r="97" spans="1:12" x14ac:dyDescent="0.3">
      <c r="A97">
        <v>239</v>
      </c>
      <c r="B97" t="s">
        <v>510</v>
      </c>
      <c r="C97" t="s">
        <v>4369</v>
      </c>
      <c r="D97" t="s">
        <v>511</v>
      </c>
      <c r="E97" t="s">
        <v>54</v>
      </c>
      <c r="F97" t="s">
        <v>22</v>
      </c>
      <c r="G97" t="s">
        <v>3268</v>
      </c>
      <c r="H97" t="s">
        <v>4370</v>
      </c>
      <c r="I97" t="s">
        <v>4371</v>
      </c>
      <c r="J97" t="s">
        <v>4140</v>
      </c>
      <c r="L97" t="s">
        <v>128</v>
      </c>
    </row>
    <row r="98" spans="1:12" x14ac:dyDescent="0.3">
      <c r="A98">
        <v>240</v>
      </c>
      <c r="B98" t="s">
        <v>518</v>
      </c>
      <c r="C98" t="s">
        <v>4369</v>
      </c>
      <c r="D98" t="s">
        <v>511</v>
      </c>
      <c r="E98" t="s">
        <v>21</v>
      </c>
      <c r="F98" t="s">
        <v>22</v>
      </c>
      <c r="G98" t="s">
        <v>3267</v>
      </c>
      <c r="H98" t="s">
        <v>4370</v>
      </c>
      <c r="I98" t="s">
        <v>4371</v>
      </c>
      <c r="J98" t="s">
        <v>4372</v>
      </c>
      <c r="L98" t="s">
        <v>25</v>
      </c>
    </row>
    <row r="99" spans="1:12" x14ac:dyDescent="0.3">
      <c r="A99">
        <v>241</v>
      </c>
      <c r="B99" t="s">
        <v>522</v>
      </c>
      <c r="C99" t="s">
        <v>4369</v>
      </c>
      <c r="D99" t="s">
        <v>511</v>
      </c>
      <c r="E99" t="s">
        <v>54</v>
      </c>
      <c r="F99" t="s">
        <v>22</v>
      </c>
      <c r="G99" t="s">
        <v>3267</v>
      </c>
      <c r="H99" t="s">
        <v>4370</v>
      </c>
      <c r="I99" t="s">
        <v>4371</v>
      </c>
      <c r="J99" t="s">
        <v>4372</v>
      </c>
      <c r="L99" t="s">
        <v>25</v>
      </c>
    </row>
    <row r="100" spans="1:12" x14ac:dyDescent="0.3">
      <c r="A100">
        <v>242</v>
      </c>
      <c r="B100" t="s">
        <v>527</v>
      </c>
      <c r="C100" t="s">
        <v>4373</v>
      </c>
      <c r="D100" t="s">
        <v>511</v>
      </c>
      <c r="E100" t="s">
        <v>54</v>
      </c>
      <c r="F100" t="s">
        <v>22</v>
      </c>
      <c r="H100" t="s">
        <v>4374</v>
      </c>
      <c r="I100" t="s">
        <v>4374</v>
      </c>
      <c r="J100" t="s">
        <v>4140</v>
      </c>
      <c r="L100" t="s">
        <v>25</v>
      </c>
    </row>
    <row r="101" spans="1:12" x14ac:dyDescent="0.3">
      <c r="A101">
        <v>243</v>
      </c>
      <c r="B101" t="s">
        <v>529</v>
      </c>
      <c r="C101" t="s">
        <v>4369</v>
      </c>
      <c r="D101" t="s">
        <v>511</v>
      </c>
      <c r="E101" t="s">
        <v>54</v>
      </c>
      <c r="F101" t="s">
        <v>41</v>
      </c>
      <c r="H101" t="s">
        <v>4374</v>
      </c>
      <c r="I101" t="s">
        <v>4374</v>
      </c>
      <c r="J101" t="s">
        <v>4372</v>
      </c>
      <c r="L101" t="s">
        <v>25</v>
      </c>
    </row>
    <row r="102" spans="1:12" x14ac:dyDescent="0.3">
      <c r="A102">
        <v>244</v>
      </c>
      <c r="B102" t="s">
        <v>531</v>
      </c>
      <c r="C102" t="s">
        <v>4373</v>
      </c>
      <c r="D102" t="s">
        <v>190</v>
      </c>
      <c r="E102" t="s">
        <v>71</v>
      </c>
      <c r="F102" t="s">
        <v>41</v>
      </c>
      <c r="G102" t="s">
        <v>3267</v>
      </c>
      <c r="H102" t="s">
        <v>4370</v>
      </c>
      <c r="I102" t="s">
        <v>4371</v>
      </c>
      <c r="J102" t="s">
        <v>4140</v>
      </c>
      <c r="L102" t="s">
        <v>128</v>
      </c>
    </row>
    <row r="103" spans="1:12" x14ac:dyDescent="0.3">
      <c r="A103">
        <v>245</v>
      </c>
      <c r="B103" t="s">
        <v>2399</v>
      </c>
      <c r="C103" t="s">
        <v>4373</v>
      </c>
      <c r="D103" t="s">
        <v>536</v>
      </c>
      <c r="E103" t="s">
        <v>27</v>
      </c>
      <c r="F103" t="s">
        <v>22</v>
      </c>
      <c r="G103" t="s">
        <v>3267</v>
      </c>
      <c r="H103" t="s">
        <v>4370</v>
      </c>
      <c r="I103" t="s">
        <v>4371</v>
      </c>
      <c r="J103" t="s">
        <v>4140</v>
      </c>
      <c r="L103" t="s">
        <v>25</v>
      </c>
    </row>
    <row r="104" spans="1:12" x14ac:dyDescent="0.3">
      <c r="A104">
        <v>246</v>
      </c>
      <c r="B104" t="s">
        <v>543</v>
      </c>
      <c r="C104" t="s">
        <v>4373</v>
      </c>
      <c r="D104" t="s">
        <v>541</v>
      </c>
      <c r="E104" t="s">
        <v>27</v>
      </c>
      <c r="F104" t="s">
        <v>22</v>
      </c>
      <c r="G104" t="s">
        <v>3267</v>
      </c>
      <c r="H104" t="s">
        <v>4370</v>
      </c>
      <c r="I104" t="s">
        <v>4371</v>
      </c>
      <c r="J104" t="s">
        <v>4140</v>
      </c>
      <c r="L104" t="s">
        <v>25</v>
      </c>
    </row>
    <row r="105" spans="1:12" x14ac:dyDescent="0.3">
      <c r="A105">
        <v>247</v>
      </c>
      <c r="B105" t="s">
        <v>546</v>
      </c>
      <c r="C105" t="s">
        <v>4369</v>
      </c>
      <c r="D105" t="s">
        <v>541</v>
      </c>
      <c r="E105" t="s">
        <v>54</v>
      </c>
      <c r="F105" t="s">
        <v>22</v>
      </c>
      <c r="H105" t="s">
        <v>4374</v>
      </c>
      <c r="I105" t="s">
        <v>4374</v>
      </c>
      <c r="J105" t="s">
        <v>4372</v>
      </c>
      <c r="L105" t="s">
        <v>136</v>
      </c>
    </row>
    <row r="106" spans="1:12" x14ac:dyDescent="0.3">
      <c r="A106">
        <v>248</v>
      </c>
      <c r="B106" t="s">
        <v>548</v>
      </c>
      <c r="C106" t="s">
        <v>4373</v>
      </c>
      <c r="D106" t="s">
        <v>549</v>
      </c>
      <c r="E106" t="s">
        <v>27</v>
      </c>
      <c r="F106" t="s">
        <v>22</v>
      </c>
      <c r="H106" t="s">
        <v>4374</v>
      </c>
      <c r="I106" t="s">
        <v>4374</v>
      </c>
      <c r="J106" t="s">
        <v>4376</v>
      </c>
      <c r="L106" t="s">
        <v>128</v>
      </c>
    </row>
    <row r="107" spans="1:12" x14ac:dyDescent="0.3">
      <c r="A107">
        <v>249</v>
      </c>
      <c r="B107" t="s">
        <v>551</v>
      </c>
      <c r="C107" t="s">
        <v>4373</v>
      </c>
      <c r="D107" t="s">
        <v>549</v>
      </c>
      <c r="E107" t="s">
        <v>27</v>
      </c>
      <c r="F107" t="s">
        <v>22</v>
      </c>
      <c r="H107" t="s">
        <v>4374</v>
      </c>
      <c r="I107" t="s">
        <v>4374</v>
      </c>
      <c r="J107" t="s">
        <v>4376</v>
      </c>
      <c r="L107" t="s">
        <v>128</v>
      </c>
    </row>
    <row r="108" spans="1:12" x14ac:dyDescent="0.3">
      <c r="A108">
        <v>251</v>
      </c>
      <c r="B108" t="s">
        <v>557</v>
      </c>
      <c r="C108" t="s">
        <v>4373</v>
      </c>
      <c r="D108" t="s">
        <v>554</v>
      </c>
      <c r="E108" t="s">
        <v>21</v>
      </c>
      <c r="F108" t="s">
        <v>22</v>
      </c>
      <c r="G108" t="s">
        <v>3267</v>
      </c>
      <c r="H108" t="s">
        <v>4370</v>
      </c>
      <c r="I108" t="s">
        <v>4371</v>
      </c>
      <c r="J108" t="s">
        <v>4140</v>
      </c>
      <c r="L108" t="s">
        <v>25</v>
      </c>
    </row>
    <row r="109" spans="1:12" x14ac:dyDescent="0.3">
      <c r="A109">
        <v>252</v>
      </c>
      <c r="B109" t="s">
        <v>562</v>
      </c>
      <c r="C109" t="s">
        <v>4373</v>
      </c>
      <c r="D109" t="s">
        <v>536</v>
      </c>
      <c r="E109" t="s">
        <v>27</v>
      </c>
      <c r="F109" t="s">
        <v>22</v>
      </c>
      <c r="G109" t="s">
        <v>3267</v>
      </c>
      <c r="H109" t="s">
        <v>4370</v>
      </c>
      <c r="I109" t="s">
        <v>4371</v>
      </c>
      <c r="J109" t="s">
        <v>4140</v>
      </c>
      <c r="L109" t="s">
        <v>25</v>
      </c>
    </row>
    <row r="110" spans="1:12" x14ac:dyDescent="0.3">
      <c r="A110">
        <v>253</v>
      </c>
      <c r="B110" t="s">
        <v>564</v>
      </c>
      <c r="C110" t="s">
        <v>4373</v>
      </c>
      <c r="D110" t="s">
        <v>63</v>
      </c>
      <c r="E110" t="s">
        <v>64</v>
      </c>
      <c r="F110" t="s">
        <v>41</v>
      </c>
      <c r="H110" t="s">
        <v>4374</v>
      </c>
      <c r="I110" t="s">
        <v>4374</v>
      </c>
      <c r="J110" t="s">
        <v>4372</v>
      </c>
      <c r="L110" t="s">
        <v>42</v>
      </c>
    </row>
    <row r="111" spans="1:12" x14ac:dyDescent="0.3">
      <c r="A111">
        <v>254</v>
      </c>
      <c r="B111" t="s">
        <v>566</v>
      </c>
      <c r="C111" t="s">
        <v>4373</v>
      </c>
      <c r="D111" t="s">
        <v>567</v>
      </c>
      <c r="E111" t="s">
        <v>21</v>
      </c>
      <c r="F111" t="s">
        <v>22</v>
      </c>
      <c r="G111" t="s">
        <v>3267</v>
      </c>
      <c r="H111" t="s">
        <v>4370</v>
      </c>
      <c r="I111" t="s">
        <v>4371</v>
      </c>
      <c r="J111" t="s">
        <v>4140</v>
      </c>
      <c r="L111" t="s">
        <v>128</v>
      </c>
    </row>
    <row r="112" spans="1:12" x14ac:dyDescent="0.3">
      <c r="A112">
        <v>255</v>
      </c>
      <c r="B112" t="s">
        <v>574</v>
      </c>
      <c r="C112" t="s">
        <v>4373</v>
      </c>
      <c r="D112" t="s">
        <v>308</v>
      </c>
      <c r="E112" t="s">
        <v>71</v>
      </c>
      <c r="F112" t="s">
        <v>22</v>
      </c>
      <c r="G112" t="s">
        <v>3268</v>
      </c>
      <c r="H112" t="s">
        <v>4370</v>
      </c>
      <c r="I112" t="s">
        <v>4371</v>
      </c>
      <c r="J112" t="s">
        <v>4140</v>
      </c>
      <c r="L112" t="s">
        <v>128</v>
      </c>
    </row>
    <row r="113" spans="1:12" x14ac:dyDescent="0.3">
      <c r="A113">
        <v>256</v>
      </c>
      <c r="B113" t="s">
        <v>576</v>
      </c>
      <c r="C113" t="s">
        <v>4373</v>
      </c>
      <c r="D113" t="s">
        <v>308</v>
      </c>
      <c r="E113" t="s">
        <v>27</v>
      </c>
      <c r="F113" t="s">
        <v>22</v>
      </c>
      <c r="G113" t="s">
        <v>3267</v>
      </c>
      <c r="H113" t="s">
        <v>4370</v>
      </c>
      <c r="I113" t="s">
        <v>4371</v>
      </c>
      <c r="J113" t="s">
        <v>4376</v>
      </c>
      <c r="L113" t="s">
        <v>128</v>
      </c>
    </row>
    <row r="114" spans="1:12" x14ac:dyDescent="0.3">
      <c r="A114">
        <v>257</v>
      </c>
      <c r="B114" t="s">
        <v>580</v>
      </c>
      <c r="C114" t="s">
        <v>4373</v>
      </c>
      <c r="D114" t="s">
        <v>308</v>
      </c>
      <c r="E114" t="s">
        <v>27</v>
      </c>
      <c r="F114" t="s">
        <v>22</v>
      </c>
      <c r="H114" t="s">
        <v>4374</v>
      </c>
      <c r="I114" t="s">
        <v>4374</v>
      </c>
      <c r="J114" t="s">
        <v>4140</v>
      </c>
      <c r="L114" t="s">
        <v>128</v>
      </c>
    </row>
    <row r="115" spans="1:12" x14ac:dyDescent="0.3">
      <c r="A115">
        <v>259</v>
      </c>
      <c r="B115" t="s">
        <v>582</v>
      </c>
      <c r="C115" t="s">
        <v>4369</v>
      </c>
      <c r="D115" t="s">
        <v>554</v>
      </c>
      <c r="E115" t="s">
        <v>21</v>
      </c>
      <c r="F115" t="s">
        <v>22</v>
      </c>
      <c r="H115" t="s">
        <v>4374</v>
      </c>
      <c r="I115" t="s">
        <v>4374</v>
      </c>
      <c r="J115" t="s">
        <v>4140</v>
      </c>
      <c r="L115" t="s">
        <v>25</v>
      </c>
    </row>
    <row r="116" spans="1:12" x14ac:dyDescent="0.3">
      <c r="A116">
        <v>260</v>
      </c>
      <c r="B116" t="s">
        <v>585</v>
      </c>
      <c r="C116" t="s">
        <v>4373</v>
      </c>
      <c r="D116" t="s">
        <v>586</v>
      </c>
      <c r="E116" t="s">
        <v>27</v>
      </c>
      <c r="F116" t="s">
        <v>41</v>
      </c>
      <c r="G116" t="s">
        <v>3267</v>
      </c>
      <c r="H116" t="s">
        <v>4370</v>
      </c>
      <c r="I116" t="s">
        <v>4371</v>
      </c>
      <c r="J116" t="s">
        <v>4140</v>
      </c>
      <c r="L116" t="s">
        <v>136</v>
      </c>
    </row>
    <row r="117" spans="1:12" x14ac:dyDescent="0.3">
      <c r="A117">
        <v>261</v>
      </c>
      <c r="B117" t="s">
        <v>590</v>
      </c>
      <c r="C117" t="s">
        <v>4373</v>
      </c>
      <c r="D117" t="s">
        <v>333</v>
      </c>
      <c r="E117" t="s">
        <v>27</v>
      </c>
      <c r="F117" t="s">
        <v>41</v>
      </c>
      <c r="G117" t="s">
        <v>3267</v>
      </c>
      <c r="H117" t="s">
        <v>4370</v>
      </c>
      <c r="I117" t="s">
        <v>4371</v>
      </c>
      <c r="J117" t="s">
        <v>4140</v>
      </c>
      <c r="L117" t="s">
        <v>136</v>
      </c>
    </row>
    <row r="118" spans="1:12" x14ac:dyDescent="0.3">
      <c r="A118">
        <v>262</v>
      </c>
      <c r="B118" t="s">
        <v>594</v>
      </c>
      <c r="C118" t="s">
        <v>4373</v>
      </c>
      <c r="D118" t="s">
        <v>595</v>
      </c>
      <c r="E118" t="s">
        <v>27</v>
      </c>
      <c r="F118" t="s">
        <v>41</v>
      </c>
      <c r="G118" t="s">
        <v>3267</v>
      </c>
      <c r="H118" t="s">
        <v>4370</v>
      </c>
      <c r="I118" t="s">
        <v>4371</v>
      </c>
      <c r="J118" t="s">
        <v>4140</v>
      </c>
      <c r="L118" t="s">
        <v>25</v>
      </c>
    </row>
    <row r="119" spans="1:12" x14ac:dyDescent="0.3">
      <c r="A119">
        <v>263</v>
      </c>
      <c r="B119" t="s">
        <v>599</v>
      </c>
      <c r="C119" t="s">
        <v>4373</v>
      </c>
      <c r="D119" t="s">
        <v>595</v>
      </c>
      <c r="E119" t="s">
        <v>21</v>
      </c>
      <c r="F119" t="s">
        <v>22</v>
      </c>
      <c r="G119" t="s">
        <v>3267</v>
      </c>
      <c r="H119" t="s">
        <v>4370</v>
      </c>
      <c r="I119" t="s">
        <v>4371</v>
      </c>
      <c r="J119" t="s">
        <v>4372</v>
      </c>
      <c r="L119" t="s">
        <v>25</v>
      </c>
    </row>
    <row r="120" spans="1:12" x14ac:dyDescent="0.3">
      <c r="A120">
        <v>264</v>
      </c>
      <c r="B120" t="s">
        <v>605</v>
      </c>
      <c r="C120" t="s">
        <v>4373</v>
      </c>
      <c r="D120" t="s">
        <v>595</v>
      </c>
      <c r="E120" t="s">
        <v>27</v>
      </c>
      <c r="F120" t="s">
        <v>22</v>
      </c>
      <c r="H120" t="s">
        <v>4374</v>
      </c>
      <c r="I120" t="s">
        <v>4374</v>
      </c>
      <c r="J120" t="s">
        <v>4372</v>
      </c>
      <c r="L120" t="s">
        <v>25</v>
      </c>
    </row>
    <row r="121" spans="1:12" x14ac:dyDescent="0.3">
      <c r="A121">
        <v>265</v>
      </c>
      <c r="B121" t="s">
        <v>609</v>
      </c>
      <c r="C121" t="s">
        <v>4373</v>
      </c>
      <c r="D121" t="s">
        <v>595</v>
      </c>
      <c r="E121" t="s">
        <v>21</v>
      </c>
      <c r="F121" t="s">
        <v>22</v>
      </c>
      <c r="G121" t="s">
        <v>3267</v>
      </c>
      <c r="H121" t="s">
        <v>4370</v>
      </c>
      <c r="I121" t="s">
        <v>4371</v>
      </c>
      <c r="J121" t="s">
        <v>4372</v>
      </c>
      <c r="L121" t="s">
        <v>25</v>
      </c>
    </row>
    <row r="122" spans="1:12" x14ac:dyDescent="0.3">
      <c r="A122">
        <v>266</v>
      </c>
      <c r="B122" t="s">
        <v>612</v>
      </c>
      <c r="C122" t="s">
        <v>4373</v>
      </c>
      <c r="D122" t="s">
        <v>595</v>
      </c>
      <c r="E122" t="s">
        <v>21</v>
      </c>
      <c r="F122" t="s">
        <v>22</v>
      </c>
      <c r="G122" t="s">
        <v>3267</v>
      </c>
      <c r="H122" t="s">
        <v>4370</v>
      </c>
      <c r="I122" t="s">
        <v>4371</v>
      </c>
      <c r="J122" t="s">
        <v>4372</v>
      </c>
      <c r="L122" t="s">
        <v>25</v>
      </c>
    </row>
    <row r="123" spans="1:12" x14ac:dyDescent="0.3">
      <c r="A123">
        <v>268</v>
      </c>
      <c r="B123" t="s">
        <v>622</v>
      </c>
      <c r="C123" t="s">
        <v>4373</v>
      </c>
      <c r="D123" t="s">
        <v>619</v>
      </c>
      <c r="E123" t="s">
        <v>27</v>
      </c>
      <c r="F123" t="s">
        <v>22</v>
      </c>
      <c r="G123" t="s">
        <v>3267</v>
      </c>
      <c r="H123" t="s">
        <v>4370</v>
      </c>
      <c r="I123" t="s">
        <v>4371</v>
      </c>
      <c r="J123" t="s">
        <v>4140</v>
      </c>
      <c r="L123" t="s">
        <v>128</v>
      </c>
    </row>
    <row r="124" spans="1:12" x14ac:dyDescent="0.3">
      <c r="A124">
        <v>269</v>
      </c>
      <c r="B124" t="s">
        <v>627</v>
      </c>
      <c r="C124" t="s">
        <v>4369</v>
      </c>
      <c r="D124" t="s">
        <v>619</v>
      </c>
      <c r="E124" t="s">
        <v>27</v>
      </c>
      <c r="F124" t="s">
        <v>22</v>
      </c>
      <c r="G124" t="s">
        <v>3267</v>
      </c>
      <c r="H124" t="s">
        <v>4370</v>
      </c>
      <c r="I124" t="s">
        <v>4371</v>
      </c>
      <c r="J124" t="s">
        <v>4140</v>
      </c>
      <c r="L124" t="s">
        <v>136</v>
      </c>
    </row>
    <row r="125" spans="1:12" x14ac:dyDescent="0.3">
      <c r="A125">
        <v>270</v>
      </c>
      <c r="B125" t="s">
        <v>632</v>
      </c>
      <c r="C125" t="s">
        <v>4369</v>
      </c>
      <c r="D125" t="s">
        <v>619</v>
      </c>
      <c r="E125" t="s">
        <v>27</v>
      </c>
      <c r="F125" t="s">
        <v>22</v>
      </c>
      <c r="G125" t="s">
        <v>3267</v>
      </c>
      <c r="H125" t="s">
        <v>4370</v>
      </c>
      <c r="I125" t="s">
        <v>4371</v>
      </c>
      <c r="J125" t="s">
        <v>4140</v>
      </c>
      <c r="L125" t="s">
        <v>128</v>
      </c>
    </row>
    <row r="126" spans="1:12" x14ac:dyDescent="0.3">
      <c r="A126">
        <v>271</v>
      </c>
      <c r="B126" t="s">
        <v>637</v>
      </c>
      <c r="C126" t="s">
        <v>4369</v>
      </c>
      <c r="D126" t="s">
        <v>619</v>
      </c>
      <c r="E126" t="s">
        <v>27</v>
      </c>
      <c r="F126" t="s">
        <v>22</v>
      </c>
      <c r="G126" t="s">
        <v>3267</v>
      </c>
      <c r="H126" t="s">
        <v>4370</v>
      </c>
      <c r="I126" t="s">
        <v>4371</v>
      </c>
      <c r="J126" t="s">
        <v>4140</v>
      </c>
      <c r="L126" t="s">
        <v>128</v>
      </c>
    </row>
    <row r="127" spans="1:12" x14ac:dyDescent="0.3">
      <c r="A127">
        <v>272</v>
      </c>
      <c r="B127" t="s">
        <v>639</v>
      </c>
      <c r="C127" t="s">
        <v>4373</v>
      </c>
      <c r="D127" t="s">
        <v>70</v>
      </c>
      <c r="E127" t="s">
        <v>71</v>
      </c>
      <c r="F127" t="s">
        <v>41</v>
      </c>
      <c r="G127" t="s">
        <v>3267</v>
      </c>
      <c r="H127" t="s">
        <v>4370</v>
      </c>
      <c r="I127" t="s">
        <v>4371</v>
      </c>
      <c r="J127" t="s">
        <v>4140</v>
      </c>
      <c r="L127" t="s">
        <v>128</v>
      </c>
    </row>
    <row r="128" spans="1:12" x14ac:dyDescent="0.3">
      <c r="A128">
        <v>273</v>
      </c>
      <c r="B128" t="s">
        <v>643</v>
      </c>
      <c r="C128" t="s">
        <v>4373</v>
      </c>
      <c r="D128" t="s">
        <v>644</v>
      </c>
      <c r="E128" t="s">
        <v>27</v>
      </c>
      <c r="F128" t="s">
        <v>22</v>
      </c>
      <c r="G128" t="s">
        <v>3267</v>
      </c>
      <c r="H128" t="s">
        <v>4370</v>
      </c>
      <c r="I128" t="s">
        <v>4371</v>
      </c>
      <c r="J128" t="s">
        <v>4376</v>
      </c>
      <c r="L128" t="s">
        <v>128</v>
      </c>
    </row>
    <row r="129" spans="1:12" x14ac:dyDescent="0.3">
      <c r="A129">
        <v>274</v>
      </c>
      <c r="B129" t="s">
        <v>648</v>
      </c>
      <c r="C129" t="s">
        <v>4373</v>
      </c>
      <c r="D129" t="s">
        <v>586</v>
      </c>
      <c r="E129" t="s">
        <v>27</v>
      </c>
      <c r="F129" t="s">
        <v>22</v>
      </c>
      <c r="G129" t="s">
        <v>3268</v>
      </c>
      <c r="H129" t="s">
        <v>4370</v>
      </c>
      <c r="I129" t="s">
        <v>4371</v>
      </c>
      <c r="J129" t="s">
        <v>4376</v>
      </c>
      <c r="L129" t="s">
        <v>128</v>
      </c>
    </row>
    <row r="130" spans="1:12" x14ac:dyDescent="0.3">
      <c r="A130">
        <v>275</v>
      </c>
      <c r="B130" t="s">
        <v>652</v>
      </c>
      <c r="C130" t="s">
        <v>4373</v>
      </c>
      <c r="D130" t="s">
        <v>653</v>
      </c>
      <c r="E130" t="s">
        <v>27</v>
      </c>
      <c r="F130" t="s">
        <v>22</v>
      </c>
      <c r="G130" t="s">
        <v>3268</v>
      </c>
      <c r="H130" t="s">
        <v>4370</v>
      </c>
      <c r="I130" t="s">
        <v>4371</v>
      </c>
      <c r="J130" t="s">
        <v>4372</v>
      </c>
      <c r="L130" t="s">
        <v>25</v>
      </c>
    </row>
    <row r="131" spans="1:12" x14ac:dyDescent="0.3">
      <c r="A131">
        <v>276</v>
      </c>
      <c r="B131" t="s">
        <v>657</v>
      </c>
      <c r="C131" t="s">
        <v>4373</v>
      </c>
      <c r="D131" t="s">
        <v>658</v>
      </c>
      <c r="E131" t="s">
        <v>27</v>
      </c>
      <c r="F131" t="s">
        <v>41</v>
      </c>
      <c r="G131" t="s">
        <v>3267</v>
      </c>
      <c r="H131" t="s">
        <v>4370</v>
      </c>
      <c r="I131" t="s">
        <v>4371</v>
      </c>
      <c r="J131" t="s">
        <v>4140</v>
      </c>
      <c r="L131" t="s">
        <v>128</v>
      </c>
    </row>
    <row r="132" spans="1:12" x14ac:dyDescent="0.3">
      <c r="A132">
        <v>277</v>
      </c>
      <c r="B132" t="s">
        <v>2505</v>
      </c>
      <c r="C132" t="s">
        <v>4373</v>
      </c>
      <c r="D132" t="s">
        <v>658</v>
      </c>
      <c r="E132" t="s">
        <v>27</v>
      </c>
      <c r="F132" t="s">
        <v>41</v>
      </c>
      <c r="G132" t="s">
        <v>3267</v>
      </c>
      <c r="H132" t="s">
        <v>4370</v>
      </c>
      <c r="I132" t="s">
        <v>4371</v>
      </c>
      <c r="J132" t="s">
        <v>4140</v>
      </c>
      <c r="L132" t="s">
        <v>136</v>
      </c>
    </row>
    <row r="133" spans="1:12" x14ac:dyDescent="0.3">
      <c r="A133">
        <v>278</v>
      </c>
      <c r="B133" t="s">
        <v>669</v>
      </c>
      <c r="C133" t="s">
        <v>4369</v>
      </c>
      <c r="D133" t="s">
        <v>658</v>
      </c>
      <c r="E133" t="s">
        <v>27</v>
      </c>
      <c r="F133" t="s">
        <v>22</v>
      </c>
      <c r="G133" t="s">
        <v>3268</v>
      </c>
      <c r="H133" t="s">
        <v>4370</v>
      </c>
      <c r="I133" t="s">
        <v>4371</v>
      </c>
      <c r="J133" t="s">
        <v>4376</v>
      </c>
      <c r="L133" t="s">
        <v>128</v>
      </c>
    </row>
    <row r="134" spans="1:12" x14ac:dyDescent="0.3">
      <c r="A134">
        <v>279</v>
      </c>
      <c r="B134" t="s">
        <v>671</v>
      </c>
      <c r="C134" t="s">
        <v>4369</v>
      </c>
      <c r="D134" t="s">
        <v>658</v>
      </c>
      <c r="E134" t="s">
        <v>27</v>
      </c>
      <c r="F134" t="s">
        <v>22</v>
      </c>
      <c r="H134" t="s">
        <v>4374</v>
      </c>
      <c r="I134" t="s">
        <v>4374</v>
      </c>
      <c r="J134" t="s">
        <v>4376</v>
      </c>
      <c r="L134" t="s">
        <v>128</v>
      </c>
    </row>
    <row r="135" spans="1:12" x14ac:dyDescent="0.3">
      <c r="A135">
        <v>280</v>
      </c>
      <c r="B135" t="s">
        <v>673</v>
      </c>
      <c r="C135" t="s">
        <v>4369</v>
      </c>
      <c r="D135" t="s">
        <v>658</v>
      </c>
      <c r="E135" t="s">
        <v>27</v>
      </c>
      <c r="F135" t="s">
        <v>22</v>
      </c>
      <c r="H135" t="s">
        <v>4374</v>
      </c>
      <c r="I135" t="s">
        <v>4374</v>
      </c>
      <c r="J135" t="s">
        <v>4376</v>
      </c>
      <c r="L135" t="s">
        <v>128</v>
      </c>
    </row>
    <row r="136" spans="1:12" x14ac:dyDescent="0.3">
      <c r="A136">
        <v>281</v>
      </c>
      <c r="B136" t="s">
        <v>675</v>
      </c>
      <c r="C136" t="s">
        <v>4369</v>
      </c>
      <c r="D136" t="s">
        <v>658</v>
      </c>
      <c r="E136" t="s">
        <v>27</v>
      </c>
      <c r="F136" t="s">
        <v>22</v>
      </c>
      <c r="H136" t="s">
        <v>4374</v>
      </c>
      <c r="I136" t="s">
        <v>4374</v>
      </c>
      <c r="J136" t="s">
        <v>4376</v>
      </c>
      <c r="L136" t="s">
        <v>128</v>
      </c>
    </row>
    <row r="137" spans="1:12" x14ac:dyDescent="0.3">
      <c r="A137">
        <v>282</v>
      </c>
      <c r="B137" t="s">
        <v>677</v>
      </c>
      <c r="C137" t="s">
        <v>4369</v>
      </c>
      <c r="D137" t="s">
        <v>658</v>
      </c>
      <c r="E137" t="s">
        <v>27</v>
      </c>
      <c r="F137" t="s">
        <v>22</v>
      </c>
      <c r="G137" t="s">
        <v>3267</v>
      </c>
      <c r="H137" t="s">
        <v>4370</v>
      </c>
      <c r="I137" t="s">
        <v>4371</v>
      </c>
      <c r="J137" t="s">
        <v>4376</v>
      </c>
      <c r="L137" t="s">
        <v>25</v>
      </c>
    </row>
    <row r="138" spans="1:12" x14ac:dyDescent="0.3">
      <c r="A138">
        <v>283</v>
      </c>
      <c r="B138" t="s">
        <v>681</v>
      </c>
      <c r="C138" t="s">
        <v>4369</v>
      </c>
      <c r="D138" t="s">
        <v>658</v>
      </c>
      <c r="E138" t="s">
        <v>27</v>
      </c>
      <c r="F138" t="s">
        <v>22</v>
      </c>
      <c r="G138" t="s">
        <v>3267</v>
      </c>
      <c r="H138" t="s">
        <v>4370</v>
      </c>
      <c r="I138" t="s">
        <v>4371</v>
      </c>
      <c r="J138" t="s">
        <v>4140</v>
      </c>
      <c r="L138" t="s">
        <v>136</v>
      </c>
    </row>
    <row r="139" spans="1:12" x14ac:dyDescent="0.3">
      <c r="A139">
        <v>284</v>
      </c>
      <c r="B139" t="s">
        <v>685</v>
      </c>
      <c r="C139" t="s">
        <v>4369</v>
      </c>
      <c r="D139" t="s">
        <v>658</v>
      </c>
      <c r="E139" t="s">
        <v>27</v>
      </c>
      <c r="F139" t="s">
        <v>22</v>
      </c>
      <c r="H139" t="s">
        <v>4374</v>
      </c>
      <c r="I139" t="s">
        <v>4374</v>
      </c>
      <c r="J139" t="s">
        <v>4376</v>
      </c>
      <c r="L139" t="s">
        <v>128</v>
      </c>
    </row>
    <row r="140" spans="1:12" x14ac:dyDescent="0.3">
      <c r="A140">
        <v>285</v>
      </c>
      <c r="B140" t="s">
        <v>687</v>
      </c>
      <c r="C140" t="s">
        <v>4369</v>
      </c>
      <c r="D140" t="s">
        <v>658</v>
      </c>
      <c r="E140" t="s">
        <v>27</v>
      </c>
      <c r="F140" t="s">
        <v>22</v>
      </c>
      <c r="G140" t="s">
        <v>3267</v>
      </c>
      <c r="H140" t="s">
        <v>4370</v>
      </c>
      <c r="I140" t="s">
        <v>4371</v>
      </c>
      <c r="J140" t="s">
        <v>4140</v>
      </c>
      <c r="L140" t="s">
        <v>25</v>
      </c>
    </row>
    <row r="141" spans="1:12" x14ac:dyDescent="0.3">
      <c r="A141">
        <v>286</v>
      </c>
      <c r="B141" t="s">
        <v>694</v>
      </c>
      <c r="C141" t="s">
        <v>4369</v>
      </c>
      <c r="D141" t="s">
        <v>658</v>
      </c>
      <c r="E141" t="s">
        <v>27</v>
      </c>
      <c r="F141" t="s">
        <v>22</v>
      </c>
      <c r="G141" t="s">
        <v>3268</v>
      </c>
      <c r="H141" t="s">
        <v>4370</v>
      </c>
      <c r="I141" t="s">
        <v>4371</v>
      </c>
      <c r="J141" t="s">
        <v>4376</v>
      </c>
      <c r="L141" t="s">
        <v>128</v>
      </c>
    </row>
    <row r="142" spans="1:12" x14ac:dyDescent="0.3">
      <c r="A142">
        <v>288</v>
      </c>
      <c r="B142" t="s">
        <v>696</v>
      </c>
      <c r="C142" t="s">
        <v>4369</v>
      </c>
      <c r="D142" t="s">
        <v>658</v>
      </c>
      <c r="E142" t="s">
        <v>71</v>
      </c>
      <c r="F142" t="s">
        <v>22</v>
      </c>
      <c r="G142" t="s">
        <v>3267</v>
      </c>
      <c r="H142" t="s">
        <v>4370</v>
      </c>
      <c r="I142" t="s">
        <v>4371</v>
      </c>
      <c r="J142" t="s">
        <v>4140</v>
      </c>
      <c r="L142" t="s">
        <v>128</v>
      </c>
    </row>
    <row r="143" spans="1:12" x14ac:dyDescent="0.3">
      <c r="A143">
        <v>289</v>
      </c>
      <c r="B143" t="s">
        <v>702</v>
      </c>
      <c r="C143" t="s">
        <v>4369</v>
      </c>
      <c r="D143" t="s">
        <v>198</v>
      </c>
      <c r="E143" t="s">
        <v>21</v>
      </c>
      <c r="F143" t="s">
        <v>22</v>
      </c>
      <c r="H143" t="s">
        <v>4374</v>
      </c>
      <c r="I143" t="s">
        <v>4374</v>
      </c>
      <c r="J143" t="s">
        <v>4140</v>
      </c>
      <c r="L143" t="s">
        <v>25</v>
      </c>
    </row>
    <row r="144" spans="1:12" x14ac:dyDescent="0.3">
      <c r="A144">
        <v>290</v>
      </c>
      <c r="B144" t="s">
        <v>705</v>
      </c>
      <c r="C144" t="s">
        <v>4373</v>
      </c>
      <c r="D144" t="s">
        <v>706</v>
      </c>
      <c r="E144" t="s">
        <v>64</v>
      </c>
      <c r="F144" t="s">
        <v>22</v>
      </c>
      <c r="G144" t="s">
        <v>3268</v>
      </c>
      <c r="H144" t="s">
        <v>4370</v>
      </c>
      <c r="I144" t="s">
        <v>4371</v>
      </c>
      <c r="J144" t="s">
        <v>4140</v>
      </c>
      <c r="L144" t="s">
        <v>25</v>
      </c>
    </row>
    <row r="145" spans="1:12" x14ac:dyDescent="0.3">
      <c r="A145">
        <v>291</v>
      </c>
      <c r="B145" t="s">
        <v>710</v>
      </c>
      <c r="C145" t="s">
        <v>4369</v>
      </c>
      <c r="D145" t="s">
        <v>711</v>
      </c>
      <c r="E145" t="s">
        <v>27</v>
      </c>
      <c r="F145" t="s">
        <v>22</v>
      </c>
      <c r="H145" t="s">
        <v>4374</v>
      </c>
      <c r="I145" t="s">
        <v>4374</v>
      </c>
      <c r="J145" t="s">
        <v>4372</v>
      </c>
      <c r="L145" t="s">
        <v>25</v>
      </c>
    </row>
    <row r="146" spans="1:12" x14ac:dyDescent="0.3">
      <c r="A146">
        <v>292</v>
      </c>
      <c r="B146" t="s">
        <v>716</v>
      </c>
      <c r="C146" t="s">
        <v>4369</v>
      </c>
      <c r="D146" t="s">
        <v>711</v>
      </c>
      <c r="E146" t="s">
        <v>27</v>
      </c>
      <c r="F146" t="s">
        <v>22</v>
      </c>
      <c r="G146" t="s">
        <v>3268</v>
      </c>
      <c r="H146" t="s">
        <v>4370</v>
      </c>
      <c r="I146" t="s">
        <v>4371</v>
      </c>
      <c r="J146" t="s">
        <v>4376</v>
      </c>
      <c r="L146" t="s">
        <v>25</v>
      </c>
    </row>
    <row r="147" spans="1:12" x14ac:dyDescent="0.3">
      <c r="A147">
        <v>293</v>
      </c>
      <c r="B147" t="s">
        <v>719</v>
      </c>
      <c r="C147" t="s">
        <v>4369</v>
      </c>
      <c r="D147" t="s">
        <v>711</v>
      </c>
      <c r="E147" t="s">
        <v>27</v>
      </c>
      <c r="F147" t="s">
        <v>22</v>
      </c>
      <c r="H147" t="s">
        <v>4374</v>
      </c>
      <c r="I147" t="s">
        <v>4374</v>
      </c>
      <c r="J147" t="s">
        <v>4372</v>
      </c>
      <c r="L147" t="s">
        <v>25</v>
      </c>
    </row>
    <row r="148" spans="1:12" x14ac:dyDescent="0.3">
      <c r="A148">
        <v>294</v>
      </c>
      <c r="B148" t="s">
        <v>724</v>
      </c>
      <c r="C148" t="s">
        <v>4369</v>
      </c>
      <c r="D148" t="s">
        <v>711</v>
      </c>
      <c r="E148" t="s">
        <v>27</v>
      </c>
      <c r="F148" t="s">
        <v>22</v>
      </c>
      <c r="G148" t="s">
        <v>3268</v>
      </c>
      <c r="H148" t="s">
        <v>4370</v>
      </c>
      <c r="I148" t="s">
        <v>4371</v>
      </c>
      <c r="J148" t="s">
        <v>4376</v>
      </c>
      <c r="L148" t="s">
        <v>25</v>
      </c>
    </row>
    <row r="149" spans="1:12" x14ac:dyDescent="0.3">
      <c r="A149">
        <v>295</v>
      </c>
      <c r="B149" t="s">
        <v>4377</v>
      </c>
      <c r="C149" t="s">
        <v>4369</v>
      </c>
      <c r="D149" t="s">
        <v>63</v>
      </c>
      <c r="E149" t="s">
        <v>27</v>
      </c>
      <c r="F149" t="s">
        <v>22</v>
      </c>
      <c r="H149" t="s">
        <v>4374</v>
      </c>
      <c r="I149" t="s">
        <v>4374</v>
      </c>
      <c r="J149" t="s">
        <v>4372</v>
      </c>
      <c r="L149" t="s">
        <v>128</v>
      </c>
    </row>
    <row r="150" spans="1:12" x14ac:dyDescent="0.3">
      <c r="A150">
        <v>296</v>
      </c>
      <c r="B150" t="s">
        <v>731</v>
      </c>
      <c r="C150" t="s">
        <v>4369</v>
      </c>
      <c r="D150" t="s">
        <v>732</v>
      </c>
      <c r="E150" t="s">
        <v>64</v>
      </c>
      <c r="F150" t="s">
        <v>22</v>
      </c>
      <c r="H150" t="s">
        <v>4374</v>
      </c>
      <c r="I150" t="s">
        <v>4374</v>
      </c>
      <c r="J150" t="s">
        <v>4372</v>
      </c>
      <c r="L150" t="s">
        <v>136</v>
      </c>
    </row>
    <row r="151" spans="1:12" x14ac:dyDescent="0.3">
      <c r="A151">
        <v>297</v>
      </c>
      <c r="B151" t="s">
        <v>734</v>
      </c>
      <c r="C151" t="s">
        <v>4369</v>
      </c>
      <c r="D151" t="s">
        <v>732</v>
      </c>
      <c r="E151" t="s">
        <v>64</v>
      </c>
      <c r="F151" t="s">
        <v>41</v>
      </c>
      <c r="H151" t="s">
        <v>4374</v>
      </c>
      <c r="I151" t="s">
        <v>4374</v>
      </c>
      <c r="J151" t="s">
        <v>4372</v>
      </c>
      <c r="L151" t="s">
        <v>136</v>
      </c>
    </row>
    <row r="152" spans="1:12" x14ac:dyDescent="0.3">
      <c r="A152">
        <v>298</v>
      </c>
      <c r="B152" t="s">
        <v>736</v>
      </c>
      <c r="C152" t="s">
        <v>4369</v>
      </c>
      <c r="D152" t="s">
        <v>732</v>
      </c>
      <c r="E152" t="s">
        <v>27</v>
      </c>
      <c r="F152" t="s">
        <v>41</v>
      </c>
      <c r="H152" t="s">
        <v>4374</v>
      </c>
      <c r="I152" t="s">
        <v>4374</v>
      </c>
      <c r="J152" t="s">
        <v>4376</v>
      </c>
      <c r="L152" t="s">
        <v>128</v>
      </c>
    </row>
    <row r="153" spans="1:12" x14ac:dyDescent="0.3">
      <c r="A153">
        <v>300</v>
      </c>
      <c r="B153" t="s">
        <v>738</v>
      </c>
      <c r="C153" t="s">
        <v>4369</v>
      </c>
      <c r="D153" t="s">
        <v>739</v>
      </c>
      <c r="E153" t="s">
        <v>21</v>
      </c>
      <c r="F153" t="s">
        <v>22</v>
      </c>
      <c r="G153" t="s">
        <v>3267</v>
      </c>
      <c r="H153" t="s">
        <v>4370</v>
      </c>
      <c r="I153" t="s">
        <v>4371</v>
      </c>
      <c r="J153" t="s">
        <v>4372</v>
      </c>
      <c r="L153" t="s">
        <v>25</v>
      </c>
    </row>
    <row r="154" spans="1:12" x14ac:dyDescent="0.3">
      <c r="A154">
        <v>301</v>
      </c>
      <c r="B154" t="s">
        <v>743</v>
      </c>
      <c r="C154" t="s">
        <v>4369</v>
      </c>
      <c r="D154" t="s">
        <v>739</v>
      </c>
      <c r="E154" t="s">
        <v>21</v>
      </c>
      <c r="F154" t="s">
        <v>22</v>
      </c>
      <c r="G154" t="s">
        <v>3267</v>
      </c>
      <c r="H154" t="s">
        <v>4370</v>
      </c>
      <c r="I154" t="s">
        <v>4371</v>
      </c>
      <c r="J154" t="s">
        <v>4372</v>
      </c>
      <c r="L154" t="s">
        <v>25</v>
      </c>
    </row>
    <row r="155" spans="1:12" x14ac:dyDescent="0.3">
      <c r="A155">
        <v>302</v>
      </c>
      <c r="B155" t="s">
        <v>750</v>
      </c>
      <c r="C155" t="s">
        <v>4369</v>
      </c>
      <c r="D155" t="s">
        <v>619</v>
      </c>
      <c r="E155" t="s">
        <v>27</v>
      </c>
      <c r="F155" t="s">
        <v>22</v>
      </c>
      <c r="G155" t="s">
        <v>3268</v>
      </c>
      <c r="H155" t="s">
        <v>4370</v>
      </c>
      <c r="I155" t="s">
        <v>4371</v>
      </c>
      <c r="J155" t="s">
        <v>4376</v>
      </c>
      <c r="L155" t="s">
        <v>128</v>
      </c>
    </row>
    <row r="156" spans="1:12" x14ac:dyDescent="0.3">
      <c r="A156">
        <v>303</v>
      </c>
      <c r="B156" t="s">
        <v>752</v>
      </c>
      <c r="C156" t="s">
        <v>4369</v>
      </c>
      <c r="D156" t="s">
        <v>753</v>
      </c>
      <c r="E156" t="s">
        <v>27</v>
      </c>
      <c r="F156" t="s">
        <v>22</v>
      </c>
      <c r="G156" t="s">
        <v>3268</v>
      </c>
      <c r="H156" t="s">
        <v>4370</v>
      </c>
      <c r="I156" t="s">
        <v>4371</v>
      </c>
      <c r="J156" t="s">
        <v>4376</v>
      </c>
      <c r="L156" t="s">
        <v>25</v>
      </c>
    </row>
    <row r="157" spans="1:12" x14ac:dyDescent="0.3">
      <c r="A157">
        <v>304</v>
      </c>
      <c r="B157" t="s">
        <v>757</v>
      </c>
      <c r="C157" t="s">
        <v>4369</v>
      </c>
      <c r="D157" t="s">
        <v>753</v>
      </c>
      <c r="E157" t="s">
        <v>27</v>
      </c>
      <c r="F157" t="s">
        <v>22</v>
      </c>
      <c r="G157" t="s">
        <v>3267</v>
      </c>
      <c r="H157" t="s">
        <v>4370</v>
      </c>
      <c r="I157" t="s">
        <v>4371</v>
      </c>
      <c r="J157" t="s">
        <v>4376</v>
      </c>
      <c r="L157" t="s">
        <v>128</v>
      </c>
    </row>
    <row r="158" spans="1:12" x14ac:dyDescent="0.3">
      <c r="A158">
        <v>305</v>
      </c>
      <c r="B158" t="s">
        <v>761</v>
      </c>
      <c r="C158" t="s">
        <v>4369</v>
      </c>
      <c r="D158" t="s">
        <v>753</v>
      </c>
      <c r="E158" t="s">
        <v>71</v>
      </c>
      <c r="F158" t="s">
        <v>22</v>
      </c>
      <c r="H158" t="s">
        <v>4374</v>
      </c>
      <c r="I158" t="s">
        <v>4374</v>
      </c>
      <c r="J158" t="s">
        <v>4140</v>
      </c>
      <c r="L158" t="s">
        <v>25</v>
      </c>
    </row>
    <row r="159" spans="1:12" x14ac:dyDescent="0.3">
      <c r="A159">
        <v>306</v>
      </c>
      <c r="B159" t="s">
        <v>764</v>
      </c>
      <c r="C159" t="s">
        <v>4373</v>
      </c>
      <c r="D159" t="s">
        <v>554</v>
      </c>
      <c r="E159" t="s">
        <v>21</v>
      </c>
      <c r="F159" t="s">
        <v>22</v>
      </c>
      <c r="G159" t="s">
        <v>3268</v>
      </c>
      <c r="H159" t="s">
        <v>4370</v>
      </c>
      <c r="I159" t="s">
        <v>4371</v>
      </c>
      <c r="J159" t="s">
        <v>4372</v>
      </c>
      <c r="L159" t="s">
        <v>25</v>
      </c>
    </row>
    <row r="160" spans="1:12" x14ac:dyDescent="0.3">
      <c r="A160">
        <v>307</v>
      </c>
      <c r="B160" t="s">
        <v>768</v>
      </c>
      <c r="C160" t="s">
        <v>4373</v>
      </c>
      <c r="D160" t="s">
        <v>246</v>
      </c>
      <c r="E160" t="s">
        <v>27</v>
      </c>
      <c r="F160" t="s">
        <v>22</v>
      </c>
      <c r="H160" t="s">
        <v>4374</v>
      </c>
      <c r="I160" t="s">
        <v>4374</v>
      </c>
      <c r="J160" t="s">
        <v>4376</v>
      </c>
      <c r="L160" t="s">
        <v>128</v>
      </c>
    </row>
    <row r="161" spans="1:12" x14ac:dyDescent="0.3">
      <c r="A161">
        <v>308</v>
      </c>
      <c r="B161" t="s">
        <v>771</v>
      </c>
      <c r="C161" t="s">
        <v>4373</v>
      </c>
      <c r="D161" t="s">
        <v>246</v>
      </c>
      <c r="E161" t="s">
        <v>27</v>
      </c>
      <c r="F161" t="s">
        <v>22</v>
      </c>
      <c r="H161" t="s">
        <v>4374</v>
      </c>
      <c r="I161" t="s">
        <v>4374</v>
      </c>
      <c r="J161" t="s">
        <v>4376</v>
      </c>
      <c r="L161" t="s">
        <v>128</v>
      </c>
    </row>
    <row r="162" spans="1:12" x14ac:dyDescent="0.3">
      <c r="A162">
        <v>309</v>
      </c>
      <c r="B162" t="s">
        <v>774</v>
      </c>
      <c r="C162" t="s">
        <v>4373</v>
      </c>
      <c r="D162" t="s">
        <v>246</v>
      </c>
      <c r="E162" t="s">
        <v>27</v>
      </c>
      <c r="F162" t="s">
        <v>22</v>
      </c>
      <c r="H162" t="s">
        <v>4374</v>
      </c>
      <c r="I162" t="s">
        <v>4374</v>
      </c>
      <c r="J162" t="s">
        <v>4376</v>
      </c>
      <c r="L162" t="s">
        <v>128</v>
      </c>
    </row>
    <row r="163" spans="1:12" x14ac:dyDescent="0.3">
      <c r="A163">
        <v>310</v>
      </c>
      <c r="B163" t="s">
        <v>778</v>
      </c>
      <c r="C163" t="s">
        <v>4373</v>
      </c>
      <c r="D163" t="s">
        <v>246</v>
      </c>
      <c r="E163" t="s">
        <v>27</v>
      </c>
      <c r="F163" t="s">
        <v>22</v>
      </c>
      <c r="H163" t="s">
        <v>4374</v>
      </c>
      <c r="I163" t="s">
        <v>4374</v>
      </c>
      <c r="J163" t="s">
        <v>4376</v>
      </c>
      <c r="L163" t="s">
        <v>128</v>
      </c>
    </row>
    <row r="164" spans="1:12" x14ac:dyDescent="0.3">
      <c r="A164">
        <v>311</v>
      </c>
      <c r="B164" t="s">
        <v>781</v>
      </c>
      <c r="C164" t="s">
        <v>4373</v>
      </c>
      <c r="D164" t="s">
        <v>246</v>
      </c>
      <c r="E164" t="s">
        <v>27</v>
      </c>
      <c r="F164" t="s">
        <v>22</v>
      </c>
      <c r="H164" t="s">
        <v>4374</v>
      </c>
      <c r="I164" t="s">
        <v>4374</v>
      </c>
      <c r="J164" t="s">
        <v>4376</v>
      </c>
      <c r="L164" t="s">
        <v>128</v>
      </c>
    </row>
    <row r="165" spans="1:12" x14ac:dyDescent="0.3">
      <c r="A165">
        <v>312</v>
      </c>
      <c r="B165" t="s">
        <v>784</v>
      </c>
      <c r="C165" t="s">
        <v>4373</v>
      </c>
      <c r="D165" t="s">
        <v>246</v>
      </c>
      <c r="E165" t="s">
        <v>27</v>
      </c>
      <c r="F165" t="s">
        <v>22</v>
      </c>
      <c r="H165" t="s">
        <v>4374</v>
      </c>
      <c r="I165" t="s">
        <v>4374</v>
      </c>
      <c r="J165" t="s">
        <v>4376</v>
      </c>
      <c r="L165" t="s">
        <v>128</v>
      </c>
    </row>
    <row r="166" spans="1:12" x14ac:dyDescent="0.3">
      <c r="A166">
        <v>313</v>
      </c>
      <c r="B166" t="s">
        <v>787</v>
      </c>
      <c r="C166" t="s">
        <v>4373</v>
      </c>
      <c r="D166" t="s">
        <v>246</v>
      </c>
      <c r="E166" t="s">
        <v>27</v>
      </c>
      <c r="F166" t="s">
        <v>22</v>
      </c>
      <c r="H166" t="s">
        <v>4374</v>
      </c>
      <c r="I166" t="s">
        <v>4374</v>
      </c>
      <c r="J166" t="s">
        <v>4376</v>
      </c>
      <c r="L166" t="s">
        <v>128</v>
      </c>
    </row>
    <row r="167" spans="1:12" x14ac:dyDescent="0.3">
      <c r="A167">
        <v>314</v>
      </c>
      <c r="B167" t="s">
        <v>790</v>
      </c>
      <c r="C167" t="s">
        <v>4373</v>
      </c>
      <c r="D167" t="s">
        <v>246</v>
      </c>
      <c r="E167" t="s">
        <v>27</v>
      </c>
      <c r="F167" t="s">
        <v>22</v>
      </c>
      <c r="H167" t="s">
        <v>4374</v>
      </c>
      <c r="I167" t="s">
        <v>4374</v>
      </c>
      <c r="J167" t="s">
        <v>4376</v>
      </c>
      <c r="L167" t="s">
        <v>128</v>
      </c>
    </row>
    <row r="168" spans="1:12" x14ac:dyDescent="0.3">
      <c r="A168">
        <v>315</v>
      </c>
      <c r="B168" t="s">
        <v>795</v>
      </c>
      <c r="C168" t="s">
        <v>4369</v>
      </c>
      <c r="D168" t="s">
        <v>246</v>
      </c>
      <c r="E168" t="s">
        <v>27</v>
      </c>
      <c r="F168" t="s">
        <v>22</v>
      </c>
      <c r="H168" t="s">
        <v>4374</v>
      </c>
      <c r="I168" t="s">
        <v>4374</v>
      </c>
      <c r="J168" t="s">
        <v>4376</v>
      </c>
      <c r="L168" t="s">
        <v>128</v>
      </c>
    </row>
    <row r="169" spans="1:12" x14ac:dyDescent="0.3">
      <c r="A169">
        <v>316</v>
      </c>
      <c r="B169" t="s">
        <v>797</v>
      </c>
      <c r="C169" t="s">
        <v>4373</v>
      </c>
      <c r="D169" t="s">
        <v>246</v>
      </c>
      <c r="E169" t="s">
        <v>27</v>
      </c>
      <c r="F169" t="s">
        <v>22</v>
      </c>
      <c r="H169" t="s">
        <v>4374</v>
      </c>
      <c r="I169" t="s">
        <v>4374</v>
      </c>
      <c r="J169" t="s">
        <v>4376</v>
      </c>
      <c r="L169" t="s">
        <v>128</v>
      </c>
    </row>
    <row r="170" spans="1:12" x14ac:dyDescent="0.3">
      <c r="A170">
        <v>317</v>
      </c>
      <c r="B170" t="s">
        <v>799</v>
      </c>
      <c r="C170" t="s">
        <v>4369</v>
      </c>
      <c r="D170" t="s">
        <v>246</v>
      </c>
      <c r="E170" t="s">
        <v>71</v>
      </c>
      <c r="F170" t="s">
        <v>22</v>
      </c>
      <c r="H170" t="s">
        <v>4374</v>
      </c>
      <c r="I170" t="s">
        <v>4374</v>
      </c>
      <c r="J170" t="s">
        <v>4140</v>
      </c>
      <c r="L170" t="s">
        <v>128</v>
      </c>
    </row>
    <row r="171" spans="1:12" x14ac:dyDescent="0.3">
      <c r="A171">
        <v>318</v>
      </c>
      <c r="B171" t="s">
        <v>804</v>
      </c>
      <c r="C171" t="s">
        <v>4369</v>
      </c>
      <c r="D171" t="s">
        <v>246</v>
      </c>
      <c r="E171" t="s">
        <v>71</v>
      </c>
      <c r="F171" t="s">
        <v>22</v>
      </c>
      <c r="G171" t="s">
        <v>3267</v>
      </c>
      <c r="H171" t="s">
        <v>4370</v>
      </c>
      <c r="I171" t="s">
        <v>4371</v>
      </c>
      <c r="J171" t="s">
        <v>4140</v>
      </c>
      <c r="L171" t="s">
        <v>25</v>
      </c>
    </row>
    <row r="172" spans="1:12" x14ac:dyDescent="0.3">
      <c r="A172">
        <v>319</v>
      </c>
      <c r="B172" t="s">
        <v>807</v>
      </c>
      <c r="C172" t="s">
        <v>4369</v>
      </c>
      <c r="D172" t="s">
        <v>246</v>
      </c>
      <c r="E172" t="s">
        <v>27</v>
      </c>
      <c r="F172" t="s">
        <v>22</v>
      </c>
      <c r="H172" t="s">
        <v>4374</v>
      </c>
      <c r="I172" t="s">
        <v>4374</v>
      </c>
      <c r="J172" t="s">
        <v>4376</v>
      </c>
      <c r="L172" t="s">
        <v>25</v>
      </c>
    </row>
    <row r="173" spans="1:12" x14ac:dyDescent="0.3">
      <c r="A173">
        <v>320</v>
      </c>
      <c r="B173" t="s">
        <v>812</v>
      </c>
      <c r="C173" t="s">
        <v>4373</v>
      </c>
      <c r="D173" t="s">
        <v>246</v>
      </c>
      <c r="E173" t="s">
        <v>27</v>
      </c>
      <c r="F173" t="s">
        <v>22</v>
      </c>
      <c r="H173" t="s">
        <v>4374</v>
      </c>
      <c r="I173" t="s">
        <v>4374</v>
      </c>
      <c r="J173" t="s">
        <v>4376</v>
      </c>
      <c r="L173" t="s">
        <v>128</v>
      </c>
    </row>
    <row r="174" spans="1:12" x14ac:dyDescent="0.3">
      <c r="A174">
        <v>321</v>
      </c>
      <c r="B174" t="s">
        <v>816</v>
      </c>
      <c r="C174" t="s">
        <v>4373</v>
      </c>
      <c r="D174" t="s">
        <v>246</v>
      </c>
      <c r="E174" t="s">
        <v>27</v>
      </c>
      <c r="F174" t="s">
        <v>22</v>
      </c>
      <c r="H174" t="s">
        <v>4374</v>
      </c>
      <c r="I174" t="s">
        <v>4374</v>
      </c>
      <c r="J174" t="s">
        <v>4376</v>
      </c>
      <c r="L174" t="s">
        <v>128</v>
      </c>
    </row>
    <row r="175" spans="1:12" x14ac:dyDescent="0.3">
      <c r="A175">
        <v>323</v>
      </c>
      <c r="B175" t="s">
        <v>818</v>
      </c>
      <c r="C175" t="s">
        <v>4373</v>
      </c>
      <c r="D175" t="s">
        <v>819</v>
      </c>
      <c r="E175" t="s">
        <v>27</v>
      </c>
      <c r="F175" t="s">
        <v>22</v>
      </c>
      <c r="G175" t="s">
        <v>3267</v>
      </c>
      <c r="H175" t="s">
        <v>4370</v>
      </c>
      <c r="I175" t="s">
        <v>4371</v>
      </c>
      <c r="J175" t="s">
        <v>4376</v>
      </c>
      <c r="L175" t="s">
        <v>128</v>
      </c>
    </row>
    <row r="176" spans="1:12" x14ac:dyDescent="0.3">
      <c r="A176">
        <v>324</v>
      </c>
      <c r="B176" t="s">
        <v>823</v>
      </c>
      <c r="C176" t="s">
        <v>4373</v>
      </c>
      <c r="D176" t="s">
        <v>819</v>
      </c>
      <c r="E176" t="s">
        <v>27</v>
      </c>
      <c r="F176" t="s">
        <v>22</v>
      </c>
      <c r="G176" t="s">
        <v>3267</v>
      </c>
      <c r="H176" t="s">
        <v>4370</v>
      </c>
      <c r="I176" t="s">
        <v>4371</v>
      </c>
      <c r="J176" t="s">
        <v>4376</v>
      </c>
      <c r="L176" t="s">
        <v>128</v>
      </c>
    </row>
    <row r="177" spans="1:12" x14ac:dyDescent="0.3">
      <c r="A177">
        <v>325</v>
      </c>
      <c r="B177" t="s">
        <v>2625</v>
      </c>
      <c r="C177" t="s">
        <v>4373</v>
      </c>
      <c r="D177" t="s">
        <v>819</v>
      </c>
      <c r="E177" t="s">
        <v>27</v>
      </c>
      <c r="F177" t="s">
        <v>22</v>
      </c>
      <c r="G177" t="s">
        <v>3267</v>
      </c>
      <c r="H177" t="s">
        <v>4370</v>
      </c>
      <c r="I177" t="s">
        <v>4371</v>
      </c>
      <c r="J177" t="s">
        <v>4376</v>
      </c>
      <c r="L177" t="s">
        <v>128</v>
      </c>
    </row>
    <row r="178" spans="1:12" x14ac:dyDescent="0.3">
      <c r="A178">
        <v>326</v>
      </c>
      <c r="B178" t="s">
        <v>833</v>
      </c>
      <c r="C178" t="s">
        <v>4369</v>
      </c>
      <c r="D178" t="s">
        <v>644</v>
      </c>
      <c r="E178" t="s">
        <v>71</v>
      </c>
      <c r="F178" t="s">
        <v>22</v>
      </c>
      <c r="G178" t="s">
        <v>3267</v>
      </c>
      <c r="H178" t="s">
        <v>4370</v>
      </c>
      <c r="I178" t="s">
        <v>4371</v>
      </c>
      <c r="J178" t="s">
        <v>4140</v>
      </c>
      <c r="L178" t="s">
        <v>128</v>
      </c>
    </row>
    <row r="179" spans="1:12" x14ac:dyDescent="0.3">
      <c r="A179">
        <v>327</v>
      </c>
      <c r="B179" t="s">
        <v>839</v>
      </c>
      <c r="C179" t="s">
        <v>4373</v>
      </c>
      <c r="D179" t="s">
        <v>644</v>
      </c>
      <c r="E179" t="s">
        <v>27</v>
      </c>
      <c r="F179" t="s">
        <v>22</v>
      </c>
      <c r="G179" t="s">
        <v>3267</v>
      </c>
      <c r="H179" t="s">
        <v>4370</v>
      </c>
      <c r="I179" t="s">
        <v>4371</v>
      </c>
      <c r="J179" t="s">
        <v>4376</v>
      </c>
      <c r="L179" t="s">
        <v>128</v>
      </c>
    </row>
    <row r="180" spans="1:12" x14ac:dyDescent="0.3">
      <c r="A180">
        <v>328</v>
      </c>
      <c r="B180" t="s">
        <v>841</v>
      </c>
      <c r="C180" t="s">
        <v>4373</v>
      </c>
      <c r="D180" t="s">
        <v>842</v>
      </c>
      <c r="E180" t="s">
        <v>71</v>
      </c>
      <c r="F180" t="s">
        <v>22</v>
      </c>
      <c r="H180" t="s">
        <v>4374</v>
      </c>
      <c r="I180" t="s">
        <v>4374</v>
      </c>
      <c r="J180" t="s">
        <v>4140</v>
      </c>
      <c r="L180" t="s">
        <v>128</v>
      </c>
    </row>
    <row r="181" spans="1:12" x14ac:dyDescent="0.3">
      <c r="A181">
        <v>329</v>
      </c>
      <c r="B181" t="s">
        <v>845</v>
      </c>
      <c r="C181" t="s">
        <v>4369</v>
      </c>
      <c r="D181" t="s">
        <v>842</v>
      </c>
      <c r="E181" t="s">
        <v>71</v>
      </c>
      <c r="F181" t="s">
        <v>22</v>
      </c>
      <c r="H181" t="s">
        <v>4374</v>
      </c>
      <c r="I181" t="s">
        <v>4374</v>
      </c>
      <c r="J181" t="s">
        <v>4140</v>
      </c>
      <c r="L181" t="s">
        <v>128</v>
      </c>
    </row>
    <row r="182" spans="1:12" x14ac:dyDescent="0.3">
      <c r="A182">
        <v>331</v>
      </c>
      <c r="B182" t="s">
        <v>848</v>
      </c>
      <c r="C182" t="s">
        <v>4369</v>
      </c>
      <c r="D182" t="s">
        <v>842</v>
      </c>
      <c r="E182" t="s">
        <v>71</v>
      </c>
      <c r="F182" t="s">
        <v>22</v>
      </c>
      <c r="H182" t="s">
        <v>4374</v>
      </c>
      <c r="I182" t="s">
        <v>4374</v>
      </c>
      <c r="J182" t="s">
        <v>4140</v>
      </c>
      <c r="L182" t="s">
        <v>25</v>
      </c>
    </row>
    <row r="183" spans="1:12" x14ac:dyDescent="0.3">
      <c r="A183">
        <v>332</v>
      </c>
      <c r="B183" t="s">
        <v>851</v>
      </c>
      <c r="C183" t="s">
        <v>4373</v>
      </c>
      <c r="D183" t="s">
        <v>40</v>
      </c>
      <c r="E183" t="s">
        <v>27</v>
      </c>
      <c r="F183" t="s">
        <v>41</v>
      </c>
      <c r="G183" t="s">
        <v>3267</v>
      </c>
      <c r="H183" t="s">
        <v>4370</v>
      </c>
      <c r="I183" t="s">
        <v>4371</v>
      </c>
      <c r="J183" t="s">
        <v>4372</v>
      </c>
      <c r="L183" t="s">
        <v>136</v>
      </c>
    </row>
    <row r="184" spans="1:12" x14ac:dyDescent="0.3">
      <c r="A184">
        <v>334</v>
      </c>
      <c r="B184" t="s">
        <v>855</v>
      </c>
      <c r="C184" t="s">
        <v>4369</v>
      </c>
      <c r="D184" t="s">
        <v>40</v>
      </c>
      <c r="E184" t="s">
        <v>71</v>
      </c>
      <c r="F184" t="s">
        <v>22</v>
      </c>
      <c r="G184" t="s">
        <v>3267</v>
      </c>
      <c r="H184" t="s">
        <v>4370</v>
      </c>
      <c r="I184" t="s">
        <v>4371</v>
      </c>
      <c r="J184" t="s">
        <v>4140</v>
      </c>
      <c r="L184" t="s">
        <v>128</v>
      </c>
    </row>
    <row r="185" spans="1:12" x14ac:dyDescent="0.3">
      <c r="A185">
        <v>335</v>
      </c>
      <c r="B185" t="s">
        <v>859</v>
      </c>
      <c r="C185" t="s">
        <v>4369</v>
      </c>
      <c r="D185" t="s">
        <v>40</v>
      </c>
      <c r="E185" t="s">
        <v>71</v>
      </c>
      <c r="F185" t="s">
        <v>22</v>
      </c>
      <c r="H185" t="s">
        <v>4374</v>
      </c>
      <c r="I185" t="s">
        <v>4374</v>
      </c>
      <c r="J185" t="s">
        <v>4140</v>
      </c>
      <c r="L185" t="s">
        <v>25</v>
      </c>
    </row>
    <row r="186" spans="1:12" x14ac:dyDescent="0.3">
      <c r="A186">
        <v>336</v>
      </c>
      <c r="B186" t="s">
        <v>862</v>
      </c>
      <c r="C186" t="s">
        <v>4369</v>
      </c>
      <c r="D186" t="s">
        <v>254</v>
      </c>
      <c r="E186" t="s">
        <v>71</v>
      </c>
      <c r="F186" t="s">
        <v>41</v>
      </c>
      <c r="G186" t="s">
        <v>3267</v>
      </c>
      <c r="H186" t="s">
        <v>4370</v>
      </c>
      <c r="I186" t="s">
        <v>4371</v>
      </c>
      <c r="J186" t="s">
        <v>4140</v>
      </c>
      <c r="L186" t="s">
        <v>25</v>
      </c>
    </row>
    <row r="187" spans="1:12" x14ac:dyDescent="0.3">
      <c r="A187">
        <v>337</v>
      </c>
      <c r="B187" t="s">
        <v>869</v>
      </c>
      <c r="C187" t="s">
        <v>4373</v>
      </c>
      <c r="D187" t="s">
        <v>644</v>
      </c>
      <c r="E187" t="s">
        <v>27</v>
      </c>
      <c r="F187" t="s">
        <v>22</v>
      </c>
      <c r="G187" t="s">
        <v>3267</v>
      </c>
      <c r="H187" t="s">
        <v>4370</v>
      </c>
      <c r="I187" t="s">
        <v>4371</v>
      </c>
      <c r="J187" t="s">
        <v>4376</v>
      </c>
      <c r="L187" t="s">
        <v>128</v>
      </c>
    </row>
    <row r="188" spans="1:12" x14ac:dyDescent="0.3">
      <c r="A188">
        <v>338</v>
      </c>
      <c r="B188" t="s">
        <v>874</v>
      </c>
      <c r="C188" t="s">
        <v>4373</v>
      </c>
      <c r="D188" t="s">
        <v>644</v>
      </c>
      <c r="E188" t="s">
        <v>27</v>
      </c>
      <c r="F188" t="s">
        <v>22</v>
      </c>
      <c r="G188" t="s">
        <v>3267</v>
      </c>
      <c r="H188" t="s">
        <v>4370</v>
      </c>
      <c r="I188" t="s">
        <v>4371</v>
      </c>
      <c r="J188" t="s">
        <v>4376</v>
      </c>
      <c r="L188" t="s">
        <v>128</v>
      </c>
    </row>
    <row r="189" spans="1:12" x14ac:dyDescent="0.3">
      <c r="A189">
        <v>339</v>
      </c>
      <c r="B189" t="s">
        <v>2639</v>
      </c>
      <c r="C189" t="s">
        <v>4373</v>
      </c>
      <c r="D189" t="s">
        <v>877</v>
      </c>
      <c r="E189" t="s">
        <v>71</v>
      </c>
      <c r="F189" t="s">
        <v>22</v>
      </c>
      <c r="G189" t="s">
        <v>3267</v>
      </c>
      <c r="H189" t="s">
        <v>4370</v>
      </c>
      <c r="I189" t="s">
        <v>4371</v>
      </c>
      <c r="J189" t="s">
        <v>4140</v>
      </c>
      <c r="L189" t="s">
        <v>25</v>
      </c>
    </row>
    <row r="190" spans="1:12" x14ac:dyDescent="0.3">
      <c r="A190">
        <v>340</v>
      </c>
      <c r="B190" t="s">
        <v>881</v>
      </c>
      <c r="C190" t="s">
        <v>4369</v>
      </c>
      <c r="D190" t="s">
        <v>167</v>
      </c>
      <c r="E190" t="s">
        <v>21</v>
      </c>
      <c r="F190" t="s">
        <v>22</v>
      </c>
      <c r="H190" t="s">
        <v>4374</v>
      </c>
      <c r="I190" t="s">
        <v>4374</v>
      </c>
      <c r="J190" t="s">
        <v>4140</v>
      </c>
      <c r="L190" t="s">
        <v>25</v>
      </c>
    </row>
    <row r="191" spans="1:12" x14ac:dyDescent="0.3">
      <c r="A191">
        <v>341</v>
      </c>
      <c r="B191" t="s">
        <v>888</v>
      </c>
      <c r="C191" t="s">
        <v>4373</v>
      </c>
      <c r="D191" t="s">
        <v>20</v>
      </c>
      <c r="E191" t="s">
        <v>27</v>
      </c>
      <c r="F191" t="s">
        <v>22</v>
      </c>
      <c r="G191" t="s">
        <v>3267</v>
      </c>
      <c r="H191" t="s">
        <v>4370</v>
      </c>
      <c r="I191" t="s">
        <v>4371</v>
      </c>
      <c r="J191" t="s">
        <v>4376</v>
      </c>
      <c r="L191" t="s">
        <v>205</v>
      </c>
    </row>
    <row r="192" spans="1:12" x14ac:dyDescent="0.3">
      <c r="A192">
        <v>344</v>
      </c>
      <c r="B192" t="s">
        <v>890</v>
      </c>
      <c r="C192" t="s">
        <v>4373</v>
      </c>
      <c r="D192" t="s">
        <v>40</v>
      </c>
      <c r="E192" t="s">
        <v>27</v>
      </c>
      <c r="F192" t="s">
        <v>22</v>
      </c>
      <c r="G192" t="s">
        <v>3267</v>
      </c>
      <c r="H192" t="s">
        <v>4370</v>
      </c>
      <c r="I192" t="s">
        <v>4371</v>
      </c>
      <c r="J192" t="s">
        <v>4372</v>
      </c>
      <c r="L192" t="s">
        <v>25</v>
      </c>
    </row>
    <row r="193" spans="1:12" x14ac:dyDescent="0.3">
      <c r="A193">
        <v>345</v>
      </c>
      <c r="B193" t="s">
        <v>894</v>
      </c>
      <c r="C193" t="s">
        <v>4369</v>
      </c>
      <c r="D193" t="s">
        <v>40</v>
      </c>
      <c r="E193" t="s">
        <v>71</v>
      </c>
      <c r="F193" t="s">
        <v>22</v>
      </c>
      <c r="H193" t="s">
        <v>4374</v>
      </c>
      <c r="I193" t="s">
        <v>4374</v>
      </c>
      <c r="J193" t="s">
        <v>4140</v>
      </c>
      <c r="L193" t="s">
        <v>25</v>
      </c>
    </row>
    <row r="194" spans="1:12" x14ac:dyDescent="0.3">
      <c r="A194">
        <v>346</v>
      </c>
      <c r="B194" t="s">
        <v>896</v>
      </c>
      <c r="C194" t="s">
        <v>4369</v>
      </c>
      <c r="D194" t="s">
        <v>40</v>
      </c>
      <c r="E194" t="s">
        <v>71</v>
      </c>
      <c r="F194" t="s">
        <v>22</v>
      </c>
      <c r="G194" t="s">
        <v>3267</v>
      </c>
      <c r="H194" t="s">
        <v>4370</v>
      </c>
      <c r="I194" t="s">
        <v>4371</v>
      </c>
      <c r="J194" t="s">
        <v>4140</v>
      </c>
      <c r="L194" t="s">
        <v>25</v>
      </c>
    </row>
    <row r="195" spans="1:12" x14ac:dyDescent="0.3">
      <c r="A195">
        <v>347</v>
      </c>
      <c r="B195" t="s">
        <v>900</v>
      </c>
      <c r="C195" t="s">
        <v>4369</v>
      </c>
      <c r="D195" t="s">
        <v>901</v>
      </c>
      <c r="E195" t="s">
        <v>21</v>
      </c>
      <c r="F195" t="s">
        <v>41</v>
      </c>
      <c r="G195" t="s">
        <v>3267</v>
      </c>
      <c r="H195" t="s">
        <v>4370</v>
      </c>
      <c r="I195" t="s">
        <v>4371</v>
      </c>
      <c r="J195" t="s">
        <v>4372</v>
      </c>
      <c r="L195" t="s">
        <v>128</v>
      </c>
    </row>
    <row r="196" spans="1:12" x14ac:dyDescent="0.3">
      <c r="A196">
        <v>348</v>
      </c>
      <c r="B196" t="s">
        <v>905</v>
      </c>
      <c r="C196" t="s">
        <v>4369</v>
      </c>
      <c r="D196" t="s">
        <v>901</v>
      </c>
      <c r="E196" t="s">
        <v>21</v>
      </c>
      <c r="F196" t="s">
        <v>22</v>
      </c>
      <c r="G196" t="s">
        <v>3267</v>
      </c>
      <c r="H196" t="s">
        <v>4370</v>
      </c>
      <c r="I196" t="s">
        <v>4371</v>
      </c>
      <c r="J196" t="s">
        <v>4372</v>
      </c>
      <c r="L196" t="s">
        <v>25</v>
      </c>
    </row>
    <row r="197" spans="1:12" x14ac:dyDescent="0.3">
      <c r="A197">
        <v>351</v>
      </c>
      <c r="B197" t="s">
        <v>913</v>
      </c>
      <c r="C197" t="s">
        <v>4369</v>
      </c>
      <c r="D197" t="s">
        <v>901</v>
      </c>
      <c r="E197" t="s">
        <v>21</v>
      </c>
      <c r="F197" t="s">
        <v>41</v>
      </c>
      <c r="G197" t="s">
        <v>3267</v>
      </c>
      <c r="H197" t="s">
        <v>4370</v>
      </c>
      <c r="I197" t="s">
        <v>4371</v>
      </c>
      <c r="J197" t="s">
        <v>4372</v>
      </c>
      <c r="L197" t="s">
        <v>136</v>
      </c>
    </row>
    <row r="198" spans="1:12" x14ac:dyDescent="0.3">
      <c r="A198">
        <v>352</v>
      </c>
      <c r="B198" t="s">
        <v>917</v>
      </c>
      <c r="C198" t="s">
        <v>4369</v>
      </c>
      <c r="D198" t="s">
        <v>901</v>
      </c>
      <c r="E198" t="s">
        <v>21</v>
      </c>
      <c r="F198" t="s">
        <v>41</v>
      </c>
      <c r="G198" t="s">
        <v>3267</v>
      </c>
      <c r="H198" t="s">
        <v>4370</v>
      </c>
      <c r="I198" t="s">
        <v>4371</v>
      </c>
      <c r="J198" t="s">
        <v>4372</v>
      </c>
      <c r="L198" t="s">
        <v>25</v>
      </c>
    </row>
    <row r="199" spans="1:12" x14ac:dyDescent="0.3">
      <c r="A199">
        <v>353</v>
      </c>
      <c r="B199" t="s">
        <v>921</v>
      </c>
      <c r="C199" t="s">
        <v>4373</v>
      </c>
      <c r="D199" t="s">
        <v>922</v>
      </c>
      <c r="E199" t="s">
        <v>27</v>
      </c>
      <c r="F199" t="s">
        <v>22</v>
      </c>
      <c r="H199" t="s">
        <v>4374</v>
      </c>
      <c r="I199" t="s">
        <v>4374</v>
      </c>
      <c r="J199" t="s">
        <v>4140</v>
      </c>
      <c r="L199" t="s">
        <v>128</v>
      </c>
    </row>
    <row r="200" spans="1:12" x14ac:dyDescent="0.3">
      <c r="A200">
        <v>354</v>
      </c>
      <c r="B200" t="s">
        <v>924</v>
      </c>
      <c r="C200" t="s">
        <v>4369</v>
      </c>
      <c r="D200" t="s">
        <v>922</v>
      </c>
      <c r="E200" t="s">
        <v>27</v>
      </c>
      <c r="F200" t="s">
        <v>22</v>
      </c>
      <c r="H200" t="s">
        <v>4374</v>
      </c>
      <c r="I200" t="s">
        <v>4374</v>
      </c>
      <c r="J200" t="s">
        <v>4140</v>
      </c>
      <c r="L200" t="s">
        <v>136</v>
      </c>
    </row>
    <row r="201" spans="1:12" x14ac:dyDescent="0.3">
      <c r="A201">
        <v>355</v>
      </c>
      <c r="B201" t="s">
        <v>926</v>
      </c>
      <c r="C201" t="s">
        <v>4373</v>
      </c>
      <c r="D201" t="s">
        <v>927</v>
      </c>
      <c r="E201" t="s">
        <v>71</v>
      </c>
      <c r="F201" t="s">
        <v>22</v>
      </c>
      <c r="G201" t="s">
        <v>3267</v>
      </c>
      <c r="H201" t="s">
        <v>4370</v>
      </c>
      <c r="I201" t="s">
        <v>4371</v>
      </c>
      <c r="J201" t="s">
        <v>4140</v>
      </c>
      <c r="L201" t="s">
        <v>136</v>
      </c>
    </row>
    <row r="202" spans="1:12" x14ac:dyDescent="0.3">
      <c r="A202">
        <v>356</v>
      </c>
      <c r="B202" t="s">
        <v>931</v>
      </c>
      <c r="C202" t="s">
        <v>4373</v>
      </c>
      <c r="D202" t="s">
        <v>927</v>
      </c>
      <c r="E202" t="s">
        <v>27</v>
      </c>
      <c r="F202" t="s">
        <v>41</v>
      </c>
      <c r="G202" t="s">
        <v>3267</v>
      </c>
      <c r="H202" t="s">
        <v>4370</v>
      </c>
      <c r="I202" t="s">
        <v>4371</v>
      </c>
      <c r="J202" t="s">
        <v>4372</v>
      </c>
      <c r="L202" t="s">
        <v>25</v>
      </c>
    </row>
    <row r="203" spans="1:12" x14ac:dyDescent="0.3">
      <c r="A203">
        <v>357</v>
      </c>
      <c r="B203" t="s">
        <v>938</v>
      </c>
      <c r="C203" t="s">
        <v>4373</v>
      </c>
      <c r="D203" t="s">
        <v>927</v>
      </c>
      <c r="E203" t="s">
        <v>27</v>
      </c>
      <c r="F203" t="s">
        <v>22</v>
      </c>
      <c r="G203" t="s">
        <v>3267</v>
      </c>
      <c r="H203" t="s">
        <v>4370</v>
      </c>
      <c r="I203" t="s">
        <v>4371</v>
      </c>
      <c r="J203" t="s">
        <v>4140</v>
      </c>
      <c r="L203" t="s">
        <v>205</v>
      </c>
    </row>
    <row r="204" spans="1:12" x14ac:dyDescent="0.3">
      <c r="A204">
        <v>358</v>
      </c>
      <c r="B204" t="s">
        <v>944</v>
      </c>
      <c r="C204" t="s">
        <v>4369</v>
      </c>
      <c r="D204" t="s">
        <v>941</v>
      </c>
      <c r="E204" t="s">
        <v>27</v>
      </c>
      <c r="F204" t="s">
        <v>22</v>
      </c>
      <c r="G204" t="s">
        <v>3267</v>
      </c>
      <c r="H204" t="s">
        <v>4370</v>
      </c>
      <c r="I204" t="s">
        <v>4371</v>
      </c>
      <c r="J204" t="s">
        <v>4372</v>
      </c>
      <c r="L204" t="s">
        <v>25</v>
      </c>
    </row>
    <row r="205" spans="1:12" x14ac:dyDescent="0.3">
      <c r="A205">
        <v>359</v>
      </c>
      <c r="B205" t="s">
        <v>948</v>
      </c>
      <c r="C205" t="s">
        <v>4373</v>
      </c>
      <c r="D205" t="s">
        <v>653</v>
      </c>
      <c r="E205" t="s">
        <v>27</v>
      </c>
      <c r="F205" t="s">
        <v>22</v>
      </c>
      <c r="G205" t="s">
        <v>3267</v>
      </c>
      <c r="H205" t="s">
        <v>4370</v>
      </c>
      <c r="I205" t="s">
        <v>4371</v>
      </c>
      <c r="J205" t="s">
        <v>4140</v>
      </c>
      <c r="L205" t="s">
        <v>25</v>
      </c>
    </row>
    <row r="206" spans="1:12" x14ac:dyDescent="0.3">
      <c r="A206">
        <v>360</v>
      </c>
      <c r="B206" t="s">
        <v>2700</v>
      </c>
      <c r="C206" t="s">
        <v>4369</v>
      </c>
      <c r="D206" t="s">
        <v>653</v>
      </c>
      <c r="E206" t="s">
        <v>27</v>
      </c>
      <c r="F206" t="s">
        <v>22</v>
      </c>
      <c r="H206" t="s">
        <v>4374</v>
      </c>
      <c r="I206" t="s">
        <v>4374</v>
      </c>
      <c r="J206" t="s">
        <v>4140</v>
      </c>
      <c r="L206" t="s">
        <v>25</v>
      </c>
    </row>
    <row r="207" spans="1:12" x14ac:dyDescent="0.3">
      <c r="A207">
        <v>361</v>
      </c>
      <c r="B207" t="s">
        <v>950</v>
      </c>
      <c r="C207" t="s">
        <v>4373</v>
      </c>
      <c r="D207" t="s">
        <v>951</v>
      </c>
      <c r="E207" t="s">
        <v>71</v>
      </c>
      <c r="F207" t="s">
        <v>22</v>
      </c>
      <c r="G207" t="s">
        <v>3267</v>
      </c>
      <c r="H207" t="s">
        <v>4370</v>
      </c>
      <c r="I207" t="s">
        <v>4371</v>
      </c>
      <c r="J207" t="s">
        <v>4140</v>
      </c>
      <c r="L207" t="s">
        <v>136</v>
      </c>
    </row>
    <row r="208" spans="1:12" x14ac:dyDescent="0.3">
      <c r="A208">
        <v>362</v>
      </c>
      <c r="B208" t="s">
        <v>955</v>
      </c>
      <c r="C208" t="s">
        <v>4369</v>
      </c>
      <c r="D208" t="s">
        <v>956</v>
      </c>
      <c r="E208" t="s">
        <v>27</v>
      </c>
      <c r="F208" t="s">
        <v>22</v>
      </c>
      <c r="G208" t="s">
        <v>3268</v>
      </c>
      <c r="H208" t="s">
        <v>4370</v>
      </c>
      <c r="I208" t="s">
        <v>4371</v>
      </c>
      <c r="J208" t="s">
        <v>4376</v>
      </c>
      <c r="L208" t="s">
        <v>25</v>
      </c>
    </row>
    <row r="209" spans="1:12" x14ac:dyDescent="0.3">
      <c r="A209">
        <v>363</v>
      </c>
      <c r="B209" t="s">
        <v>960</v>
      </c>
      <c r="C209" t="s">
        <v>4369</v>
      </c>
      <c r="D209" t="s">
        <v>956</v>
      </c>
      <c r="E209" t="s">
        <v>27</v>
      </c>
      <c r="F209" t="s">
        <v>22</v>
      </c>
      <c r="G209" t="s">
        <v>3267</v>
      </c>
      <c r="H209" t="s">
        <v>4370</v>
      </c>
      <c r="I209" t="s">
        <v>4371</v>
      </c>
      <c r="J209" t="s">
        <v>4372</v>
      </c>
      <c r="L209" t="s">
        <v>25</v>
      </c>
    </row>
    <row r="210" spans="1:12" x14ac:dyDescent="0.3">
      <c r="A210">
        <v>364</v>
      </c>
      <c r="B210" t="s">
        <v>964</v>
      </c>
      <c r="C210" t="s">
        <v>4369</v>
      </c>
      <c r="D210" t="s">
        <v>951</v>
      </c>
      <c r="E210" t="s">
        <v>27</v>
      </c>
      <c r="F210" t="s">
        <v>22</v>
      </c>
      <c r="G210" t="s">
        <v>3267</v>
      </c>
      <c r="H210" t="s">
        <v>4370</v>
      </c>
      <c r="I210" t="s">
        <v>4371</v>
      </c>
      <c r="J210" t="s">
        <v>4376</v>
      </c>
      <c r="L210" t="s">
        <v>128</v>
      </c>
    </row>
    <row r="211" spans="1:12" x14ac:dyDescent="0.3">
      <c r="A211">
        <v>365</v>
      </c>
      <c r="B211" t="s">
        <v>968</v>
      </c>
      <c r="C211" t="s">
        <v>4373</v>
      </c>
      <c r="D211" t="s">
        <v>3253</v>
      </c>
      <c r="E211" t="s">
        <v>27</v>
      </c>
      <c r="F211" t="s">
        <v>22</v>
      </c>
      <c r="H211" t="s">
        <v>4374</v>
      </c>
      <c r="I211" t="s">
        <v>4374</v>
      </c>
      <c r="J211" t="s">
        <v>4372</v>
      </c>
      <c r="L211" t="s">
        <v>25</v>
      </c>
    </row>
    <row r="212" spans="1:12" x14ac:dyDescent="0.3">
      <c r="A212">
        <v>366</v>
      </c>
      <c r="B212" t="s">
        <v>970</v>
      </c>
      <c r="C212" t="s">
        <v>4369</v>
      </c>
      <c r="D212" t="s">
        <v>956</v>
      </c>
      <c r="E212" t="s">
        <v>71</v>
      </c>
      <c r="F212" t="s">
        <v>22</v>
      </c>
      <c r="G212" t="s">
        <v>3267</v>
      </c>
      <c r="H212" t="s">
        <v>4370</v>
      </c>
      <c r="I212" t="s">
        <v>4371</v>
      </c>
      <c r="J212" t="s">
        <v>4140</v>
      </c>
      <c r="L212" t="s">
        <v>128</v>
      </c>
    </row>
    <row r="213" spans="1:12" x14ac:dyDescent="0.3">
      <c r="A213">
        <v>367</v>
      </c>
      <c r="B213" t="s">
        <v>2714</v>
      </c>
      <c r="C213" t="s">
        <v>4373</v>
      </c>
      <c r="D213" t="s">
        <v>951</v>
      </c>
      <c r="E213" t="s">
        <v>71</v>
      </c>
      <c r="F213" t="s">
        <v>22</v>
      </c>
      <c r="G213" t="s">
        <v>3267</v>
      </c>
      <c r="H213" t="s">
        <v>4370</v>
      </c>
      <c r="I213" t="s">
        <v>4371</v>
      </c>
      <c r="J213" t="s">
        <v>4140</v>
      </c>
      <c r="L213" t="s">
        <v>25</v>
      </c>
    </row>
    <row r="214" spans="1:12" x14ac:dyDescent="0.3">
      <c r="A214">
        <v>368</v>
      </c>
      <c r="B214" t="s">
        <v>978</v>
      </c>
      <c r="C214" t="s">
        <v>4369</v>
      </c>
      <c r="D214" t="s">
        <v>982</v>
      </c>
      <c r="E214" t="s">
        <v>21</v>
      </c>
      <c r="F214" t="s">
        <v>22</v>
      </c>
      <c r="G214" t="s">
        <v>3267</v>
      </c>
      <c r="H214" t="s">
        <v>4370</v>
      </c>
      <c r="I214" t="s">
        <v>4371</v>
      </c>
      <c r="J214" t="s">
        <v>4372</v>
      </c>
      <c r="L214" t="s">
        <v>25</v>
      </c>
    </row>
    <row r="215" spans="1:12" x14ac:dyDescent="0.3">
      <c r="A215">
        <v>369</v>
      </c>
      <c r="B215" t="s">
        <v>984</v>
      </c>
      <c r="C215" t="s">
        <v>4373</v>
      </c>
      <c r="D215" t="s">
        <v>951</v>
      </c>
      <c r="E215" t="s">
        <v>27</v>
      </c>
      <c r="F215" t="s">
        <v>22</v>
      </c>
      <c r="G215" t="s">
        <v>3268</v>
      </c>
      <c r="H215" t="s">
        <v>4370</v>
      </c>
      <c r="I215" t="s">
        <v>4371</v>
      </c>
      <c r="J215" t="s">
        <v>4376</v>
      </c>
      <c r="L215" t="s">
        <v>128</v>
      </c>
    </row>
    <row r="216" spans="1:12" x14ac:dyDescent="0.3">
      <c r="A216">
        <v>370</v>
      </c>
      <c r="B216" t="s">
        <v>988</v>
      </c>
      <c r="C216" t="s">
        <v>4369</v>
      </c>
      <c r="D216" t="s">
        <v>951</v>
      </c>
      <c r="E216" t="s">
        <v>27</v>
      </c>
      <c r="F216" t="s">
        <v>22</v>
      </c>
      <c r="H216" t="s">
        <v>4374</v>
      </c>
      <c r="I216" t="s">
        <v>4374</v>
      </c>
      <c r="J216" t="s">
        <v>4140</v>
      </c>
      <c r="L216" t="s">
        <v>128</v>
      </c>
    </row>
    <row r="217" spans="1:12" x14ac:dyDescent="0.3">
      <c r="A217">
        <v>371</v>
      </c>
      <c r="B217" t="s">
        <v>990</v>
      </c>
      <c r="C217" t="s">
        <v>4373</v>
      </c>
      <c r="D217" t="s">
        <v>951</v>
      </c>
      <c r="E217" t="s">
        <v>27</v>
      </c>
      <c r="F217" t="s">
        <v>22</v>
      </c>
      <c r="G217" t="s">
        <v>3267</v>
      </c>
      <c r="H217" t="s">
        <v>4370</v>
      </c>
      <c r="I217" t="s">
        <v>4371</v>
      </c>
      <c r="J217" t="s">
        <v>4376</v>
      </c>
      <c r="L217" t="s">
        <v>205</v>
      </c>
    </row>
    <row r="218" spans="1:12" x14ac:dyDescent="0.3">
      <c r="A218">
        <v>372</v>
      </c>
      <c r="B218" t="s">
        <v>994</v>
      </c>
      <c r="C218" t="s">
        <v>4369</v>
      </c>
      <c r="D218" t="s">
        <v>982</v>
      </c>
      <c r="E218" t="s">
        <v>21</v>
      </c>
      <c r="F218" t="s">
        <v>22</v>
      </c>
      <c r="G218" t="s">
        <v>3267</v>
      </c>
      <c r="H218" t="s">
        <v>4370</v>
      </c>
      <c r="I218" t="s">
        <v>4371</v>
      </c>
      <c r="J218" t="s">
        <v>4372</v>
      </c>
      <c r="L218" t="s">
        <v>25</v>
      </c>
    </row>
    <row r="219" spans="1:12" x14ac:dyDescent="0.3">
      <c r="A219">
        <v>373</v>
      </c>
      <c r="B219" t="s">
        <v>998</v>
      </c>
      <c r="C219" t="s">
        <v>4373</v>
      </c>
      <c r="D219" t="s">
        <v>567</v>
      </c>
      <c r="E219" t="s">
        <v>21</v>
      </c>
      <c r="F219" t="s">
        <v>22</v>
      </c>
      <c r="G219" t="s">
        <v>3268</v>
      </c>
      <c r="H219" t="s">
        <v>4370</v>
      </c>
      <c r="I219" t="s">
        <v>4371</v>
      </c>
      <c r="J219" t="s">
        <v>4372</v>
      </c>
      <c r="L219" t="s">
        <v>25</v>
      </c>
    </row>
    <row r="220" spans="1:12" x14ac:dyDescent="0.3">
      <c r="A220">
        <v>374</v>
      </c>
      <c r="B220" t="s">
        <v>1002</v>
      </c>
      <c r="C220" t="s">
        <v>4369</v>
      </c>
      <c r="D220" t="s">
        <v>3254</v>
      </c>
      <c r="E220" t="s">
        <v>27</v>
      </c>
      <c r="F220" t="s">
        <v>22</v>
      </c>
      <c r="H220" t="s">
        <v>4374</v>
      </c>
      <c r="I220" t="s">
        <v>4374</v>
      </c>
      <c r="J220" t="s">
        <v>4372</v>
      </c>
      <c r="L220" t="s">
        <v>128</v>
      </c>
    </row>
    <row r="221" spans="1:12" x14ac:dyDescent="0.3">
      <c r="A221">
        <v>375</v>
      </c>
      <c r="B221" t="s">
        <v>1004</v>
      </c>
      <c r="C221" t="s">
        <v>4369</v>
      </c>
      <c r="D221" t="s">
        <v>956</v>
      </c>
      <c r="E221" t="s">
        <v>27</v>
      </c>
      <c r="F221" t="s">
        <v>22</v>
      </c>
      <c r="G221" t="s">
        <v>3268</v>
      </c>
      <c r="H221" t="s">
        <v>4370</v>
      </c>
      <c r="I221" t="s">
        <v>4371</v>
      </c>
      <c r="J221" t="s">
        <v>4372</v>
      </c>
      <c r="L221" t="s">
        <v>25</v>
      </c>
    </row>
    <row r="222" spans="1:12" x14ac:dyDescent="0.3">
      <c r="A222">
        <v>376</v>
      </c>
      <c r="B222" t="s">
        <v>1008</v>
      </c>
      <c r="C222" t="s">
        <v>4373</v>
      </c>
      <c r="D222" t="s">
        <v>159</v>
      </c>
      <c r="E222" t="s">
        <v>27</v>
      </c>
      <c r="F222" t="s">
        <v>22</v>
      </c>
      <c r="G222" t="s">
        <v>3267</v>
      </c>
      <c r="H222" t="s">
        <v>4370</v>
      </c>
      <c r="I222" t="s">
        <v>4371</v>
      </c>
      <c r="J222" t="s">
        <v>4140</v>
      </c>
      <c r="L222" t="s">
        <v>205</v>
      </c>
    </row>
    <row r="223" spans="1:12" x14ac:dyDescent="0.3">
      <c r="A223">
        <v>377</v>
      </c>
      <c r="B223" t="s">
        <v>1012</v>
      </c>
      <c r="C223" t="s">
        <v>4373</v>
      </c>
      <c r="D223" t="s">
        <v>159</v>
      </c>
      <c r="E223" t="s">
        <v>71</v>
      </c>
      <c r="F223" t="s">
        <v>22</v>
      </c>
      <c r="G223" t="s">
        <v>3267</v>
      </c>
      <c r="H223" t="s">
        <v>4370</v>
      </c>
      <c r="I223" t="s">
        <v>4371</v>
      </c>
      <c r="J223" t="s">
        <v>4140</v>
      </c>
      <c r="L223" t="s">
        <v>205</v>
      </c>
    </row>
    <row r="224" spans="1:12" x14ac:dyDescent="0.3">
      <c r="A224">
        <v>378</v>
      </c>
      <c r="B224" t="s">
        <v>1016</v>
      </c>
      <c r="C224" t="s">
        <v>4373</v>
      </c>
      <c r="D224" t="s">
        <v>53</v>
      </c>
      <c r="E224" t="s">
        <v>54</v>
      </c>
      <c r="F224" t="s">
        <v>22</v>
      </c>
      <c r="H224" t="s">
        <v>4374</v>
      </c>
      <c r="I224" t="s">
        <v>4374</v>
      </c>
      <c r="J224" t="s">
        <v>4372</v>
      </c>
      <c r="L224" t="s">
        <v>25</v>
      </c>
    </row>
    <row r="225" spans="1:12" x14ac:dyDescent="0.3">
      <c r="A225">
        <v>379</v>
      </c>
      <c r="B225" t="s">
        <v>1019</v>
      </c>
      <c r="C225" t="s">
        <v>4373</v>
      </c>
      <c r="D225" t="s">
        <v>1020</v>
      </c>
      <c r="E225" t="s">
        <v>27</v>
      </c>
      <c r="F225" t="s">
        <v>22</v>
      </c>
      <c r="G225" t="s">
        <v>3267</v>
      </c>
      <c r="H225" t="s">
        <v>4370</v>
      </c>
      <c r="I225" t="s">
        <v>4371</v>
      </c>
      <c r="J225" t="s">
        <v>4376</v>
      </c>
      <c r="L225" t="s">
        <v>128</v>
      </c>
    </row>
    <row r="226" spans="1:12" x14ac:dyDescent="0.3">
      <c r="A226">
        <v>380</v>
      </c>
      <c r="B226" t="s">
        <v>1024</v>
      </c>
      <c r="C226" t="s">
        <v>4373</v>
      </c>
      <c r="D226" t="s">
        <v>1020</v>
      </c>
      <c r="E226" t="s">
        <v>27</v>
      </c>
      <c r="F226" t="s">
        <v>22</v>
      </c>
      <c r="H226" t="s">
        <v>4374</v>
      </c>
      <c r="I226" t="s">
        <v>4374</v>
      </c>
      <c r="J226" t="s">
        <v>4376</v>
      </c>
      <c r="L226" t="s">
        <v>205</v>
      </c>
    </row>
    <row r="227" spans="1:12" x14ac:dyDescent="0.3">
      <c r="A227">
        <v>381</v>
      </c>
      <c r="B227" t="s">
        <v>1027</v>
      </c>
      <c r="C227" t="s">
        <v>4373</v>
      </c>
      <c r="D227" t="s">
        <v>1020</v>
      </c>
      <c r="E227" t="s">
        <v>27</v>
      </c>
      <c r="F227" t="s">
        <v>22</v>
      </c>
      <c r="G227" t="s">
        <v>3267</v>
      </c>
      <c r="H227" t="s">
        <v>4370</v>
      </c>
      <c r="I227" t="s">
        <v>4371</v>
      </c>
      <c r="J227" t="s">
        <v>4376</v>
      </c>
      <c r="L227" t="s">
        <v>128</v>
      </c>
    </row>
    <row r="228" spans="1:12" x14ac:dyDescent="0.3">
      <c r="A228">
        <v>382</v>
      </c>
      <c r="B228" t="s">
        <v>1031</v>
      </c>
      <c r="C228" t="s">
        <v>4373</v>
      </c>
      <c r="D228" t="s">
        <v>1020</v>
      </c>
      <c r="E228" t="s">
        <v>27</v>
      </c>
      <c r="F228" t="s">
        <v>22</v>
      </c>
      <c r="G228" t="s">
        <v>3267</v>
      </c>
      <c r="H228" t="s">
        <v>4370</v>
      </c>
      <c r="I228" t="s">
        <v>4371</v>
      </c>
      <c r="J228" t="s">
        <v>4376</v>
      </c>
      <c r="L228" t="s">
        <v>128</v>
      </c>
    </row>
    <row r="229" spans="1:12" x14ac:dyDescent="0.3">
      <c r="A229">
        <v>383</v>
      </c>
      <c r="B229" t="s">
        <v>1035</v>
      </c>
      <c r="C229" t="s">
        <v>4369</v>
      </c>
      <c r="D229" t="s">
        <v>1020</v>
      </c>
      <c r="E229" t="s">
        <v>27</v>
      </c>
      <c r="F229" t="s">
        <v>22</v>
      </c>
      <c r="G229" t="s">
        <v>3267</v>
      </c>
      <c r="H229" t="s">
        <v>4370</v>
      </c>
      <c r="I229" t="s">
        <v>4371</v>
      </c>
      <c r="J229" t="s">
        <v>4376</v>
      </c>
      <c r="L229" t="s">
        <v>128</v>
      </c>
    </row>
    <row r="230" spans="1:12" x14ac:dyDescent="0.3">
      <c r="A230">
        <v>384</v>
      </c>
      <c r="B230" t="s">
        <v>1039</v>
      </c>
      <c r="C230" t="s">
        <v>4369</v>
      </c>
      <c r="D230" t="s">
        <v>1020</v>
      </c>
      <c r="E230" t="s">
        <v>27</v>
      </c>
      <c r="F230" t="s">
        <v>22</v>
      </c>
      <c r="G230" t="s">
        <v>3267</v>
      </c>
      <c r="H230" t="s">
        <v>4370</v>
      </c>
      <c r="I230" t="s">
        <v>4371</v>
      </c>
      <c r="J230" t="s">
        <v>4376</v>
      </c>
      <c r="L230" t="s">
        <v>128</v>
      </c>
    </row>
    <row r="231" spans="1:12" x14ac:dyDescent="0.3">
      <c r="A231">
        <v>385</v>
      </c>
      <c r="B231" t="s">
        <v>1043</v>
      </c>
      <c r="C231" t="s">
        <v>4373</v>
      </c>
      <c r="D231" t="s">
        <v>1044</v>
      </c>
      <c r="E231" t="s">
        <v>27</v>
      </c>
      <c r="F231" t="s">
        <v>22</v>
      </c>
      <c r="G231" t="s">
        <v>3267</v>
      </c>
      <c r="H231" t="s">
        <v>4370</v>
      </c>
      <c r="I231" t="s">
        <v>4371</v>
      </c>
      <c r="J231" t="s">
        <v>4140</v>
      </c>
      <c r="L231" t="s">
        <v>205</v>
      </c>
    </row>
    <row r="232" spans="1:12" x14ac:dyDescent="0.3">
      <c r="A232">
        <v>386</v>
      </c>
      <c r="B232" t="s">
        <v>1048</v>
      </c>
      <c r="C232" t="s">
        <v>4373</v>
      </c>
      <c r="D232" t="s">
        <v>1044</v>
      </c>
      <c r="E232" t="s">
        <v>27</v>
      </c>
      <c r="F232" t="s">
        <v>22</v>
      </c>
      <c r="G232" t="s">
        <v>3268</v>
      </c>
      <c r="H232" t="s">
        <v>4370</v>
      </c>
      <c r="I232" t="s">
        <v>4371</v>
      </c>
      <c r="J232" t="s">
        <v>4376</v>
      </c>
      <c r="L232" t="s">
        <v>25</v>
      </c>
    </row>
    <row r="233" spans="1:12" x14ac:dyDescent="0.3">
      <c r="A233">
        <v>387</v>
      </c>
      <c r="B233" t="s">
        <v>1052</v>
      </c>
      <c r="C233" t="s">
        <v>4373</v>
      </c>
      <c r="D233" t="s">
        <v>549</v>
      </c>
      <c r="E233" t="s">
        <v>27</v>
      </c>
      <c r="F233" t="s">
        <v>22</v>
      </c>
      <c r="H233" t="s">
        <v>4374</v>
      </c>
      <c r="I233" t="s">
        <v>4374</v>
      </c>
      <c r="J233" t="s">
        <v>4372</v>
      </c>
      <c r="L233" t="s">
        <v>128</v>
      </c>
    </row>
    <row r="234" spans="1:12" x14ac:dyDescent="0.3">
      <c r="A234">
        <v>388</v>
      </c>
      <c r="B234" t="s">
        <v>1054</v>
      </c>
      <c r="C234" t="s">
        <v>4373</v>
      </c>
      <c r="D234" t="s">
        <v>549</v>
      </c>
      <c r="E234" t="s">
        <v>27</v>
      </c>
      <c r="F234" t="s">
        <v>22</v>
      </c>
      <c r="H234" t="s">
        <v>4374</v>
      </c>
      <c r="I234" t="s">
        <v>4374</v>
      </c>
      <c r="J234" t="s">
        <v>4372</v>
      </c>
      <c r="L234" t="s">
        <v>128</v>
      </c>
    </row>
    <row r="235" spans="1:12" x14ac:dyDescent="0.3">
      <c r="A235">
        <v>389</v>
      </c>
      <c r="B235" t="s">
        <v>1056</v>
      </c>
      <c r="C235" t="s">
        <v>4373</v>
      </c>
      <c r="D235" t="s">
        <v>1059</v>
      </c>
      <c r="E235" t="s">
        <v>27</v>
      </c>
      <c r="F235" t="s">
        <v>22</v>
      </c>
      <c r="G235" t="s">
        <v>3268</v>
      </c>
      <c r="H235" t="s">
        <v>4370</v>
      </c>
      <c r="I235" t="s">
        <v>4371</v>
      </c>
      <c r="J235" t="s">
        <v>4372</v>
      </c>
      <c r="L235" t="s">
        <v>25</v>
      </c>
    </row>
    <row r="236" spans="1:12" x14ac:dyDescent="0.3">
      <c r="A236">
        <v>390</v>
      </c>
      <c r="B236" t="s">
        <v>1061</v>
      </c>
      <c r="C236" t="s">
        <v>4373</v>
      </c>
      <c r="D236" t="s">
        <v>567</v>
      </c>
      <c r="E236" t="s">
        <v>21</v>
      </c>
      <c r="F236" t="s">
        <v>22</v>
      </c>
      <c r="G236" t="s">
        <v>3268</v>
      </c>
      <c r="H236" t="s">
        <v>4370</v>
      </c>
      <c r="I236" t="s">
        <v>4371</v>
      </c>
      <c r="J236" t="s">
        <v>4140</v>
      </c>
      <c r="K236" t="s">
        <v>4378</v>
      </c>
      <c r="L236" t="s">
        <v>25</v>
      </c>
    </row>
    <row r="237" spans="1:12" x14ac:dyDescent="0.3">
      <c r="A237">
        <v>391</v>
      </c>
      <c r="B237" t="s">
        <v>1065</v>
      </c>
      <c r="C237" t="s">
        <v>4373</v>
      </c>
      <c r="D237" t="s">
        <v>1066</v>
      </c>
      <c r="E237" t="s">
        <v>27</v>
      </c>
      <c r="F237" t="s">
        <v>22</v>
      </c>
      <c r="H237" t="s">
        <v>4374</v>
      </c>
      <c r="I237" t="s">
        <v>4374</v>
      </c>
      <c r="J237" t="s">
        <v>4372</v>
      </c>
      <c r="L237" t="s">
        <v>25</v>
      </c>
    </row>
    <row r="238" spans="1:12" x14ac:dyDescent="0.3">
      <c r="A238">
        <v>392</v>
      </c>
      <c r="B238" t="s">
        <v>1069</v>
      </c>
      <c r="C238" t="s">
        <v>4373</v>
      </c>
      <c r="D238" t="s">
        <v>1066</v>
      </c>
      <c r="E238" t="s">
        <v>71</v>
      </c>
      <c r="F238" t="s">
        <v>22</v>
      </c>
      <c r="G238" t="s">
        <v>3267</v>
      </c>
      <c r="H238" t="s">
        <v>4370</v>
      </c>
      <c r="I238" t="s">
        <v>4371</v>
      </c>
      <c r="J238" t="s">
        <v>4140</v>
      </c>
      <c r="L238" t="s">
        <v>205</v>
      </c>
    </row>
    <row r="239" spans="1:12" x14ac:dyDescent="0.3">
      <c r="A239">
        <v>393</v>
      </c>
      <c r="B239" t="s">
        <v>1073</v>
      </c>
      <c r="C239" t="s">
        <v>4369</v>
      </c>
      <c r="D239" t="s">
        <v>1066</v>
      </c>
      <c r="E239" t="s">
        <v>71</v>
      </c>
      <c r="F239" t="s">
        <v>41</v>
      </c>
      <c r="G239" t="s">
        <v>3267</v>
      </c>
      <c r="H239" t="s">
        <v>4370</v>
      </c>
      <c r="I239" t="s">
        <v>4371</v>
      </c>
      <c r="J239" t="s">
        <v>4140</v>
      </c>
      <c r="L239" t="s">
        <v>136</v>
      </c>
    </row>
    <row r="240" spans="1:12" x14ac:dyDescent="0.3">
      <c r="A240">
        <v>394</v>
      </c>
      <c r="B240" t="s">
        <v>1077</v>
      </c>
      <c r="C240" t="s">
        <v>4373</v>
      </c>
      <c r="D240" t="s">
        <v>1078</v>
      </c>
      <c r="E240" t="s">
        <v>21</v>
      </c>
      <c r="F240" t="s">
        <v>22</v>
      </c>
      <c r="G240" t="s">
        <v>3267</v>
      </c>
      <c r="H240" t="s">
        <v>4370</v>
      </c>
      <c r="I240" t="s">
        <v>4371</v>
      </c>
      <c r="J240" t="s">
        <v>4372</v>
      </c>
      <c r="L240" t="s">
        <v>128</v>
      </c>
    </row>
    <row r="241" spans="1:12" x14ac:dyDescent="0.3">
      <c r="A241">
        <v>395</v>
      </c>
      <c r="B241" t="s">
        <v>1084</v>
      </c>
      <c r="C241" t="s">
        <v>4369</v>
      </c>
      <c r="D241" t="s">
        <v>1078</v>
      </c>
      <c r="E241" t="s">
        <v>21</v>
      </c>
      <c r="F241" t="s">
        <v>22</v>
      </c>
      <c r="G241" t="s">
        <v>3267</v>
      </c>
      <c r="H241" t="s">
        <v>4370</v>
      </c>
      <c r="I241" t="s">
        <v>4371</v>
      </c>
      <c r="J241" t="s">
        <v>4372</v>
      </c>
      <c r="L241" t="s">
        <v>128</v>
      </c>
    </row>
    <row r="242" spans="1:12" x14ac:dyDescent="0.3">
      <c r="A242">
        <v>396</v>
      </c>
      <c r="B242" t="s">
        <v>1087</v>
      </c>
      <c r="C242" t="s">
        <v>4369</v>
      </c>
      <c r="D242" t="s">
        <v>1089</v>
      </c>
      <c r="E242" t="s">
        <v>27</v>
      </c>
      <c r="F242" t="s">
        <v>22</v>
      </c>
      <c r="H242" t="s">
        <v>4374</v>
      </c>
      <c r="I242" t="s">
        <v>4374</v>
      </c>
      <c r="J242" t="s">
        <v>4376</v>
      </c>
      <c r="L242" t="s">
        <v>136</v>
      </c>
    </row>
    <row r="243" spans="1:12" x14ac:dyDescent="0.3">
      <c r="A243">
        <v>397</v>
      </c>
      <c r="B243" t="s">
        <v>1094</v>
      </c>
      <c r="C243" t="s">
        <v>4369</v>
      </c>
      <c r="D243" t="s">
        <v>1089</v>
      </c>
      <c r="E243" t="s">
        <v>27</v>
      </c>
      <c r="F243" t="s">
        <v>22</v>
      </c>
      <c r="G243" t="s">
        <v>3267</v>
      </c>
      <c r="H243" t="s">
        <v>4370</v>
      </c>
      <c r="I243" t="s">
        <v>4371</v>
      </c>
      <c r="J243" t="s">
        <v>4372</v>
      </c>
      <c r="L243" t="s">
        <v>25</v>
      </c>
    </row>
    <row r="244" spans="1:12" x14ac:dyDescent="0.3">
      <c r="A244">
        <v>398</v>
      </c>
      <c r="B244" t="s">
        <v>1096</v>
      </c>
      <c r="C244" t="s">
        <v>4369</v>
      </c>
      <c r="D244" t="s">
        <v>1097</v>
      </c>
      <c r="E244" t="s">
        <v>27</v>
      </c>
      <c r="F244" t="s">
        <v>22</v>
      </c>
      <c r="G244" t="s">
        <v>3267</v>
      </c>
      <c r="H244" t="s">
        <v>4370</v>
      </c>
      <c r="I244" t="s">
        <v>4371</v>
      </c>
      <c r="J244" t="s">
        <v>4376</v>
      </c>
      <c r="L244" t="s">
        <v>128</v>
      </c>
    </row>
    <row r="245" spans="1:12" x14ac:dyDescent="0.3">
      <c r="A245">
        <v>399</v>
      </c>
      <c r="B245" t="s">
        <v>1101</v>
      </c>
      <c r="C245" t="s">
        <v>4369</v>
      </c>
      <c r="D245" t="s">
        <v>1097</v>
      </c>
      <c r="E245" t="s">
        <v>27</v>
      </c>
      <c r="F245" t="s">
        <v>22</v>
      </c>
      <c r="G245" t="s">
        <v>3267</v>
      </c>
      <c r="H245" t="s">
        <v>4370</v>
      </c>
      <c r="I245" t="s">
        <v>4371</v>
      </c>
      <c r="J245" t="s">
        <v>4376</v>
      </c>
      <c r="L245" t="s">
        <v>128</v>
      </c>
    </row>
    <row r="246" spans="1:12" x14ac:dyDescent="0.3">
      <c r="A246">
        <v>400</v>
      </c>
      <c r="B246" t="s">
        <v>1105</v>
      </c>
      <c r="C246" t="s">
        <v>4369</v>
      </c>
      <c r="D246" t="s">
        <v>1097</v>
      </c>
      <c r="E246" t="s">
        <v>27</v>
      </c>
      <c r="F246" t="s">
        <v>22</v>
      </c>
      <c r="G246" t="s">
        <v>3267</v>
      </c>
      <c r="H246" t="s">
        <v>4370</v>
      </c>
      <c r="I246" t="s">
        <v>4371</v>
      </c>
      <c r="J246" t="s">
        <v>4376</v>
      </c>
      <c r="L246" t="s">
        <v>128</v>
      </c>
    </row>
    <row r="247" spans="1:12" x14ac:dyDescent="0.3">
      <c r="A247">
        <v>401</v>
      </c>
      <c r="B247" t="s">
        <v>1109</v>
      </c>
      <c r="C247" t="s">
        <v>4369</v>
      </c>
      <c r="D247" t="s">
        <v>1110</v>
      </c>
      <c r="E247" t="s">
        <v>27</v>
      </c>
      <c r="F247" t="s">
        <v>22</v>
      </c>
      <c r="G247" t="s">
        <v>3267</v>
      </c>
      <c r="H247" t="s">
        <v>4370</v>
      </c>
      <c r="I247" t="s">
        <v>4371</v>
      </c>
      <c r="J247" t="s">
        <v>4376</v>
      </c>
      <c r="L247" t="s">
        <v>128</v>
      </c>
    </row>
    <row r="248" spans="1:12" x14ac:dyDescent="0.3">
      <c r="A248">
        <v>402</v>
      </c>
      <c r="B248" t="s">
        <v>1114</v>
      </c>
      <c r="C248" t="s">
        <v>4373</v>
      </c>
      <c r="D248" t="s">
        <v>1110</v>
      </c>
      <c r="E248" t="s">
        <v>71</v>
      </c>
      <c r="F248" t="s">
        <v>22</v>
      </c>
      <c r="G248" t="s">
        <v>3267</v>
      </c>
      <c r="H248" t="s">
        <v>4370</v>
      </c>
      <c r="I248" t="s">
        <v>4371</v>
      </c>
      <c r="J248" t="s">
        <v>4140</v>
      </c>
      <c r="L248" t="s">
        <v>128</v>
      </c>
    </row>
    <row r="249" spans="1:12" x14ac:dyDescent="0.3">
      <c r="A249">
        <v>403</v>
      </c>
      <c r="B249" t="s">
        <v>1121</v>
      </c>
      <c r="C249" t="s">
        <v>4373</v>
      </c>
      <c r="D249" t="s">
        <v>1110</v>
      </c>
      <c r="E249" t="s">
        <v>27</v>
      </c>
      <c r="F249" t="s">
        <v>22</v>
      </c>
      <c r="G249" t="s">
        <v>3267</v>
      </c>
      <c r="H249" t="s">
        <v>4370</v>
      </c>
      <c r="I249" t="s">
        <v>4371</v>
      </c>
      <c r="J249" t="s">
        <v>4376</v>
      </c>
      <c r="L249" t="s">
        <v>128</v>
      </c>
    </row>
    <row r="250" spans="1:12" x14ac:dyDescent="0.3">
      <c r="A250">
        <v>404</v>
      </c>
      <c r="B250" t="s">
        <v>1123</v>
      </c>
      <c r="C250" t="s">
        <v>4373</v>
      </c>
      <c r="D250" t="s">
        <v>1110</v>
      </c>
      <c r="E250" t="s">
        <v>27</v>
      </c>
      <c r="F250" t="s">
        <v>41</v>
      </c>
      <c r="H250" t="s">
        <v>4374</v>
      </c>
      <c r="I250" t="s">
        <v>4374</v>
      </c>
      <c r="J250" t="s">
        <v>4372</v>
      </c>
      <c r="L250" t="s">
        <v>25</v>
      </c>
    </row>
    <row r="251" spans="1:12" x14ac:dyDescent="0.3">
      <c r="A251">
        <v>405</v>
      </c>
      <c r="B251" t="s">
        <v>1126</v>
      </c>
      <c r="C251" t="s">
        <v>4373</v>
      </c>
      <c r="D251" t="s">
        <v>1110</v>
      </c>
      <c r="E251" t="s">
        <v>27</v>
      </c>
      <c r="F251" t="s">
        <v>22</v>
      </c>
      <c r="H251" t="s">
        <v>4374</v>
      </c>
      <c r="I251" t="s">
        <v>4374</v>
      </c>
      <c r="J251" t="s">
        <v>4140</v>
      </c>
      <c r="L251" t="s">
        <v>25</v>
      </c>
    </row>
    <row r="252" spans="1:12" x14ac:dyDescent="0.3">
      <c r="A252">
        <v>406</v>
      </c>
      <c r="B252" t="s">
        <v>1129</v>
      </c>
      <c r="C252" t="s">
        <v>4373</v>
      </c>
      <c r="D252" t="s">
        <v>644</v>
      </c>
      <c r="E252" t="s">
        <v>27</v>
      </c>
      <c r="F252" t="s">
        <v>22</v>
      </c>
      <c r="H252" t="s">
        <v>4374</v>
      </c>
      <c r="I252" t="s">
        <v>4374</v>
      </c>
      <c r="J252" t="s">
        <v>4376</v>
      </c>
      <c r="L252" t="s">
        <v>128</v>
      </c>
    </row>
    <row r="253" spans="1:12" x14ac:dyDescent="0.3">
      <c r="A253">
        <v>407</v>
      </c>
      <c r="B253" t="s">
        <v>1132</v>
      </c>
      <c r="C253" t="s">
        <v>4373</v>
      </c>
      <c r="D253" t="s">
        <v>644</v>
      </c>
      <c r="E253" t="s">
        <v>27</v>
      </c>
      <c r="F253" t="s">
        <v>22</v>
      </c>
      <c r="H253" t="s">
        <v>4374</v>
      </c>
      <c r="I253" t="s">
        <v>4374</v>
      </c>
      <c r="J253" t="s">
        <v>4376</v>
      </c>
      <c r="L253" t="s">
        <v>128</v>
      </c>
    </row>
    <row r="254" spans="1:12" x14ac:dyDescent="0.3">
      <c r="A254">
        <v>408</v>
      </c>
      <c r="B254" t="s">
        <v>1135</v>
      </c>
      <c r="C254" t="s">
        <v>4373</v>
      </c>
      <c r="D254" t="s">
        <v>819</v>
      </c>
      <c r="E254" t="s">
        <v>27</v>
      </c>
      <c r="F254" t="s">
        <v>22</v>
      </c>
      <c r="G254" t="s">
        <v>3268</v>
      </c>
      <c r="H254" t="s">
        <v>4370</v>
      </c>
      <c r="I254" t="s">
        <v>4371</v>
      </c>
      <c r="J254" t="s">
        <v>4376</v>
      </c>
      <c r="L254" t="s">
        <v>128</v>
      </c>
    </row>
    <row r="255" spans="1:12" x14ac:dyDescent="0.3">
      <c r="A255">
        <v>409</v>
      </c>
      <c r="B255" t="s">
        <v>1139</v>
      </c>
      <c r="C255" t="s">
        <v>4369</v>
      </c>
      <c r="D255" t="s">
        <v>595</v>
      </c>
      <c r="E255" t="s">
        <v>21</v>
      </c>
      <c r="F255" t="s">
        <v>22</v>
      </c>
      <c r="G255" t="s">
        <v>3268</v>
      </c>
      <c r="H255" t="s">
        <v>4370</v>
      </c>
      <c r="I255" t="s">
        <v>4371</v>
      </c>
      <c r="J255" t="s">
        <v>4376</v>
      </c>
      <c r="L255" t="s">
        <v>25</v>
      </c>
    </row>
    <row r="256" spans="1:12" x14ac:dyDescent="0.3">
      <c r="A256">
        <v>410</v>
      </c>
      <c r="B256" t="s">
        <v>1143</v>
      </c>
      <c r="C256" t="s">
        <v>4369</v>
      </c>
      <c r="D256" t="s">
        <v>595</v>
      </c>
      <c r="E256" t="s">
        <v>21</v>
      </c>
      <c r="F256" t="s">
        <v>22</v>
      </c>
      <c r="H256" t="s">
        <v>4374</v>
      </c>
      <c r="I256" t="s">
        <v>4374</v>
      </c>
      <c r="J256" t="s">
        <v>4376</v>
      </c>
      <c r="L256" t="s">
        <v>25</v>
      </c>
    </row>
    <row r="257" spans="1:12" x14ac:dyDescent="0.3">
      <c r="A257">
        <v>411</v>
      </c>
      <c r="B257" t="s">
        <v>1145</v>
      </c>
      <c r="C257" t="s">
        <v>4369</v>
      </c>
      <c r="D257" t="s">
        <v>1078</v>
      </c>
      <c r="E257" t="s">
        <v>27</v>
      </c>
      <c r="F257" t="s">
        <v>22</v>
      </c>
      <c r="H257" t="s">
        <v>4374</v>
      </c>
      <c r="I257" t="s">
        <v>4374</v>
      </c>
      <c r="J257" t="s">
        <v>4372</v>
      </c>
      <c r="L257" t="s">
        <v>25</v>
      </c>
    </row>
    <row r="258" spans="1:12" x14ac:dyDescent="0.3">
      <c r="A258">
        <v>412</v>
      </c>
      <c r="B258" t="s">
        <v>1149</v>
      </c>
      <c r="C258" t="s">
        <v>4369</v>
      </c>
      <c r="D258" t="s">
        <v>1078</v>
      </c>
      <c r="E258" t="s">
        <v>71</v>
      </c>
      <c r="F258" t="s">
        <v>22</v>
      </c>
      <c r="H258" t="s">
        <v>4374</v>
      </c>
      <c r="I258" t="s">
        <v>4374</v>
      </c>
      <c r="J258" t="s">
        <v>4140</v>
      </c>
      <c r="L258" t="s">
        <v>25</v>
      </c>
    </row>
    <row r="259" spans="1:12" x14ac:dyDescent="0.3">
      <c r="A259">
        <v>413</v>
      </c>
      <c r="B259" t="s">
        <v>1153</v>
      </c>
      <c r="C259" t="s">
        <v>4369</v>
      </c>
      <c r="D259" t="s">
        <v>1078</v>
      </c>
      <c r="E259" t="s">
        <v>71</v>
      </c>
      <c r="F259" t="s">
        <v>22</v>
      </c>
      <c r="G259" t="s">
        <v>3267</v>
      </c>
      <c r="H259" t="s">
        <v>4370</v>
      </c>
      <c r="I259" t="s">
        <v>4371</v>
      </c>
      <c r="J259" t="s">
        <v>4140</v>
      </c>
      <c r="L259" t="s">
        <v>128</v>
      </c>
    </row>
    <row r="260" spans="1:12" x14ac:dyDescent="0.3">
      <c r="A260">
        <v>414</v>
      </c>
      <c r="B260" t="s">
        <v>1156</v>
      </c>
      <c r="C260" t="s">
        <v>4373</v>
      </c>
      <c r="D260" t="s">
        <v>567</v>
      </c>
      <c r="E260" t="s">
        <v>21</v>
      </c>
      <c r="F260" t="s">
        <v>22</v>
      </c>
      <c r="G260" t="s">
        <v>3268</v>
      </c>
      <c r="H260" t="s">
        <v>4370</v>
      </c>
      <c r="I260" t="s">
        <v>4371</v>
      </c>
      <c r="J260" t="s">
        <v>4140</v>
      </c>
      <c r="K260" t="s">
        <v>4378</v>
      </c>
      <c r="L260" t="s">
        <v>128</v>
      </c>
    </row>
    <row r="261" spans="1:12" x14ac:dyDescent="0.3">
      <c r="A261">
        <v>415</v>
      </c>
      <c r="B261" t="s">
        <v>1160</v>
      </c>
      <c r="C261" t="s">
        <v>4373</v>
      </c>
      <c r="D261" t="s">
        <v>567</v>
      </c>
      <c r="E261" t="s">
        <v>21</v>
      </c>
      <c r="F261" t="s">
        <v>22</v>
      </c>
      <c r="G261" t="s">
        <v>3268</v>
      </c>
      <c r="H261" t="s">
        <v>4370</v>
      </c>
      <c r="I261" t="s">
        <v>4371</v>
      </c>
      <c r="J261" t="s">
        <v>4140</v>
      </c>
      <c r="K261" t="s">
        <v>4378</v>
      </c>
      <c r="L261" t="s">
        <v>25</v>
      </c>
    </row>
    <row r="262" spans="1:12" x14ac:dyDescent="0.3">
      <c r="A262">
        <v>416</v>
      </c>
      <c r="B262" t="s">
        <v>1164</v>
      </c>
      <c r="C262" t="s">
        <v>4373</v>
      </c>
      <c r="D262" t="s">
        <v>567</v>
      </c>
      <c r="E262" t="s">
        <v>21</v>
      </c>
      <c r="F262" t="s">
        <v>22</v>
      </c>
      <c r="G262" t="s">
        <v>3268</v>
      </c>
      <c r="H262" t="s">
        <v>4370</v>
      </c>
      <c r="I262" t="s">
        <v>4371</v>
      </c>
      <c r="J262" t="s">
        <v>4140</v>
      </c>
      <c r="K262" t="s">
        <v>4378</v>
      </c>
      <c r="L262" t="s">
        <v>25</v>
      </c>
    </row>
    <row r="263" spans="1:12" x14ac:dyDescent="0.3">
      <c r="A263">
        <v>417</v>
      </c>
      <c r="B263" t="s">
        <v>1168</v>
      </c>
      <c r="C263" t="s">
        <v>4373</v>
      </c>
      <c r="D263" t="s">
        <v>567</v>
      </c>
      <c r="E263" t="s">
        <v>21</v>
      </c>
      <c r="F263" t="s">
        <v>22</v>
      </c>
      <c r="G263" t="s">
        <v>3268</v>
      </c>
      <c r="H263" t="s">
        <v>4370</v>
      </c>
      <c r="I263" t="s">
        <v>4371</v>
      </c>
      <c r="J263" t="s">
        <v>4140</v>
      </c>
      <c r="K263" t="s">
        <v>4378</v>
      </c>
      <c r="L263" t="s">
        <v>25</v>
      </c>
    </row>
    <row r="264" spans="1:12" x14ac:dyDescent="0.3">
      <c r="A264">
        <v>418</v>
      </c>
      <c r="B264" t="s">
        <v>1172</v>
      </c>
      <c r="C264" t="s">
        <v>4373</v>
      </c>
      <c r="D264" t="s">
        <v>567</v>
      </c>
      <c r="E264" t="s">
        <v>21</v>
      </c>
      <c r="F264" t="s">
        <v>22</v>
      </c>
      <c r="G264" t="s">
        <v>3268</v>
      </c>
      <c r="H264" t="s">
        <v>4370</v>
      </c>
      <c r="I264" t="s">
        <v>4371</v>
      </c>
      <c r="J264" t="s">
        <v>4140</v>
      </c>
      <c r="K264" t="s">
        <v>4378</v>
      </c>
      <c r="L264" t="s">
        <v>25</v>
      </c>
    </row>
    <row r="265" spans="1:12" x14ac:dyDescent="0.3">
      <c r="A265">
        <v>419</v>
      </c>
      <c r="B265" t="s">
        <v>1176</v>
      </c>
      <c r="C265" t="s">
        <v>4373</v>
      </c>
      <c r="D265" t="s">
        <v>567</v>
      </c>
      <c r="E265" t="s">
        <v>21</v>
      </c>
      <c r="F265" t="s">
        <v>22</v>
      </c>
      <c r="H265" t="s">
        <v>4374</v>
      </c>
      <c r="I265" t="s">
        <v>4374</v>
      </c>
      <c r="J265" t="s">
        <v>4140</v>
      </c>
      <c r="K265" t="s">
        <v>4378</v>
      </c>
      <c r="L265" t="s">
        <v>25</v>
      </c>
    </row>
    <row r="266" spans="1:12" x14ac:dyDescent="0.3">
      <c r="A266">
        <v>420</v>
      </c>
      <c r="B266" t="s">
        <v>1178</v>
      </c>
      <c r="C266" t="s">
        <v>4373</v>
      </c>
      <c r="D266" t="s">
        <v>567</v>
      </c>
      <c r="E266" t="s">
        <v>21</v>
      </c>
      <c r="F266" t="s">
        <v>22</v>
      </c>
      <c r="G266" t="s">
        <v>3268</v>
      </c>
      <c r="H266" t="s">
        <v>4370</v>
      </c>
      <c r="I266" t="s">
        <v>4371</v>
      </c>
      <c r="J266" t="s">
        <v>4140</v>
      </c>
      <c r="K266" t="s">
        <v>4378</v>
      </c>
      <c r="L266" t="s">
        <v>25</v>
      </c>
    </row>
    <row r="267" spans="1:12" x14ac:dyDescent="0.3">
      <c r="A267">
        <v>421</v>
      </c>
      <c r="B267" t="s">
        <v>1182</v>
      </c>
      <c r="C267" t="s">
        <v>4369</v>
      </c>
      <c r="D267" t="s">
        <v>1183</v>
      </c>
      <c r="E267" t="s">
        <v>27</v>
      </c>
      <c r="F267" t="s">
        <v>22</v>
      </c>
      <c r="H267" t="s">
        <v>4374</v>
      </c>
      <c r="I267" t="s">
        <v>4374</v>
      </c>
      <c r="J267" t="s">
        <v>4376</v>
      </c>
      <c r="L267" t="s">
        <v>128</v>
      </c>
    </row>
    <row r="268" spans="1:12" x14ac:dyDescent="0.3">
      <c r="A268">
        <v>422</v>
      </c>
      <c r="B268" t="s">
        <v>1186</v>
      </c>
      <c r="C268" t="s">
        <v>4373</v>
      </c>
      <c r="D268" t="s">
        <v>1183</v>
      </c>
      <c r="E268" t="s">
        <v>27</v>
      </c>
      <c r="F268" t="s">
        <v>22</v>
      </c>
      <c r="G268" t="s">
        <v>3267</v>
      </c>
      <c r="H268" t="s">
        <v>4370</v>
      </c>
      <c r="I268" t="s">
        <v>4371</v>
      </c>
      <c r="J268" t="s">
        <v>4140</v>
      </c>
      <c r="L268" t="s">
        <v>25</v>
      </c>
    </row>
    <row r="269" spans="1:12" x14ac:dyDescent="0.3">
      <c r="A269">
        <v>423</v>
      </c>
      <c r="B269" t="s">
        <v>1190</v>
      </c>
      <c r="C269" t="s">
        <v>4373</v>
      </c>
      <c r="D269" t="s">
        <v>1183</v>
      </c>
      <c r="E269" t="s">
        <v>71</v>
      </c>
      <c r="F269" t="s">
        <v>22</v>
      </c>
      <c r="G269" t="s">
        <v>3267</v>
      </c>
      <c r="H269" t="s">
        <v>4370</v>
      </c>
      <c r="I269" t="s">
        <v>4371</v>
      </c>
      <c r="J269" t="s">
        <v>4140</v>
      </c>
      <c r="L269" t="s">
        <v>136</v>
      </c>
    </row>
    <row r="270" spans="1:12" x14ac:dyDescent="0.3">
      <c r="A270">
        <v>424</v>
      </c>
      <c r="B270" t="s">
        <v>2929</v>
      </c>
      <c r="C270" t="s">
        <v>4373</v>
      </c>
      <c r="D270" t="s">
        <v>1183</v>
      </c>
      <c r="E270" t="s">
        <v>71</v>
      </c>
      <c r="F270" t="s">
        <v>22</v>
      </c>
      <c r="G270" t="s">
        <v>3267</v>
      </c>
      <c r="H270" t="s">
        <v>4370</v>
      </c>
      <c r="I270" t="s">
        <v>4371</v>
      </c>
      <c r="J270" t="s">
        <v>4140</v>
      </c>
      <c r="L270" t="s">
        <v>128</v>
      </c>
    </row>
    <row r="271" spans="1:12" x14ac:dyDescent="0.3">
      <c r="A271">
        <v>425</v>
      </c>
      <c r="B271" t="s">
        <v>1198</v>
      </c>
      <c r="C271" t="s">
        <v>4369</v>
      </c>
      <c r="D271" t="s">
        <v>1044</v>
      </c>
      <c r="E271" t="s">
        <v>27</v>
      </c>
      <c r="F271" t="s">
        <v>22</v>
      </c>
      <c r="H271" t="s">
        <v>4374</v>
      </c>
      <c r="I271" t="s">
        <v>4374</v>
      </c>
      <c r="J271" t="s">
        <v>4376</v>
      </c>
      <c r="L271" t="s">
        <v>128</v>
      </c>
    </row>
    <row r="272" spans="1:12" x14ac:dyDescent="0.3">
      <c r="A272">
        <v>426</v>
      </c>
      <c r="B272" t="s">
        <v>1201</v>
      </c>
      <c r="C272" t="s">
        <v>4369</v>
      </c>
      <c r="D272" t="s">
        <v>149</v>
      </c>
      <c r="E272" t="s">
        <v>27</v>
      </c>
      <c r="F272" t="s">
        <v>22</v>
      </c>
      <c r="G272" t="s">
        <v>3267</v>
      </c>
      <c r="H272" t="s">
        <v>4370</v>
      </c>
      <c r="I272" t="s">
        <v>4371</v>
      </c>
      <c r="J272" t="s">
        <v>4372</v>
      </c>
      <c r="L272" t="s">
        <v>25</v>
      </c>
    </row>
    <row r="273" spans="1:12" x14ac:dyDescent="0.3">
      <c r="A273">
        <v>427</v>
      </c>
      <c r="B273" t="s">
        <v>1204</v>
      </c>
      <c r="C273" t="s">
        <v>4369</v>
      </c>
      <c r="D273" t="s">
        <v>190</v>
      </c>
      <c r="E273" t="s">
        <v>27</v>
      </c>
      <c r="F273" t="s">
        <v>41</v>
      </c>
      <c r="G273" t="s">
        <v>3268</v>
      </c>
      <c r="H273" t="s">
        <v>4370</v>
      </c>
      <c r="I273" t="s">
        <v>4371</v>
      </c>
      <c r="J273" t="s">
        <v>4372</v>
      </c>
      <c r="L273" t="s">
        <v>136</v>
      </c>
    </row>
    <row r="274" spans="1:12" x14ac:dyDescent="0.3">
      <c r="A274">
        <v>428</v>
      </c>
      <c r="B274" t="s">
        <v>1208</v>
      </c>
      <c r="C274" t="s">
        <v>4369</v>
      </c>
      <c r="D274" t="s">
        <v>190</v>
      </c>
      <c r="E274" t="s">
        <v>27</v>
      </c>
      <c r="F274" t="s">
        <v>41</v>
      </c>
      <c r="G274" t="s">
        <v>3268</v>
      </c>
      <c r="H274" t="s">
        <v>4370</v>
      </c>
      <c r="I274" t="s">
        <v>4371</v>
      </c>
      <c r="J274" t="s">
        <v>4372</v>
      </c>
      <c r="L274" t="s">
        <v>424</v>
      </c>
    </row>
    <row r="275" spans="1:12" x14ac:dyDescent="0.3">
      <c r="A275">
        <v>429</v>
      </c>
      <c r="B275" t="s">
        <v>1212</v>
      </c>
      <c r="C275" t="s">
        <v>4369</v>
      </c>
      <c r="D275" t="s">
        <v>190</v>
      </c>
      <c r="E275" t="s">
        <v>27</v>
      </c>
      <c r="F275" t="s">
        <v>41</v>
      </c>
      <c r="G275" t="s">
        <v>3268</v>
      </c>
      <c r="H275" t="s">
        <v>4370</v>
      </c>
      <c r="I275" t="s">
        <v>4371</v>
      </c>
      <c r="J275" t="s">
        <v>4372</v>
      </c>
      <c r="L275" t="s">
        <v>136</v>
      </c>
    </row>
    <row r="276" spans="1:12" x14ac:dyDescent="0.3">
      <c r="A276">
        <v>430</v>
      </c>
      <c r="B276" t="s">
        <v>1216</v>
      </c>
      <c r="C276" t="s">
        <v>4373</v>
      </c>
      <c r="D276" t="s">
        <v>159</v>
      </c>
      <c r="E276" t="s">
        <v>27</v>
      </c>
      <c r="F276" t="s">
        <v>22</v>
      </c>
      <c r="G276" t="s">
        <v>3268</v>
      </c>
      <c r="H276" t="s">
        <v>4370</v>
      </c>
      <c r="I276" t="s">
        <v>4371</v>
      </c>
      <c r="J276" t="s">
        <v>4140</v>
      </c>
      <c r="L276" t="s">
        <v>25</v>
      </c>
    </row>
    <row r="277" spans="1:12" x14ac:dyDescent="0.3">
      <c r="A277">
        <v>431</v>
      </c>
      <c r="B277" t="s">
        <v>1220</v>
      </c>
      <c r="C277" t="s">
        <v>4369</v>
      </c>
      <c r="D277" t="s">
        <v>70</v>
      </c>
      <c r="E277" t="s">
        <v>21</v>
      </c>
      <c r="F277" t="s">
        <v>22</v>
      </c>
      <c r="G277" t="s">
        <v>3267</v>
      </c>
      <c r="H277" t="s">
        <v>4370</v>
      </c>
      <c r="I277" t="s">
        <v>4371</v>
      </c>
      <c r="J277" t="s">
        <v>4372</v>
      </c>
      <c r="L277" t="s">
        <v>25</v>
      </c>
    </row>
    <row r="278" spans="1:12" x14ac:dyDescent="0.3">
      <c r="A278">
        <v>432</v>
      </c>
      <c r="B278" t="s">
        <v>1224</v>
      </c>
      <c r="C278" t="s">
        <v>4369</v>
      </c>
      <c r="D278" t="s">
        <v>70</v>
      </c>
      <c r="E278" t="s">
        <v>21</v>
      </c>
      <c r="F278" t="s">
        <v>22</v>
      </c>
      <c r="G278" t="s">
        <v>3268</v>
      </c>
      <c r="H278" t="s">
        <v>4370</v>
      </c>
      <c r="I278" t="s">
        <v>4371</v>
      </c>
      <c r="J278" t="s">
        <v>4372</v>
      </c>
      <c r="L278" t="s">
        <v>25</v>
      </c>
    </row>
    <row r="279" spans="1:12" x14ac:dyDescent="0.3">
      <c r="A279">
        <v>433</v>
      </c>
      <c r="B279" t="s">
        <v>1228</v>
      </c>
      <c r="C279" t="s">
        <v>4369</v>
      </c>
      <c r="D279" t="s">
        <v>190</v>
      </c>
      <c r="E279" t="s">
        <v>27</v>
      </c>
      <c r="F279" t="s">
        <v>41</v>
      </c>
      <c r="G279" t="s">
        <v>3268</v>
      </c>
      <c r="H279" t="s">
        <v>4370</v>
      </c>
      <c r="I279" t="s">
        <v>4371</v>
      </c>
      <c r="J279" t="s">
        <v>4372</v>
      </c>
      <c r="L279" t="s">
        <v>136</v>
      </c>
    </row>
    <row r="280" spans="1:12" x14ac:dyDescent="0.3">
      <c r="A280">
        <v>434</v>
      </c>
      <c r="B280" t="s">
        <v>1234</v>
      </c>
      <c r="C280" t="s">
        <v>4369</v>
      </c>
      <c r="D280" t="s">
        <v>190</v>
      </c>
      <c r="E280" t="s">
        <v>54</v>
      </c>
      <c r="F280" t="s">
        <v>41</v>
      </c>
      <c r="G280" t="s">
        <v>3268</v>
      </c>
      <c r="H280" t="s">
        <v>4370</v>
      </c>
      <c r="I280" t="s">
        <v>4371</v>
      </c>
      <c r="J280" t="s">
        <v>4376</v>
      </c>
      <c r="L280" t="s">
        <v>403</v>
      </c>
    </row>
    <row r="281" spans="1:12" x14ac:dyDescent="0.3">
      <c r="A281">
        <v>435</v>
      </c>
      <c r="B281" t="s">
        <v>1237</v>
      </c>
      <c r="C281" t="s">
        <v>4369</v>
      </c>
      <c r="D281" t="s">
        <v>190</v>
      </c>
      <c r="E281" t="s">
        <v>27</v>
      </c>
      <c r="F281" t="s">
        <v>22</v>
      </c>
      <c r="G281" t="s">
        <v>3268</v>
      </c>
      <c r="H281" t="s">
        <v>4370</v>
      </c>
      <c r="I281" t="s">
        <v>4371</v>
      </c>
      <c r="J281" t="s">
        <v>4372</v>
      </c>
      <c r="L281" t="s">
        <v>25</v>
      </c>
    </row>
    <row r="282" spans="1:12" x14ac:dyDescent="0.3">
      <c r="A282">
        <v>436</v>
      </c>
      <c r="B282" t="s">
        <v>1241</v>
      </c>
      <c r="C282" t="s">
        <v>4369</v>
      </c>
      <c r="D282" t="s">
        <v>198</v>
      </c>
      <c r="E282" t="s">
        <v>54</v>
      </c>
      <c r="F282" t="s">
        <v>41</v>
      </c>
      <c r="G282" t="s">
        <v>3268</v>
      </c>
      <c r="H282" t="s">
        <v>4370</v>
      </c>
      <c r="I282" t="s">
        <v>4371</v>
      </c>
      <c r="J282" t="s">
        <v>4372</v>
      </c>
      <c r="L282" t="s">
        <v>42</v>
      </c>
    </row>
    <row r="283" spans="1:12" x14ac:dyDescent="0.3">
      <c r="A283">
        <v>437</v>
      </c>
      <c r="B283" t="s">
        <v>1246</v>
      </c>
      <c r="C283" t="s">
        <v>4373</v>
      </c>
      <c r="D283" t="s">
        <v>732</v>
      </c>
      <c r="E283" t="s">
        <v>71</v>
      </c>
      <c r="F283" t="s">
        <v>22</v>
      </c>
      <c r="G283" t="s">
        <v>3267</v>
      </c>
      <c r="H283" t="s">
        <v>4370</v>
      </c>
      <c r="I283" t="s">
        <v>4371</v>
      </c>
      <c r="J283" t="s">
        <v>4140</v>
      </c>
      <c r="L283" t="s">
        <v>25</v>
      </c>
    </row>
    <row r="284" spans="1:12" x14ac:dyDescent="0.3">
      <c r="A284">
        <v>438</v>
      </c>
      <c r="B284" t="s">
        <v>1250</v>
      </c>
      <c r="C284" t="s">
        <v>4373</v>
      </c>
      <c r="D284" t="s">
        <v>3254</v>
      </c>
      <c r="E284" t="s">
        <v>27</v>
      </c>
      <c r="F284" t="s">
        <v>22</v>
      </c>
      <c r="H284" t="s">
        <v>4374</v>
      </c>
      <c r="I284" t="s">
        <v>4374</v>
      </c>
      <c r="J284" t="s">
        <v>4372</v>
      </c>
      <c r="L284" t="s">
        <v>128</v>
      </c>
    </row>
    <row r="285" spans="1:12" x14ac:dyDescent="0.3">
      <c r="A285">
        <v>439</v>
      </c>
      <c r="B285" t="s">
        <v>1252</v>
      </c>
      <c r="C285" t="s">
        <v>4369</v>
      </c>
      <c r="D285" t="s">
        <v>956</v>
      </c>
      <c r="E285" t="s">
        <v>27</v>
      </c>
      <c r="F285" t="s">
        <v>22</v>
      </c>
      <c r="G285" t="s">
        <v>3268</v>
      </c>
      <c r="H285" t="s">
        <v>4370</v>
      </c>
      <c r="I285" t="s">
        <v>4371</v>
      </c>
      <c r="J285" t="s">
        <v>4372</v>
      </c>
      <c r="L285" t="s">
        <v>25</v>
      </c>
    </row>
    <row r="286" spans="1:12" x14ac:dyDescent="0.3">
      <c r="A286">
        <v>440</v>
      </c>
      <c r="B286" t="s">
        <v>1256</v>
      </c>
      <c r="C286" t="s">
        <v>4369</v>
      </c>
      <c r="D286" t="s">
        <v>956</v>
      </c>
      <c r="E286" t="s">
        <v>27</v>
      </c>
      <c r="F286" t="s">
        <v>22</v>
      </c>
      <c r="G286" t="s">
        <v>3268</v>
      </c>
      <c r="H286" t="s">
        <v>4370</v>
      </c>
      <c r="I286" t="s">
        <v>4371</v>
      </c>
      <c r="J286" t="s">
        <v>4376</v>
      </c>
      <c r="L286" t="s">
        <v>25</v>
      </c>
    </row>
    <row r="287" spans="1:12" x14ac:dyDescent="0.3">
      <c r="A287">
        <v>441</v>
      </c>
      <c r="B287" t="s">
        <v>1260</v>
      </c>
      <c r="C287" t="s">
        <v>4373</v>
      </c>
      <c r="D287" t="s">
        <v>511</v>
      </c>
      <c r="E287" t="s">
        <v>54</v>
      </c>
      <c r="F287" t="s">
        <v>22</v>
      </c>
      <c r="H287" t="s">
        <v>4374</v>
      </c>
      <c r="I287" t="s">
        <v>4374</v>
      </c>
      <c r="J287" t="s">
        <v>4140</v>
      </c>
      <c r="L287" t="s">
        <v>25</v>
      </c>
    </row>
    <row r="288" spans="1:12" x14ac:dyDescent="0.3">
      <c r="A288">
        <v>442</v>
      </c>
      <c r="B288" t="s">
        <v>1262</v>
      </c>
      <c r="C288" t="s">
        <v>4373</v>
      </c>
      <c r="D288" t="s">
        <v>246</v>
      </c>
      <c r="E288" t="s">
        <v>27</v>
      </c>
      <c r="F288" t="s">
        <v>22</v>
      </c>
      <c r="H288" t="s">
        <v>4374</v>
      </c>
      <c r="I288" t="s">
        <v>4374</v>
      </c>
      <c r="J288" t="s">
        <v>4376</v>
      </c>
      <c r="L288" t="s">
        <v>128</v>
      </c>
    </row>
    <row r="289" spans="1:12" x14ac:dyDescent="0.3">
      <c r="A289">
        <v>443</v>
      </c>
      <c r="B289" t="s">
        <v>1264</v>
      </c>
      <c r="C289" t="s">
        <v>4373</v>
      </c>
      <c r="D289" t="s">
        <v>246</v>
      </c>
      <c r="E289" t="s">
        <v>27</v>
      </c>
      <c r="F289" t="s">
        <v>22</v>
      </c>
      <c r="H289" t="s">
        <v>4374</v>
      </c>
      <c r="I289" t="s">
        <v>4374</v>
      </c>
      <c r="J289" t="s">
        <v>4376</v>
      </c>
      <c r="L289" t="s">
        <v>128</v>
      </c>
    </row>
    <row r="290" spans="1:12" x14ac:dyDescent="0.3">
      <c r="A290">
        <v>444</v>
      </c>
      <c r="B290" t="s">
        <v>1266</v>
      </c>
      <c r="C290" t="s">
        <v>4369</v>
      </c>
      <c r="D290" t="s">
        <v>541</v>
      </c>
      <c r="E290" t="s">
        <v>27</v>
      </c>
      <c r="F290" t="s">
        <v>41</v>
      </c>
      <c r="G290" t="s">
        <v>3267</v>
      </c>
      <c r="H290" t="s">
        <v>4370</v>
      </c>
      <c r="I290" t="s">
        <v>4371</v>
      </c>
      <c r="J290" t="s">
        <v>4372</v>
      </c>
      <c r="L290" t="s">
        <v>136</v>
      </c>
    </row>
    <row r="291" spans="1:12" x14ac:dyDescent="0.3">
      <c r="A291">
        <v>445</v>
      </c>
      <c r="B291" t="s">
        <v>1269</v>
      </c>
      <c r="C291" t="s">
        <v>4369</v>
      </c>
      <c r="D291" t="s">
        <v>541</v>
      </c>
      <c r="E291" t="s">
        <v>27</v>
      </c>
      <c r="F291" t="s">
        <v>22</v>
      </c>
      <c r="G291" t="s">
        <v>3267</v>
      </c>
      <c r="H291" t="s">
        <v>4370</v>
      </c>
      <c r="I291" t="s">
        <v>4371</v>
      </c>
      <c r="J291" t="s">
        <v>4372</v>
      </c>
      <c r="L291" t="s">
        <v>25</v>
      </c>
    </row>
    <row r="292" spans="1:12" x14ac:dyDescent="0.3">
      <c r="A292">
        <v>447</v>
      </c>
      <c r="B292" t="s">
        <v>724</v>
      </c>
      <c r="C292" t="s">
        <v>4369</v>
      </c>
      <c r="D292" t="s">
        <v>254</v>
      </c>
      <c r="E292" t="s">
        <v>27</v>
      </c>
      <c r="F292" t="s">
        <v>22</v>
      </c>
      <c r="G292" t="s">
        <v>3267</v>
      </c>
      <c r="H292" t="s">
        <v>4370</v>
      </c>
      <c r="I292" t="s">
        <v>4371</v>
      </c>
      <c r="J292" t="s">
        <v>4140</v>
      </c>
      <c r="L292" t="s">
        <v>25</v>
      </c>
    </row>
    <row r="293" spans="1:12" x14ac:dyDescent="0.3">
      <c r="A293">
        <v>448</v>
      </c>
      <c r="B293" t="s">
        <v>1274</v>
      </c>
      <c r="C293" t="s">
        <v>4369</v>
      </c>
      <c r="D293" t="s">
        <v>254</v>
      </c>
      <c r="E293" t="s">
        <v>27</v>
      </c>
      <c r="F293" t="s">
        <v>22</v>
      </c>
      <c r="G293" t="s">
        <v>3267</v>
      </c>
      <c r="H293" t="s">
        <v>4370</v>
      </c>
      <c r="I293" t="s">
        <v>4371</v>
      </c>
      <c r="J293" t="s">
        <v>4140</v>
      </c>
      <c r="L293" t="s">
        <v>25</v>
      </c>
    </row>
    <row r="294" spans="1:12" x14ac:dyDescent="0.3">
      <c r="A294">
        <v>449</v>
      </c>
      <c r="B294" t="s">
        <v>1277</v>
      </c>
      <c r="C294" t="s">
        <v>4369</v>
      </c>
      <c r="D294" t="s">
        <v>732</v>
      </c>
      <c r="E294" t="s">
        <v>21</v>
      </c>
      <c r="F294" t="s">
        <v>22</v>
      </c>
      <c r="H294" t="s">
        <v>4374</v>
      </c>
      <c r="I294" t="s">
        <v>4374</v>
      </c>
      <c r="J294" t="s">
        <v>4372</v>
      </c>
      <c r="L294" t="s">
        <v>25</v>
      </c>
    </row>
    <row r="295" spans="1:12" x14ac:dyDescent="0.3">
      <c r="A295">
        <v>451</v>
      </c>
      <c r="B295" t="s">
        <v>1281</v>
      </c>
      <c r="C295" t="s">
        <v>4369</v>
      </c>
      <c r="D295" t="s">
        <v>1078</v>
      </c>
      <c r="E295" t="s">
        <v>27</v>
      </c>
      <c r="F295" t="s">
        <v>22</v>
      </c>
      <c r="G295" t="s">
        <v>3267</v>
      </c>
      <c r="H295" t="s">
        <v>4370</v>
      </c>
      <c r="I295" t="s">
        <v>4371</v>
      </c>
      <c r="J295" t="s">
        <v>4372</v>
      </c>
      <c r="L295" t="s">
        <v>25</v>
      </c>
    </row>
    <row r="296" spans="1:12" x14ac:dyDescent="0.3">
      <c r="A296">
        <v>452</v>
      </c>
      <c r="B296" t="s">
        <v>1283</v>
      </c>
      <c r="C296" t="s">
        <v>4369</v>
      </c>
      <c r="D296" t="s">
        <v>1078</v>
      </c>
      <c r="E296" t="s">
        <v>27</v>
      </c>
      <c r="F296" t="s">
        <v>22</v>
      </c>
      <c r="G296" t="s">
        <v>3267</v>
      </c>
      <c r="H296" t="s">
        <v>4370</v>
      </c>
      <c r="I296" t="s">
        <v>4371</v>
      </c>
      <c r="J296" t="s">
        <v>4372</v>
      </c>
      <c r="L296" t="s">
        <v>25</v>
      </c>
    </row>
    <row r="297" spans="1:12" x14ac:dyDescent="0.3">
      <c r="A297">
        <v>453</v>
      </c>
      <c r="B297" t="s">
        <v>1286</v>
      </c>
      <c r="C297" t="s">
        <v>4369</v>
      </c>
      <c r="D297" t="s">
        <v>1089</v>
      </c>
      <c r="E297" t="s">
        <v>21</v>
      </c>
      <c r="F297" t="s">
        <v>22</v>
      </c>
      <c r="G297" t="s">
        <v>3267</v>
      </c>
      <c r="H297" t="s">
        <v>4370</v>
      </c>
      <c r="I297" t="s">
        <v>4371</v>
      </c>
      <c r="J297" t="s">
        <v>4376</v>
      </c>
      <c r="L297" t="s">
        <v>25</v>
      </c>
    </row>
    <row r="298" spans="1:12" x14ac:dyDescent="0.3">
      <c r="A298">
        <v>454</v>
      </c>
      <c r="B298" t="s">
        <v>1289</v>
      </c>
      <c r="C298" t="s">
        <v>4373</v>
      </c>
      <c r="D298" t="s">
        <v>1089</v>
      </c>
      <c r="E298" t="s">
        <v>21</v>
      </c>
      <c r="F298" t="s">
        <v>22</v>
      </c>
      <c r="H298" t="s">
        <v>4374</v>
      </c>
      <c r="I298" t="s">
        <v>4374</v>
      </c>
      <c r="J298" t="s">
        <v>4372</v>
      </c>
      <c r="L298" t="s">
        <v>25</v>
      </c>
    </row>
    <row r="299" spans="1:12" x14ac:dyDescent="0.3">
      <c r="A299">
        <v>455</v>
      </c>
      <c r="B299" t="s">
        <v>1291</v>
      </c>
      <c r="C299" t="s">
        <v>4373</v>
      </c>
      <c r="D299" t="s">
        <v>1089</v>
      </c>
      <c r="E299" t="s">
        <v>21</v>
      </c>
      <c r="F299" t="s">
        <v>22</v>
      </c>
      <c r="G299" t="s">
        <v>3267</v>
      </c>
      <c r="H299" t="s">
        <v>4370</v>
      </c>
      <c r="I299" t="s">
        <v>4371</v>
      </c>
      <c r="J299" t="s">
        <v>4372</v>
      </c>
      <c r="L299" t="s">
        <v>25</v>
      </c>
    </row>
    <row r="300" spans="1:12" x14ac:dyDescent="0.3">
      <c r="A300">
        <v>456</v>
      </c>
      <c r="B300" t="s">
        <v>1294</v>
      </c>
      <c r="C300" t="s">
        <v>4369</v>
      </c>
      <c r="D300" t="s">
        <v>149</v>
      </c>
      <c r="E300" t="s">
        <v>21</v>
      </c>
      <c r="F300" t="s">
        <v>22</v>
      </c>
      <c r="G300" t="s">
        <v>3268</v>
      </c>
      <c r="H300" t="s">
        <v>4370</v>
      </c>
      <c r="I300" t="s">
        <v>4371</v>
      </c>
      <c r="J300" t="s">
        <v>4372</v>
      </c>
      <c r="L300" t="s">
        <v>25</v>
      </c>
    </row>
    <row r="301" spans="1:12" x14ac:dyDescent="0.3">
      <c r="A301">
        <v>457</v>
      </c>
      <c r="B301" t="s">
        <v>1297</v>
      </c>
      <c r="C301" t="s">
        <v>4369</v>
      </c>
      <c r="D301" t="s">
        <v>149</v>
      </c>
      <c r="E301" t="s">
        <v>21</v>
      </c>
      <c r="F301" t="s">
        <v>22</v>
      </c>
      <c r="G301" t="s">
        <v>3268</v>
      </c>
      <c r="H301" t="s">
        <v>4370</v>
      </c>
      <c r="I301" t="s">
        <v>4371</v>
      </c>
      <c r="J301" t="s">
        <v>4372</v>
      </c>
      <c r="L301" t="s">
        <v>25</v>
      </c>
    </row>
    <row r="302" spans="1:12" x14ac:dyDescent="0.3">
      <c r="A302">
        <v>459</v>
      </c>
      <c r="B302" t="s">
        <v>1300</v>
      </c>
      <c r="C302" t="s">
        <v>4369</v>
      </c>
      <c r="D302" t="s">
        <v>1078</v>
      </c>
      <c r="E302" t="s">
        <v>21</v>
      </c>
      <c r="F302" t="s">
        <v>22</v>
      </c>
      <c r="H302" t="s">
        <v>4374</v>
      </c>
      <c r="I302" t="s">
        <v>4374</v>
      </c>
      <c r="J302" t="s">
        <v>4372</v>
      </c>
      <c r="L302" t="s">
        <v>25</v>
      </c>
    </row>
    <row r="303" spans="1:12" x14ac:dyDescent="0.3">
      <c r="A303">
        <v>460</v>
      </c>
      <c r="B303" t="s">
        <v>1302</v>
      </c>
      <c r="C303" t="s">
        <v>4369</v>
      </c>
      <c r="D303" t="s">
        <v>40</v>
      </c>
      <c r="E303" t="s">
        <v>71</v>
      </c>
      <c r="F303" t="s">
        <v>22</v>
      </c>
      <c r="G303" t="s">
        <v>3267</v>
      </c>
      <c r="H303" t="s">
        <v>4370</v>
      </c>
      <c r="I303" t="s">
        <v>4371</v>
      </c>
      <c r="J303" t="s">
        <v>4140</v>
      </c>
      <c r="L303" t="s">
        <v>25</v>
      </c>
    </row>
    <row r="304" spans="1:12" x14ac:dyDescent="0.3">
      <c r="A304">
        <v>462</v>
      </c>
      <c r="B304" t="s">
        <v>1306</v>
      </c>
      <c r="C304" t="s">
        <v>4369</v>
      </c>
      <c r="D304" t="s">
        <v>308</v>
      </c>
      <c r="E304" t="s">
        <v>27</v>
      </c>
      <c r="F304" t="s">
        <v>22</v>
      </c>
      <c r="H304" t="s">
        <v>4374</v>
      </c>
      <c r="I304" t="s">
        <v>4374</v>
      </c>
      <c r="J304" t="s">
        <v>4372</v>
      </c>
      <c r="L304" t="s">
        <v>25</v>
      </c>
    </row>
    <row r="305" spans="1:12" x14ac:dyDescent="0.3">
      <c r="A305">
        <v>463</v>
      </c>
      <c r="B305" t="s">
        <v>1308</v>
      </c>
      <c r="C305" t="s">
        <v>4373</v>
      </c>
      <c r="D305" t="s">
        <v>40</v>
      </c>
      <c r="E305" t="s">
        <v>27</v>
      </c>
      <c r="F305" t="s">
        <v>22</v>
      </c>
      <c r="H305" t="s">
        <v>4374</v>
      </c>
      <c r="I305" t="s">
        <v>4374</v>
      </c>
      <c r="J305" t="s">
        <v>4140</v>
      </c>
      <c r="L305" t="s">
        <v>25</v>
      </c>
    </row>
    <row r="306" spans="1:12" x14ac:dyDescent="0.3">
      <c r="A306">
        <v>465</v>
      </c>
      <c r="B306" t="s">
        <v>1310</v>
      </c>
      <c r="C306" t="s">
        <v>4373</v>
      </c>
      <c r="D306" t="s">
        <v>922</v>
      </c>
      <c r="E306" t="s">
        <v>27</v>
      </c>
      <c r="F306" t="s">
        <v>22</v>
      </c>
      <c r="H306" t="s">
        <v>4374</v>
      </c>
      <c r="I306" t="s">
        <v>4374</v>
      </c>
      <c r="J306" t="s">
        <v>4140</v>
      </c>
      <c r="L306" t="s">
        <v>25</v>
      </c>
    </row>
    <row r="307" spans="1:12" x14ac:dyDescent="0.3">
      <c r="A307">
        <v>466</v>
      </c>
      <c r="B307" t="s">
        <v>1312</v>
      </c>
      <c r="C307" t="s">
        <v>4373</v>
      </c>
      <c r="D307" t="s">
        <v>653</v>
      </c>
      <c r="E307" t="s">
        <v>27</v>
      </c>
      <c r="F307" t="s">
        <v>22</v>
      </c>
      <c r="G307" t="s">
        <v>3267</v>
      </c>
      <c r="H307" t="s">
        <v>4370</v>
      </c>
      <c r="I307" t="s">
        <v>4371</v>
      </c>
      <c r="J307" t="s">
        <v>4372</v>
      </c>
      <c r="L307" t="s">
        <v>136</v>
      </c>
    </row>
    <row r="308" spans="1:12" x14ac:dyDescent="0.3">
      <c r="A308">
        <v>467</v>
      </c>
      <c r="B308" t="s">
        <v>1315</v>
      </c>
      <c r="C308" t="s">
        <v>4373</v>
      </c>
      <c r="D308" t="s">
        <v>653</v>
      </c>
      <c r="E308" t="s">
        <v>27</v>
      </c>
      <c r="F308" t="s">
        <v>22</v>
      </c>
      <c r="G308" t="s">
        <v>3267</v>
      </c>
      <c r="H308" t="s">
        <v>4370</v>
      </c>
      <c r="I308" t="s">
        <v>4371</v>
      </c>
      <c r="J308" t="s">
        <v>4372</v>
      </c>
      <c r="L308" t="s">
        <v>136</v>
      </c>
    </row>
    <row r="309" spans="1:12" x14ac:dyDescent="0.3">
      <c r="A309">
        <v>468</v>
      </c>
      <c r="B309" t="s">
        <v>1318</v>
      </c>
      <c r="C309" t="s">
        <v>4373</v>
      </c>
      <c r="D309" t="s">
        <v>653</v>
      </c>
      <c r="E309" t="s">
        <v>27</v>
      </c>
      <c r="F309" t="s">
        <v>41</v>
      </c>
      <c r="G309" t="s">
        <v>3267</v>
      </c>
      <c r="H309" t="s">
        <v>4370</v>
      </c>
      <c r="I309" t="s">
        <v>4371</v>
      </c>
      <c r="J309" t="s">
        <v>4372</v>
      </c>
      <c r="L309" t="s">
        <v>136</v>
      </c>
    </row>
    <row r="310" spans="1:12" x14ac:dyDescent="0.3">
      <c r="A310">
        <v>469</v>
      </c>
      <c r="B310" t="s">
        <v>1176</v>
      </c>
      <c r="C310" t="s">
        <v>4373</v>
      </c>
      <c r="D310" t="s">
        <v>567</v>
      </c>
      <c r="E310" t="s">
        <v>21</v>
      </c>
      <c r="F310" t="s">
        <v>22</v>
      </c>
      <c r="G310" t="s">
        <v>3268</v>
      </c>
      <c r="H310" t="s">
        <v>4370</v>
      </c>
      <c r="I310" t="s">
        <v>4371</v>
      </c>
      <c r="J310" t="s">
        <v>4140</v>
      </c>
      <c r="K310" t="s">
        <v>4378</v>
      </c>
      <c r="L310" t="s">
        <v>25</v>
      </c>
    </row>
    <row r="311" spans="1:12" x14ac:dyDescent="0.3">
      <c r="A311">
        <v>470</v>
      </c>
      <c r="B311" t="s">
        <v>1323</v>
      </c>
      <c r="C311" t="s">
        <v>4373</v>
      </c>
      <c r="D311" t="s">
        <v>567</v>
      </c>
      <c r="E311" t="s">
        <v>21</v>
      </c>
      <c r="F311" t="s">
        <v>22</v>
      </c>
      <c r="G311" t="s">
        <v>3268</v>
      </c>
      <c r="H311" t="s">
        <v>4370</v>
      </c>
      <c r="I311" t="s">
        <v>4371</v>
      </c>
      <c r="J311" t="s">
        <v>4140</v>
      </c>
      <c r="K311" t="s">
        <v>4378</v>
      </c>
      <c r="L311" t="s">
        <v>25</v>
      </c>
    </row>
    <row r="312" spans="1:12" x14ac:dyDescent="0.3">
      <c r="A312">
        <v>471</v>
      </c>
      <c r="B312" t="s">
        <v>1326</v>
      </c>
      <c r="C312" t="s">
        <v>4373</v>
      </c>
      <c r="D312" t="s">
        <v>567</v>
      </c>
      <c r="E312" t="s">
        <v>21</v>
      </c>
      <c r="F312" t="s">
        <v>22</v>
      </c>
      <c r="G312" t="s">
        <v>3268</v>
      </c>
      <c r="H312" t="s">
        <v>4370</v>
      </c>
      <c r="I312" t="s">
        <v>4371</v>
      </c>
      <c r="J312" t="s">
        <v>4140</v>
      </c>
      <c r="K312" t="s">
        <v>4378</v>
      </c>
      <c r="L312" t="s">
        <v>25</v>
      </c>
    </row>
    <row r="313" spans="1:12" x14ac:dyDescent="0.3">
      <c r="A313">
        <v>472</v>
      </c>
      <c r="B313" t="s">
        <v>1329</v>
      </c>
      <c r="C313" t="s">
        <v>4373</v>
      </c>
      <c r="D313" t="s">
        <v>922</v>
      </c>
      <c r="E313" t="s">
        <v>27</v>
      </c>
      <c r="F313" t="s">
        <v>22</v>
      </c>
      <c r="H313" t="s">
        <v>4374</v>
      </c>
      <c r="I313" t="s">
        <v>4374</v>
      </c>
      <c r="J313" t="s">
        <v>4140</v>
      </c>
      <c r="L313" t="s">
        <v>25</v>
      </c>
    </row>
    <row r="314" spans="1:12" x14ac:dyDescent="0.3">
      <c r="A314">
        <v>473</v>
      </c>
      <c r="B314" t="s">
        <v>1331</v>
      </c>
      <c r="C314" t="s">
        <v>4373</v>
      </c>
      <c r="D314" t="s">
        <v>549</v>
      </c>
      <c r="E314" t="s">
        <v>27</v>
      </c>
      <c r="F314" t="s">
        <v>22</v>
      </c>
      <c r="G314" t="s">
        <v>3268</v>
      </c>
      <c r="H314" t="s">
        <v>4370</v>
      </c>
      <c r="I314" t="s">
        <v>4371</v>
      </c>
      <c r="J314" t="s">
        <v>4372</v>
      </c>
      <c r="L314" t="s">
        <v>128</v>
      </c>
    </row>
    <row r="315" spans="1:12" x14ac:dyDescent="0.3">
      <c r="A315">
        <v>474</v>
      </c>
      <c r="B315" t="s">
        <v>1334</v>
      </c>
      <c r="C315" t="s">
        <v>4373</v>
      </c>
      <c r="D315" t="s">
        <v>1059</v>
      </c>
      <c r="E315" t="s">
        <v>27</v>
      </c>
      <c r="F315" t="s">
        <v>22</v>
      </c>
      <c r="G315" t="s">
        <v>3268</v>
      </c>
      <c r="H315" t="s">
        <v>4370</v>
      </c>
      <c r="I315" t="s">
        <v>4371</v>
      </c>
      <c r="J315" t="s">
        <v>4372</v>
      </c>
      <c r="L315" t="s">
        <v>128</v>
      </c>
    </row>
    <row r="316" spans="1:12" x14ac:dyDescent="0.3">
      <c r="A316">
        <v>475</v>
      </c>
      <c r="B316" t="s">
        <v>1337</v>
      </c>
      <c r="C316" t="s">
        <v>4373</v>
      </c>
      <c r="D316" t="s">
        <v>819</v>
      </c>
      <c r="E316" t="s">
        <v>27</v>
      </c>
      <c r="F316" t="s">
        <v>22</v>
      </c>
      <c r="G316" t="s">
        <v>3267</v>
      </c>
      <c r="H316" t="s">
        <v>4370</v>
      </c>
      <c r="I316" t="s">
        <v>4371</v>
      </c>
      <c r="J316" t="s">
        <v>4376</v>
      </c>
      <c r="L316" t="s">
        <v>128</v>
      </c>
    </row>
    <row r="317" spans="1:12" x14ac:dyDescent="0.3">
      <c r="A317">
        <v>476</v>
      </c>
      <c r="B317" t="s">
        <v>1340</v>
      </c>
      <c r="C317" t="s">
        <v>4373</v>
      </c>
      <c r="D317" t="s">
        <v>549</v>
      </c>
      <c r="E317" t="s">
        <v>27</v>
      </c>
      <c r="F317" t="s">
        <v>22</v>
      </c>
      <c r="G317" t="s">
        <v>3268</v>
      </c>
      <c r="H317" t="s">
        <v>4370</v>
      </c>
      <c r="I317" t="s">
        <v>4371</v>
      </c>
      <c r="J317" t="s">
        <v>4372</v>
      </c>
      <c r="L317" t="s">
        <v>128</v>
      </c>
    </row>
    <row r="318" spans="1:12" x14ac:dyDescent="0.3">
      <c r="A318">
        <v>477</v>
      </c>
      <c r="B318" t="s">
        <v>1343</v>
      </c>
      <c r="C318" t="s">
        <v>4373</v>
      </c>
      <c r="D318" t="s">
        <v>1059</v>
      </c>
      <c r="E318" t="s">
        <v>27</v>
      </c>
      <c r="F318" t="s">
        <v>22</v>
      </c>
      <c r="G318" t="s">
        <v>3268</v>
      </c>
      <c r="H318" t="s">
        <v>4370</v>
      </c>
      <c r="I318" t="s">
        <v>4371</v>
      </c>
      <c r="J318" t="s">
        <v>4376</v>
      </c>
      <c r="L318" t="s">
        <v>128</v>
      </c>
    </row>
    <row r="319" spans="1:12" x14ac:dyDescent="0.3">
      <c r="A319">
        <v>478</v>
      </c>
      <c r="B319" t="s">
        <v>1345</v>
      </c>
      <c r="C319" t="s">
        <v>4373</v>
      </c>
      <c r="D319" t="s">
        <v>1059</v>
      </c>
      <c r="E319" t="s">
        <v>27</v>
      </c>
      <c r="F319" t="s">
        <v>22</v>
      </c>
      <c r="G319" t="s">
        <v>3268</v>
      </c>
      <c r="H319" t="s">
        <v>4370</v>
      </c>
      <c r="I319" t="s">
        <v>4371</v>
      </c>
      <c r="J319" t="s">
        <v>4376</v>
      </c>
      <c r="L319" t="s">
        <v>128</v>
      </c>
    </row>
    <row r="320" spans="1:12" x14ac:dyDescent="0.3">
      <c r="A320">
        <v>479</v>
      </c>
      <c r="B320" t="s">
        <v>1348</v>
      </c>
      <c r="C320" t="s">
        <v>4373</v>
      </c>
      <c r="D320" t="s">
        <v>1059</v>
      </c>
      <c r="E320" t="s">
        <v>27</v>
      </c>
      <c r="F320" t="s">
        <v>22</v>
      </c>
      <c r="G320" t="s">
        <v>3268</v>
      </c>
      <c r="H320" t="s">
        <v>4370</v>
      </c>
      <c r="I320" t="s">
        <v>4371</v>
      </c>
      <c r="J320" t="s">
        <v>4376</v>
      </c>
      <c r="L320" t="s">
        <v>128</v>
      </c>
    </row>
    <row r="321" spans="1:12" x14ac:dyDescent="0.3">
      <c r="A321">
        <v>480</v>
      </c>
      <c r="B321" t="s">
        <v>1350</v>
      </c>
      <c r="C321" t="s">
        <v>4373</v>
      </c>
      <c r="D321" t="s">
        <v>1059</v>
      </c>
      <c r="E321" t="s">
        <v>27</v>
      </c>
      <c r="F321" t="s">
        <v>22</v>
      </c>
      <c r="G321" t="s">
        <v>3268</v>
      </c>
      <c r="H321" t="s">
        <v>4370</v>
      </c>
      <c r="I321" t="s">
        <v>4371</v>
      </c>
      <c r="J321" t="s">
        <v>4376</v>
      </c>
      <c r="L321" t="s">
        <v>128</v>
      </c>
    </row>
    <row r="322" spans="1:12" x14ac:dyDescent="0.3">
      <c r="A322">
        <v>481</v>
      </c>
      <c r="B322" t="s">
        <v>1352</v>
      </c>
      <c r="C322" t="s">
        <v>4369</v>
      </c>
      <c r="D322" t="s">
        <v>549</v>
      </c>
      <c r="E322" t="s">
        <v>27</v>
      </c>
      <c r="F322" t="s">
        <v>22</v>
      </c>
      <c r="G322" t="s">
        <v>3268</v>
      </c>
      <c r="H322" t="s">
        <v>4370</v>
      </c>
      <c r="I322" t="s">
        <v>4371</v>
      </c>
      <c r="J322" t="s">
        <v>4376</v>
      </c>
      <c r="L322" t="s">
        <v>25</v>
      </c>
    </row>
    <row r="323" spans="1:12" x14ac:dyDescent="0.3">
      <c r="A323">
        <v>483</v>
      </c>
      <c r="B323" t="s">
        <v>1355</v>
      </c>
      <c r="C323" t="s">
        <v>4369</v>
      </c>
      <c r="D323" t="s">
        <v>1066</v>
      </c>
      <c r="E323" t="s">
        <v>71</v>
      </c>
      <c r="F323" t="s">
        <v>22</v>
      </c>
      <c r="H323" t="s">
        <v>4374</v>
      </c>
      <c r="I323" t="s">
        <v>4374</v>
      </c>
      <c r="J323" t="s">
        <v>4140</v>
      </c>
      <c r="L323" t="s">
        <v>128</v>
      </c>
    </row>
    <row r="324" spans="1:12" x14ac:dyDescent="0.3">
      <c r="A324">
        <v>484</v>
      </c>
      <c r="B324" t="s">
        <v>1357</v>
      </c>
      <c r="C324" t="s">
        <v>4369</v>
      </c>
      <c r="D324" t="s">
        <v>70</v>
      </c>
      <c r="E324" t="s">
        <v>21</v>
      </c>
      <c r="F324" t="s">
        <v>22</v>
      </c>
      <c r="G324" t="s">
        <v>3267</v>
      </c>
      <c r="H324" t="s">
        <v>4370</v>
      </c>
      <c r="I324" t="s">
        <v>4371</v>
      </c>
      <c r="J324" t="s">
        <v>4372</v>
      </c>
      <c r="L324" t="s">
        <v>25</v>
      </c>
    </row>
    <row r="325" spans="1:12" x14ac:dyDescent="0.3">
      <c r="A325">
        <v>485</v>
      </c>
      <c r="B325" t="s">
        <v>1360</v>
      </c>
      <c r="C325" t="s">
        <v>4369</v>
      </c>
      <c r="D325" t="s">
        <v>198</v>
      </c>
      <c r="E325" t="s">
        <v>54</v>
      </c>
      <c r="F325" t="s">
        <v>22</v>
      </c>
      <c r="G325" t="s">
        <v>3268</v>
      </c>
      <c r="H325" t="s">
        <v>4370</v>
      </c>
      <c r="I325" t="s">
        <v>4371</v>
      </c>
      <c r="J325" t="s">
        <v>4372</v>
      </c>
      <c r="L325" t="s">
        <v>25</v>
      </c>
    </row>
    <row r="326" spans="1:12" x14ac:dyDescent="0.3">
      <c r="A326">
        <v>486</v>
      </c>
      <c r="B326" t="s">
        <v>1363</v>
      </c>
      <c r="C326" t="s">
        <v>4369</v>
      </c>
      <c r="D326" t="s">
        <v>149</v>
      </c>
      <c r="E326" t="s">
        <v>27</v>
      </c>
      <c r="F326" t="s">
        <v>22</v>
      </c>
      <c r="G326" t="s">
        <v>3267</v>
      </c>
      <c r="H326" t="s">
        <v>4370</v>
      </c>
      <c r="I326" t="s">
        <v>4371</v>
      </c>
      <c r="J326" t="s">
        <v>4376</v>
      </c>
      <c r="L326" t="s">
        <v>25</v>
      </c>
    </row>
    <row r="327" spans="1:12" x14ac:dyDescent="0.3">
      <c r="A327">
        <v>487</v>
      </c>
      <c r="B327" t="s">
        <v>3164</v>
      </c>
      <c r="C327" t="s">
        <v>4369</v>
      </c>
      <c r="D327" t="s">
        <v>619</v>
      </c>
      <c r="E327" t="s">
        <v>71</v>
      </c>
      <c r="F327" t="s">
        <v>22</v>
      </c>
      <c r="G327" t="s">
        <v>3267</v>
      </c>
      <c r="H327" t="s">
        <v>4370</v>
      </c>
      <c r="I327" t="s">
        <v>4371</v>
      </c>
      <c r="J327" t="s">
        <v>4140</v>
      </c>
      <c r="L327" t="s">
        <v>25</v>
      </c>
    </row>
    <row r="328" spans="1:12" x14ac:dyDescent="0.3">
      <c r="A328">
        <v>488</v>
      </c>
      <c r="B328" t="s">
        <v>1369</v>
      </c>
      <c r="C328" t="s">
        <v>4369</v>
      </c>
      <c r="D328" t="s">
        <v>198</v>
      </c>
      <c r="E328" t="s">
        <v>54</v>
      </c>
      <c r="F328" t="s">
        <v>22</v>
      </c>
      <c r="G328" t="s">
        <v>3268</v>
      </c>
      <c r="H328" t="s">
        <v>4370</v>
      </c>
      <c r="I328" t="s">
        <v>4371</v>
      </c>
      <c r="J328" t="s">
        <v>4372</v>
      </c>
      <c r="L328" t="s">
        <v>25</v>
      </c>
    </row>
    <row r="329" spans="1:12" x14ac:dyDescent="0.3">
      <c r="A329">
        <v>489</v>
      </c>
      <c r="B329" t="s">
        <v>1373</v>
      </c>
      <c r="C329" t="s">
        <v>4369</v>
      </c>
      <c r="D329" t="s">
        <v>198</v>
      </c>
      <c r="E329" t="s">
        <v>54</v>
      </c>
      <c r="F329" t="s">
        <v>22</v>
      </c>
      <c r="H329" t="s">
        <v>4374</v>
      </c>
      <c r="I329" t="s">
        <v>4374</v>
      </c>
      <c r="J329" t="s">
        <v>4372</v>
      </c>
      <c r="L329" t="s">
        <v>25</v>
      </c>
    </row>
    <row r="330" spans="1:12" x14ac:dyDescent="0.3">
      <c r="A330">
        <v>490</v>
      </c>
      <c r="B330" t="s">
        <v>1375</v>
      </c>
      <c r="C330" t="s">
        <v>4373</v>
      </c>
      <c r="D330" t="s">
        <v>567</v>
      </c>
      <c r="E330" t="s">
        <v>71</v>
      </c>
      <c r="F330" t="s">
        <v>22</v>
      </c>
      <c r="G330" t="s">
        <v>3267</v>
      </c>
      <c r="H330" t="s">
        <v>4370</v>
      </c>
      <c r="I330" t="s">
        <v>4371</v>
      </c>
      <c r="J330" t="s">
        <v>4140</v>
      </c>
      <c r="L330" t="s">
        <v>25</v>
      </c>
    </row>
    <row r="331" spans="1:12" x14ac:dyDescent="0.3">
      <c r="A331">
        <v>491</v>
      </c>
      <c r="B331" t="s">
        <v>1378</v>
      </c>
      <c r="C331" t="s">
        <v>4373</v>
      </c>
      <c r="D331" t="s">
        <v>511</v>
      </c>
      <c r="E331" t="s">
        <v>71</v>
      </c>
      <c r="F331" t="s">
        <v>22</v>
      </c>
      <c r="G331" t="s">
        <v>3267</v>
      </c>
      <c r="H331" t="s">
        <v>4370</v>
      </c>
      <c r="I331" t="s">
        <v>4371</v>
      </c>
      <c r="J331" t="s">
        <v>4140</v>
      </c>
      <c r="L331" t="s">
        <v>25</v>
      </c>
    </row>
    <row r="332" spans="1:12" x14ac:dyDescent="0.3">
      <c r="A332">
        <v>492</v>
      </c>
      <c r="B332" t="s">
        <v>1381</v>
      </c>
      <c r="C332" t="s">
        <v>4373</v>
      </c>
      <c r="D332" t="s">
        <v>554</v>
      </c>
      <c r="E332" t="s">
        <v>71</v>
      </c>
      <c r="F332" t="s">
        <v>22</v>
      </c>
      <c r="G332" t="s">
        <v>3267</v>
      </c>
      <c r="H332" t="s">
        <v>4370</v>
      </c>
      <c r="I332" t="s">
        <v>4371</v>
      </c>
      <c r="J332" t="s">
        <v>4140</v>
      </c>
      <c r="L332" t="s">
        <v>25</v>
      </c>
    </row>
    <row r="333" spans="1:12" x14ac:dyDescent="0.3">
      <c r="A333">
        <v>493</v>
      </c>
      <c r="B333" t="s">
        <v>1384</v>
      </c>
      <c r="C333" t="s">
        <v>4373</v>
      </c>
      <c r="D333" t="s">
        <v>595</v>
      </c>
      <c r="E333" t="s">
        <v>71</v>
      </c>
      <c r="F333" t="s">
        <v>22</v>
      </c>
      <c r="G333" t="s">
        <v>3267</v>
      </c>
      <c r="H333" t="s">
        <v>4370</v>
      </c>
      <c r="I333" t="s">
        <v>4371</v>
      </c>
      <c r="J333" t="s">
        <v>4140</v>
      </c>
      <c r="L333" t="s">
        <v>25</v>
      </c>
    </row>
    <row r="334" spans="1:12" x14ac:dyDescent="0.3">
      <c r="A334">
        <v>494</v>
      </c>
      <c r="B334" t="s">
        <v>1387</v>
      </c>
      <c r="C334" t="s">
        <v>4373</v>
      </c>
      <c r="D334" t="s">
        <v>739</v>
      </c>
      <c r="E334" t="s">
        <v>71</v>
      </c>
      <c r="F334" t="s">
        <v>22</v>
      </c>
      <c r="G334" t="s">
        <v>3267</v>
      </c>
      <c r="H334" t="s">
        <v>4370</v>
      </c>
      <c r="I334" t="s">
        <v>4371</v>
      </c>
      <c r="J334" t="s">
        <v>4140</v>
      </c>
      <c r="L334" t="s">
        <v>25</v>
      </c>
    </row>
    <row r="335" spans="1:12" x14ac:dyDescent="0.3">
      <c r="A335">
        <v>495</v>
      </c>
      <c r="B335" t="s">
        <v>1390</v>
      </c>
      <c r="C335" t="s">
        <v>4373</v>
      </c>
      <c r="D335" t="s">
        <v>901</v>
      </c>
      <c r="E335" t="s">
        <v>71</v>
      </c>
      <c r="F335" t="s">
        <v>22</v>
      </c>
      <c r="G335" t="s">
        <v>3267</v>
      </c>
      <c r="H335" t="s">
        <v>4370</v>
      </c>
      <c r="I335" t="s">
        <v>4371</v>
      </c>
      <c r="J335" t="s">
        <v>4140</v>
      </c>
      <c r="L335" t="s">
        <v>25</v>
      </c>
    </row>
    <row r="336" spans="1:12" x14ac:dyDescent="0.3">
      <c r="A336">
        <v>496</v>
      </c>
      <c r="B336" t="s">
        <v>1393</v>
      </c>
      <c r="C336" t="s">
        <v>4373</v>
      </c>
      <c r="D336" t="s">
        <v>159</v>
      </c>
      <c r="E336" t="s">
        <v>71</v>
      </c>
      <c r="F336" t="s">
        <v>22</v>
      </c>
      <c r="G336" t="s">
        <v>3267</v>
      </c>
      <c r="H336" t="s">
        <v>4370</v>
      </c>
      <c r="I336" t="s">
        <v>4371</v>
      </c>
      <c r="J336" t="s">
        <v>4140</v>
      </c>
      <c r="L336" t="s">
        <v>25</v>
      </c>
    </row>
    <row r="337" spans="1:12" x14ac:dyDescent="0.3">
      <c r="A337">
        <v>497</v>
      </c>
      <c r="B337" t="s">
        <v>1396</v>
      </c>
      <c r="C337" t="s">
        <v>4373</v>
      </c>
      <c r="D337" t="s">
        <v>927</v>
      </c>
      <c r="E337" t="s">
        <v>71</v>
      </c>
      <c r="F337" t="s">
        <v>22</v>
      </c>
      <c r="G337" t="s">
        <v>3267</v>
      </c>
      <c r="H337" t="s">
        <v>4370</v>
      </c>
      <c r="I337" t="s">
        <v>4371</v>
      </c>
      <c r="J337" t="s">
        <v>4140</v>
      </c>
      <c r="L337" t="s">
        <v>25</v>
      </c>
    </row>
    <row r="338" spans="1:12" x14ac:dyDescent="0.3">
      <c r="A338">
        <v>498</v>
      </c>
      <c r="B338" t="s">
        <v>1398</v>
      </c>
      <c r="C338" t="s">
        <v>4373</v>
      </c>
      <c r="D338" t="s">
        <v>619</v>
      </c>
      <c r="E338" t="s">
        <v>71</v>
      </c>
      <c r="F338" t="s">
        <v>22</v>
      </c>
      <c r="G338" t="s">
        <v>3267</v>
      </c>
      <c r="H338" t="s">
        <v>4370</v>
      </c>
      <c r="I338" t="s">
        <v>4371</v>
      </c>
      <c r="J338" t="s">
        <v>4140</v>
      </c>
      <c r="L338" t="s">
        <v>25</v>
      </c>
    </row>
    <row r="339" spans="1:12" x14ac:dyDescent="0.3">
      <c r="A339">
        <v>499</v>
      </c>
      <c r="B339" t="s">
        <v>1401</v>
      </c>
      <c r="C339" t="s">
        <v>4373</v>
      </c>
      <c r="D339" t="s">
        <v>922</v>
      </c>
      <c r="E339" t="s">
        <v>71</v>
      </c>
      <c r="F339" t="s">
        <v>22</v>
      </c>
      <c r="G339" t="s">
        <v>3267</v>
      </c>
      <c r="H339" t="s">
        <v>4370</v>
      </c>
      <c r="I339" t="s">
        <v>4371</v>
      </c>
      <c r="J339" t="s">
        <v>4140</v>
      </c>
      <c r="L339" t="s">
        <v>25</v>
      </c>
    </row>
    <row r="340" spans="1:12" x14ac:dyDescent="0.3">
      <c r="A340">
        <v>500</v>
      </c>
      <c r="B340" t="s">
        <v>1404</v>
      </c>
      <c r="C340" t="s">
        <v>4373</v>
      </c>
      <c r="D340" t="s">
        <v>753</v>
      </c>
      <c r="E340" t="s">
        <v>71</v>
      </c>
      <c r="F340" t="s">
        <v>22</v>
      </c>
      <c r="G340" t="s">
        <v>3267</v>
      </c>
      <c r="H340" t="s">
        <v>4370</v>
      </c>
      <c r="I340" t="s">
        <v>4371</v>
      </c>
      <c r="J340" t="s">
        <v>4140</v>
      </c>
      <c r="L340" t="s">
        <v>25</v>
      </c>
    </row>
    <row r="341" spans="1:12" x14ac:dyDescent="0.3">
      <c r="A341">
        <v>501</v>
      </c>
      <c r="B341" t="s">
        <v>1407</v>
      </c>
      <c r="C341" t="s">
        <v>4373</v>
      </c>
      <c r="D341" t="s">
        <v>549</v>
      </c>
      <c r="E341" t="s">
        <v>71</v>
      </c>
      <c r="F341" t="s">
        <v>22</v>
      </c>
      <c r="G341" t="s">
        <v>3267</v>
      </c>
      <c r="H341" t="s">
        <v>4370</v>
      </c>
      <c r="I341" t="s">
        <v>4371</v>
      </c>
      <c r="J341" t="s">
        <v>4140</v>
      </c>
      <c r="L341" t="s">
        <v>25</v>
      </c>
    </row>
    <row r="342" spans="1:12" x14ac:dyDescent="0.3">
      <c r="A342">
        <v>502</v>
      </c>
      <c r="B342" t="s">
        <v>1410</v>
      </c>
      <c r="C342" t="s">
        <v>4373</v>
      </c>
      <c r="D342" t="s">
        <v>274</v>
      </c>
      <c r="E342" t="s">
        <v>71</v>
      </c>
      <c r="F342" t="s">
        <v>22</v>
      </c>
      <c r="G342" t="s">
        <v>3267</v>
      </c>
      <c r="H342" t="s">
        <v>4370</v>
      </c>
      <c r="I342" t="s">
        <v>4371</v>
      </c>
      <c r="J342" t="s">
        <v>4140</v>
      </c>
      <c r="L342" t="s">
        <v>25</v>
      </c>
    </row>
    <row r="343" spans="1:12" x14ac:dyDescent="0.3">
      <c r="A343">
        <v>503</v>
      </c>
      <c r="B343" t="s">
        <v>1413</v>
      </c>
      <c r="C343" t="s">
        <v>4373</v>
      </c>
      <c r="D343" t="s">
        <v>1059</v>
      </c>
      <c r="E343" t="s">
        <v>71</v>
      </c>
      <c r="F343" t="s">
        <v>22</v>
      </c>
      <c r="G343" t="s">
        <v>3267</v>
      </c>
      <c r="H343" t="s">
        <v>4370</v>
      </c>
      <c r="I343" t="s">
        <v>4371</v>
      </c>
      <c r="J343" t="s">
        <v>4140</v>
      </c>
      <c r="L343" t="s">
        <v>25</v>
      </c>
    </row>
    <row r="344" spans="1:12" x14ac:dyDescent="0.3">
      <c r="A344">
        <v>504</v>
      </c>
      <c r="B344" t="s">
        <v>1416</v>
      </c>
      <c r="C344" t="s">
        <v>4373</v>
      </c>
      <c r="D344" t="s">
        <v>1110</v>
      </c>
      <c r="E344" t="s">
        <v>71</v>
      </c>
      <c r="F344" t="s">
        <v>22</v>
      </c>
      <c r="G344" t="s">
        <v>3267</v>
      </c>
      <c r="H344" t="s">
        <v>4370</v>
      </c>
      <c r="I344" t="s">
        <v>4371</v>
      </c>
      <c r="J344" t="s">
        <v>4140</v>
      </c>
      <c r="L344" t="s">
        <v>25</v>
      </c>
    </row>
    <row r="345" spans="1:12" x14ac:dyDescent="0.3">
      <c r="A345">
        <v>505</v>
      </c>
      <c r="B345" t="s">
        <v>1419</v>
      </c>
      <c r="C345" t="s">
        <v>4373</v>
      </c>
      <c r="D345" t="s">
        <v>1183</v>
      </c>
      <c r="E345" t="s">
        <v>71</v>
      </c>
      <c r="F345" t="s">
        <v>22</v>
      </c>
      <c r="G345" t="s">
        <v>3267</v>
      </c>
      <c r="H345" t="s">
        <v>4370</v>
      </c>
      <c r="I345" t="s">
        <v>4371</v>
      </c>
      <c r="J345" t="s">
        <v>4140</v>
      </c>
      <c r="L345" t="s">
        <v>25</v>
      </c>
    </row>
    <row r="346" spans="1:12" x14ac:dyDescent="0.3">
      <c r="A346">
        <v>506</v>
      </c>
      <c r="B346" t="s">
        <v>1422</v>
      </c>
      <c r="C346" t="s">
        <v>4373</v>
      </c>
      <c r="D346" t="s">
        <v>941</v>
      </c>
      <c r="E346" t="s">
        <v>27</v>
      </c>
      <c r="F346" t="s">
        <v>22</v>
      </c>
      <c r="G346" t="s">
        <v>3267</v>
      </c>
      <c r="H346" t="s">
        <v>4370</v>
      </c>
      <c r="I346" t="s">
        <v>4371</v>
      </c>
      <c r="J346" t="s">
        <v>4140</v>
      </c>
      <c r="L346" t="s">
        <v>25</v>
      </c>
    </row>
    <row r="347" spans="1:12" x14ac:dyDescent="0.3">
      <c r="A347">
        <v>507</v>
      </c>
      <c r="B347" t="s">
        <v>1425</v>
      </c>
      <c r="C347" t="s">
        <v>4373</v>
      </c>
      <c r="D347" t="s">
        <v>711</v>
      </c>
      <c r="E347" t="s">
        <v>27</v>
      </c>
      <c r="F347" t="s">
        <v>22</v>
      </c>
      <c r="G347" t="s">
        <v>3267</v>
      </c>
      <c r="H347" t="s">
        <v>4370</v>
      </c>
      <c r="I347" t="s">
        <v>4371</v>
      </c>
      <c r="J347" t="s">
        <v>4140</v>
      </c>
      <c r="L347" t="s">
        <v>25</v>
      </c>
    </row>
    <row r="348" spans="1:12" x14ac:dyDescent="0.3">
      <c r="A348">
        <v>508</v>
      </c>
      <c r="B348" t="s">
        <v>1428</v>
      </c>
      <c r="C348" t="s">
        <v>4373</v>
      </c>
      <c r="D348" t="s">
        <v>1089</v>
      </c>
      <c r="E348" t="s">
        <v>71</v>
      </c>
      <c r="F348" t="s">
        <v>22</v>
      </c>
      <c r="G348" t="s">
        <v>3267</v>
      </c>
      <c r="H348" t="s">
        <v>4370</v>
      </c>
      <c r="I348" t="s">
        <v>4371</v>
      </c>
      <c r="J348" t="s">
        <v>4140</v>
      </c>
      <c r="L348" t="s">
        <v>25</v>
      </c>
    </row>
    <row r="349" spans="1:12" x14ac:dyDescent="0.3">
      <c r="A349">
        <v>509</v>
      </c>
      <c r="B349" t="s">
        <v>1431</v>
      </c>
      <c r="C349" t="s">
        <v>4373</v>
      </c>
      <c r="D349" t="s">
        <v>511</v>
      </c>
      <c r="E349" t="s">
        <v>54</v>
      </c>
      <c r="F349" t="s">
        <v>22</v>
      </c>
      <c r="G349" t="s">
        <v>3268</v>
      </c>
      <c r="H349" t="s">
        <v>4370</v>
      </c>
      <c r="I349" t="s">
        <v>4371</v>
      </c>
      <c r="J349" t="s">
        <v>4140</v>
      </c>
      <c r="L349" t="s">
        <v>25</v>
      </c>
    </row>
    <row r="350" spans="1:12" x14ac:dyDescent="0.3">
      <c r="A350">
        <v>510</v>
      </c>
      <c r="B350" t="s">
        <v>1433</v>
      </c>
      <c r="C350" t="s">
        <v>4369</v>
      </c>
      <c r="D350" t="s">
        <v>732</v>
      </c>
      <c r="E350" t="s">
        <v>21</v>
      </c>
      <c r="F350" t="s">
        <v>22</v>
      </c>
      <c r="G350" t="s">
        <v>3268</v>
      </c>
      <c r="H350" t="s">
        <v>4370</v>
      </c>
      <c r="I350" t="s">
        <v>4371</v>
      </c>
      <c r="J350" t="s">
        <v>4376</v>
      </c>
      <c r="L350" t="s">
        <v>25</v>
      </c>
    </row>
    <row r="351" spans="1:12" x14ac:dyDescent="0.3">
      <c r="A351">
        <v>511</v>
      </c>
      <c r="B351" t="s">
        <v>1435</v>
      </c>
      <c r="C351" t="s">
        <v>4369</v>
      </c>
      <c r="D351" t="s">
        <v>732</v>
      </c>
      <c r="E351" t="s">
        <v>21</v>
      </c>
      <c r="F351" t="s">
        <v>22</v>
      </c>
      <c r="G351" t="s">
        <v>3268</v>
      </c>
      <c r="H351" t="s">
        <v>4370</v>
      </c>
      <c r="I351" t="s">
        <v>4371</v>
      </c>
      <c r="J351" t="s">
        <v>4376</v>
      </c>
      <c r="L351" t="s">
        <v>25</v>
      </c>
    </row>
    <row r="352" spans="1:12" x14ac:dyDescent="0.3">
      <c r="A352">
        <v>513</v>
      </c>
      <c r="B352" t="s">
        <v>1437</v>
      </c>
      <c r="C352" t="s">
        <v>4369</v>
      </c>
      <c r="D352" t="s">
        <v>732</v>
      </c>
      <c r="E352" t="s">
        <v>21</v>
      </c>
      <c r="F352" t="s">
        <v>22</v>
      </c>
      <c r="G352" t="s">
        <v>3267</v>
      </c>
      <c r="H352" t="s">
        <v>4370</v>
      </c>
      <c r="I352" t="s">
        <v>4371</v>
      </c>
      <c r="J352" t="s">
        <v>4372</v>
      </c>
      <c r="L352" t="s">
        <v>25</v>
      </c>
    </row>
    <row r="353" spans="1:12" x14ac:dyDescent="0.3">
      <c r="A353">
        <v>514</v>
      </c>
      <c r="B353" t="s">
        <v>1439</v>
      </c>
      <c r="C353" t="s">
        <v>4369</v>
      </c>
      <c r="D353" t="s">
        <v>732</v>
      </c>
      <c r="E353" t="s">
        <v>27</v>
      </c>
      <c r="F353" t="s">
        <v>22</v>
      </c>
      <c r="G353" t="s">
        <v>3267</v>
      </c>
      <c r="H353" t="s">
        <v>4370</v>
      </c>
      <c r="I353" t="s">
        <v>4371</v>
      </c>
      <c r="J353" t="s">
        <v>4372</v>
      </c>
      <c r="L353" t="s">
        <v>25</v>
      </c>
    </row>
    <row r="354" spans="1:12" x14ac:dyDescent="0.3">
      <c r="A354">
        <v>515</v>
      </c>
      <c r="B354" t="s">
        <v>1441</v>
      </c>
      <c r="C354" t="s">
        <v>4373</v>
      </c>
      <c r="D354" t="s">
        <v>53</v>
      </c>
      <c r="E354" t="s">
        <v>27</v>
      </c>
      <c r="F354" t="s">
        <v>22</v>
      </c>
      <c r="G354" t="s">
        <v>3267</v>
      </c>
      <c r="H354" t="s">
        <v>4370</v>
      </c>
      <c r="I354" t="s">
        <v>4371</v>
      </c>
      <c r="J354" t="s">
        <v>4372</v>
      </c>
      <c r="L354" t="s">
        <v>25</v>
      </c>
    </row>
    <row r="355" spans="1:12" x14ac:dyDescent="0.3">
      <c r="A355">
        <v>516</v>
      </c>
      <c r="B355" t="s">
        <v>1443</v>
      </c>
      <c r="C355" t="s">
        <v>4369</v>
      </c>
      <c r="D355" t="s">
        <v>53</v>
      </c>
      <c r="E355" t="s">
        <v>27</v>
      </c>
      <c r="F355" t="s">
        <v>22</v>
      </c>
      <c r="G355" t="s">
        <v>3267</v>
      </c>
      <c r="H355" t="s">
        <v>4370</v>
      </c>
      <c r="I355" t="s">
        <v>4371</v>
      </c>
      <c r="J355" t="s">
        <v>4372</v>
      </c>
      <c r="L355" t="s">
        <v>25</v>
      </c>
    </row>
    <row r="356" spans="1:12" x14ac:dyDescent="0.3">
      <c r="A356">
        <v>518</v>
      </c>
      <c r="B356" t="s">
        <v>62</v>
      </c>
      <c r="C356" t="s">
        <v>4373</v>
      </c>
      <c r="D356" t="s">
        <v>63</v>
      </c>
      <c r="E356" t="s">
        <v>21</v>
      </c>
      <c r="F356" t="s">
        <v>22</v>
      </c>
      <c r="G356" t="s">
        <v>3267</v>
      </c>
      <c r="H356" t="s">
        <v>4370</v>
      </c>
      <c r="I356" t="s">
        <v>4371</v>
      </c>
      <c r="J356" t="s">
        <v>4140</v>
      </c>
      <c r="L356" t="s">
        <v>25</v>
      </c>
    </row>
    <row r="357" spans="1:12" x14ac:dyDescent="0.3">
      <c r="A357">
        <v>519</v>
      </c>
      <c r="B357" t="s">
        <v>1446</v>
      </c>
      <c r="C357" t="s">
        <v>4369</v>
      </c>
      <c r="D357" t="s">
        <v>1078</v>
      </c>
      <c r="E357" t="s">
        <v>27</v>
      </c>
      <c r="F357" t="s">
        <v>22</v>
      </c>
      <c r="G357" t="s">
        <v>3268</v>
      </c>
      <c r="H357" t="s">
        <v>4370</v>
      </c>
      <c r="I357" t="s">
        <v>4371</v>
      </c>
      <c r="J357" t="s">
        <v>4372</v>
      </c>
      <c r="L357" t="s">
        <v>25</v>
      </c>
    </row>
    <row r="358" spans="1:12" x14ac:dyDescent="0.3">
      <c r="A358">
        <v>522</v>
      </c>
      <c r="B358" t="s">
        <v>1448</v>
      </c>
      <c r="C358" t="s">
        <v>4373</v>
      </c>
      <c r="D358" t="s">
        <v>549</v>
      </c>
      <c r="E358" t="s">
        <v>71</v>
      </c>
      <c r="F358" t="s">
        <v>22</v>
      </c>
      <c r="G358" t="s">
        <v>3267</v>
      </c>
      <c r="H358" t="s">
        <v>4370</v>
      </c>
      <c r="I358" t="s">
        <v>4371</v>
      </c>
      <c r="J358" t="s">
        <v>4140</v>
      </c>
      <c r="L358" t="s">
        <v>128</v>
      </c>
    </row>
    <row r="359" spans="1:12" x14ac:dyDescent="0.3">
      <c r="A359">
        <v>523</v>
      </c>
      <c r="B359" t="s">
        <v>1043</v>
      </c>
      <c r="C359" t="s">
        <v>4373</v>
      </c>
      <c r="D359" t="s">
        <v>159</v>
      </c>
      <c r="E359" t="s">
        <v>27</v>
      </c>
      <c r="F359" t="s">
        <v>22</v>
      </c>
      <c r="G359" t="s">
        <v>3268</v>
      </c>
      <c r="H359" t="s">
        <v>4370</v>
      </c>
      <c r="I359" t="s">
        <v>4371</v>
      </c>
      <c r="J359" t="s">
        <v>4140</v>
      </c>
      <c r="L359" t="s">
        <v>136</v>
      </c>
    </row>
    <row r="360" spans="1:12" x14ac:dyDescent="0.3">
      <c r="A360">
        <v>524</v>
      </c>
      <c r="B360" t="s">
        <v>1182</v>
      </c>
      <c r="C360" t="s">
        <v>4369</v>
      </c>
      <c r="D360" t="s">
        <v>1183</v>
      </c>
      <c r="E360" t="s">
        <v>27</v>
      </c>
      <c r="F360" t="s">
        <v>22</v>
      </c>
      <c r="G360" t="s">
        <v>3268</v>
      </c>
      <c r="H360" t="s">
        <v>4370</v>
      </c>
      <c r="I360" t="s">
        <v>4371</v>
      </c>
      <c r="J360" t="s">
        <v>4376</v>
      </c>
      <c r="L360" t="s">
        <v>128</v>
      </c>
    </row>
    <row r="361" spans="1:12" x14ac:dyDescent="0.3">
      <c r="A361">
        <v>526</v>
      </c>
      <c r="B361" t="s">
        <v>1452</v>
      </c>
      <c r="C361" t="s">
        <v>4369</v>
      </c>
      <c r="D361" t="s">
        <v>706</v>
      </c>
      <c r="E361" t="s">
        <v>21</v>
      </c>
      <c r="F361" t="s">
        <v>22</v>
      </c>
      <c r="G361" t="s">
        <v>3267</v>
      </c>
      <c r="H361" t="s">
        <v>4370</v>
      </c>
      <c r="I361" t="s">
        <v>4371</v>
      </c>
      <c r="J361" t="s">
        <v>4372</v>
      </c>
      <c r="L361" t="s">
        <v>25</v>
      </c>
    </row>
    <row r="362" spans="1:12" x14ac:dyDescent="0.3">
      <c r="A362">
        <v>527</v>
      </c>
      <c r="B362" t="s">
        <v>1454</v>
      </c>
      <c r="C362" t="s">
        <v>4373</v>
      </c>
      <c r="D362" t="s">
        <v>567</v>
      </c>
      <c r="E362" t="s">
        <v>71</v>
      </c>
      <c r="F362" t="s">
        <v>22</v>
      </c>
      <c r="G362" t="s">
        <v>3267</v>
      </c>
      <c r="H362" t="s">
        <v>4370</v>
      </c>
      <c r="I362" t="s">
        <v>4371</v>
      </c>
      <c r="L362" t="s">
        <v>25</v>
      </c>
    </row>
    <row r="363" spans="1:12" x14ac:dyDescent="0.3">
      <c r="A363">
        <v>528</v>
      </c>
      <c r="B363" t="s">
        <v>1456</v>
      </c>
      <c r="C363" t="s">
        <v>4373</v>
      </c>
      <c r="D363" t="s">
        <v>567</v>
      </c>
      <c r="E363" t="s">
        <v>71</v>
      </c>
      <c r="F363" t="s">
        <v>22</v>
      </c>
      <c r="G363" t="s">
        <v>3267</v>
      </c>
      <c r="H363" t="s">
        <v>4370</v>
      </c>
      <c r="I363" t="s">
        <v>4371</v>
      </c>
      <c r="J363" t="s">
        <v>4140</v>
      </c>
      <c r="L363" t="s">
        <v>128</v>
      </c>
    </row>
    <row r="364" spans="1:12" x14ac:dyDescent="0.3">
      <c r="A364">
        <v>529</v>
      </c>
      <c r="B364" t="s">
        <v>1458</v>
      </c>
      <c r="C364" t="s">
        <v>4369</v>
      </c>
      <c r="D364" t="s">
        <v>167</v>
      </c>
      <c r="E364" t="s">
        <v>21</v>
      </c>
      <c r="F364" t="s">
        <v>22</v>
      </c>
      <c r="G364" t="s">
        <v>3268</v>
      </c>
      <c r="H364" t="s">
        <v>4370</v>
      </c>
      <c r="I364" t="s">
        <v>4371</v>
      </c>
      <c r="J364" t="s">
        <v>4376</v>
      </c>
      <c r="L364" t="s">
        <v>25</v>
      </c>
    </row>
    <row r="365" spans="1:12" x14ac:dyDescent="0.3">
      <c r="A365">
        <v>530</v>
      </c>
      <c r="B365" t="s">
        <v>1460</v>
      </c>
      <c r="C365" t="s">
        <v>4373</v>
      </c>
      <c r="D365" t="s">
        <v>53</v>
      </c>
      <c r="E365" t="s">
        <v>27</v>
      </c>
      <c r="F365" t="s">
        <v>22</v>
      </c>
      <c r="G365" t="s">
        <v>3267</v>
      </c>
      <c r="H365" t="s">
        <v>4370</v>
      </c>
      <c r="I365" t="s">
        <v>4371</v>
      </c>
      <c r="J365" t="s">
        <v>4372</v>
      </c>
      <c r="L365" t="s">
        <v>25</v>
      </c>
    </row>
    <row r="366" spans="1:12" x14ac:dyDescent="0.3">
      <c r="A366">
        <v>531</v>
      </c>
      <c r="B366" t="s">
        <v>1462</v>
      </c>
      <c r="C366" t="s">
        <v>4373</v>
      </c>
      <c r="D366" t="s">
        <v>53</v>
      </c>
      <c r="E366" t="s">
        <v>27</v>
      </c>
      <c r="F366" t="s">
        <v>22</v>
      </c>
      <c r="G366" t="s">
        <v>3267</v>
      </c>
      <c r="H366" t="s">
        <v>4370</v>
      </c>
      <c r="I366" t="s">
        <v>4371</v>
      </c>
      <c r="J366" t="s">
        <v>4372</v>
      </c>
      <c r="L366" t="s">
        <v>25</v>
      </c>
    </row>
    <row r="367" spans="1:12" x14ac:dyDescent="0.3">
      <c r="A367">
        <v>532</v>
      </c>
      <c r="B367" t="s">
        <v>1464</v>
      </c>
      <c r="C367" t="s">
        <v>4373</v>
      </c>
      <c r="D367" t="s">
        <v>246</v>
      </c>
      <c r="E367" t="s">
        <v>27</v>
      </c>
      <c r="F367" t="s">
        <v>22</v>
      </c>
      <c r="G367" t="s">
        <v>3268</v>
      </c>
      <c r="H367" t="s">
        <v>4370</v>
      </c>
      <c r="I367" t="s">
        <v>4371</v>
      </c>
      <c r="J367" t="s">
        <v>4376</v>
      </c>
      <c r="L367" t="s">
        <v>25</v>
      </c>
    </row>
    <row r="368" spans="1:12" x14ac:dyDescent="0.3">
      <c r="A368">
        <v>533</v>
      </c>
      <c r="B368" t="s">
        <v>1466</v>
      </c>
      <c r="C368" t="s">
        <v>4373</v>
      </c>
      <c r="D368" t="s">
        <v>246</v>
      </c>
      <c r="E368" t="s">
        <v>27</v>
      </c>
      <c r="F368" t="s">
        <v>22</v>
      </c>
      <c r="G368" t="s">
        <v>3268</v>
      </c>
      <c r="H368" t="s">
        <v>4370</v>
      </c>
      <c r="I368" t="s">
        <v>4371</v>
      </c>
      <c r="J368" t="s">
        <v>4376</v>
      </c>
      <c r="L368" t="s">
        <v>25</v>
      </c>
    </row>
    <row r="369" spans="1:12" x14ac:dyDescent="0.3">
      <c r="A369">
        <v>534</v>
      </c>
      <c r="B369" t="s">
        <v>1468</v>
      </c>
      <c r="C369" t="s">
        <v>4373</v>
      </c>
      <c r="D369" t="s">
        <v>246</v>
      </c>
      <c r="E369" t="s">
        <v>27</v>
      </c>
      <c r="F369" t="s">
        <v>22</v>
      </c>
      <c r="G369" t="s">
        <v>3268</v>
      </c>
      <c r="H369" t="s">
        <v>4370</v>
      </c>
      <c r="I369" t="s">
        <v>4371</v>
      </c>
      <c r="J369" t="s">
        <v>4376</v>
      </c>
      <c r="L369" t="s">
        <v>25</v>
      </c>
    </row>
    <row r="370" spans="1:12" x14ac:dyDescent="0.3">
      <c r="A370">
        <v>535</v>
      </c>
      <c r="B370" t="s">
        <v>1470</v>
      </c>
      <c r="C370" t="s">
        <v>4373</v>
      </c>
      <c r="D370" t="s">
        <v>246</v>
      </c>
      <c r="E370" t="s">
        <v>27</v>
      </c>
      <c r="F370" t="s">
        <v>22</v>
      </c>
      <c r="G370" t="s">
        <v>3268</v>
      </c>
      <c r="H370" t="s">
        <v>4370</v>
      </c>
      <c r="I370" t="s">
        <v>4371</v>
      </c>
      <c r="J370" t="s">
        <v>4376</v>
      </c>
      <c r="L370" t="s">
        <v>25</v>
      </c>
    </row>
    <row r="371" spans="1:12" x14ac:dyDescent="0.3">
      <c r="A371">
        <v>536</v>
      </c>
      <c r="B371" t="s">
        <v>1472</v>
      </c>
      <c r="C371" t="s">
        <v>4373</v>
      </c>
      <c r="D371" t="s">
        <v>246</v>
      </c>
      <c r="E371" t="s">
        <v>27</v>
      </c>
      <c r="F371" t="s">
        <v>22</v>
      </c>
      <c r="G371" t="s">
        <v>3268</v>
      </c>
      <c r="H371" t="s">
        <v>4370</v>
      </c>
      <c r="I371" t="s">
        <v>4371</v>
      </c>
      <c r="J371" t="s">
        <v>4376</v>
      </c>
      <c r="L371" t="s">
        <v>25</v>
      </c>
    </row>
    <row r="372" spans="1:12" x14ac:dyDescent="0.3">
      <c r="A372">
        <v>537</v>
      </c>
      <c r="B372" t="s">
        <v>1474</v>
      </c>
      <c r="C372" t="s">
        <v>4373</v>
      </c>
      <c r="D372" t="s">
        <v>333</v>
      </c>
      <c r="E372" t="s">
        <v>27</v>
      </c>
      <c r="F372" t="s">
        <v>22</v>
      </c>
      <c r="G372" t="s">
        <v>3267</v>
      </c>
      <c r="H372" t="s">
        <v>4370</v>
      </c>
      <c r="I372" t="s">
        <v>4371</v>
      </c>
      <c r="J372" t="s">
        <v>4140</v>
      </c>
      <c r="L372" t="s">
        <v>128</v>
      </c>
    </row>
    <row r="373" spans="1:12" x14ac:dyDescent="0.3">
      <c r="A373">
        <v>538</v>
      </c>
      <c r="B373" t="s">
        <v>1476</v>
      </c>
      <c r="C373" t="s">
        <v>4369</v>
      </c>
      <c r="D373" t="s">
        <v>541</v>
      </c>
      <c r="E373" t="s">
        <v>27</v>
      </c>
      <c r="F373" t="s">
        <v>22</v>
      </c>
      <c r="G373" t="s">
        <v>3267</v>
      </c>
      <c r="H373" t="s">
        <v>4370</v>
      </c>
      <c r="I373" t="s">
        <v>4371</v>
      </c>
      <c r="J373" t="s">
        <v>4372</v>
      </c>
      <c r="L373" t="s">
        <v>25</v>
      </c>
    </row>
    <row r="374" spans="1:12" x14ac:dyDescent="0.3">
      <c r="A374">
        <v>539</v>
      </c>
      <c r="B374" t="s">
        <v>1478</v>
      </c>
      <c r="C374" t="s">
        <v>4369</v>
      </c>
      <c r="D374" t="s">
        <v>541</v>
      </c>
      <c r="E374" t="s">
        <v>27</v>
      </c>
      <c r="F374" t="s">
        <v>41</v>
      </c>
      <c r="G374" t="s">
        <v>3267</v>
      </c>
      <c r="H374" t="s">
        <v>4370</v>
      </c>
      <c r="I374" t="s">
        <v>4371</v>
      </c>
      <c r="J374" t="s">
        <v>4372</v>
      </c>
      <c r="L374" t="s">
        <v>136</v>
      </c>
    </row>
    <row r="375" spans="1:12" x14ac:dyDescent="0.3">
      <c r="A375">
        <v>540</v>
      </c>
      <c r="B375" t="s">
        <v>1480</v>
      </c>
      <c r="C375" t="s">
        <v>4373</v>
      </c>
      <c r="D375" t="s">
        <v>922</v>
      </c>
      <c r="E375" t="s">
        <v>27</v>
      </c>
      <c r="F375" t="s">
        <v>22</v>
      </c>
      <c r="G375" t="s">
        <v>3267</v>
      </c>
      <c r="H375" t="s">
        <v>4370</v>
      </c>
      <c r="I375" t="s">
        <v>4371</v>
      </c>
      <c r="J375" t="s">
        <v>4372</v>
      </c>
      <c r="L375" t="s">
        <v>25</v>
      </c>
    </row>
    <row r="376" spans="1:12" x14ac:dyDescent="0.3">
      <c r="A376">
        <v>541</v>
      </c>
      <c r="B376" t="s">
        <v>1482</v>
      </c>
      <c r="C376" t="s">
        <v>4369</v>
      </c>
      <c r="D376" t="s">
        <v>842</v>
      </c>
      <c r="E376" t="s">
        <v>71</v>
      </c>
      <c r="F376" t="s">
        <v>22</v>
      </c>
      <c r="G376" t="s">
        <v>3267</v>
      </c>
      <c r="H376" t="s">
        <v>4370</v>
      </c>
      <c r="I376" t="s">
        <v>4371</v>
      </c>
      <c r="J376" t="s">
        <v>4140</v>
      </c>
      <c r="L376" t="s">
        <v>25</v>
      </c>
    </row>
    <row r="377" spans="1:12" x14ac:dyDescent="0.3">
      <c r="A377">
        <v>542</v>
      </c>
      <c r="B377" t="s">
        <v>1484</v>
      </c>
      <c r="C377" t="s">
        <v>4373</v>
      </c>
      <c r="D377" t="s">
        <v>842</v>
      </c>
      <c r="E377" t="s">
        <v>71</v>
      </c>
      <c r="F377" t="s">
        <v>22</v>
      </c>
      <c r="G377" t="s">
        <v>3268</v>
      </c>
      <c r="H377" t="s">
        <v>4370</v>
      </c>
      <c r="I377" t="s">
        <v>4371</v>
      </c>
      <c r="J377" t="s">
        <v>4372</v>
      </c>
      <c r="L377" t="s">
        <v>25</v>
      </c>
    </row>
    <row r="378" spans="1:12" x14ac:dyDescent="0.3">
      <c r="A378">
        <v>543</v>
      </c>
      <c r="B378" t="s">
        <v>1486</v>
      </c>
      <c r="C378" t="s">
        <v>4369</v>
      </c>
      <c r="D378" t="s">
        <v>308</v>
      </c>
      <c r="E378" t="s">
        <v>27</v>
      </c>
      <c r="F378" t="s">
        <v>22</v>
      </c>
      <c r="G378" t="s">
        <v>3268</v>
      </c>
      <c r="H378" t="s">
        <v>4370</v>
      </c>
      <c r="I378" t="s">
        <v>4371</v>
      </c>
      <c r="J378" t="s">
        <v>4376</v>
      </c>
      <c r="L378" t="s">
        <v>128</v>
      </c>
    </row>
    <row r="379" spans="1:12" x14ac:dyDescent="0.3">
      <c r="A379">
        <v>544</v>
      </c>
      <c r="B379" t="s">
        <v>1488</v>
      </c>
      <c r="C379" t="s">
        <v>4369</v>
      </c>
      <c r="D379" t="s">
        <v>1110</v>
      </c>
      <c r="E379" t="s">
        <v>27</v>
      </c>
      <c r="F379" t="s">
        <v>22</v>
      </c>
      <c r="G379" t="s">
        <v>3268</v>
      </c>
      <c r="H379" t="s">
        <v>4370</v>
      </c>
      <c r="I379" t="s">
        <v>4371</v>
      </c>
      <c r="J379" t="s">
        <v>4372</v>
      </c>
      <c r="L379" t="s">
        <v>128</v>
      </c>
    </row>
    <row r="380" spans="1:12" x14ac:dyDescent="0.3">
      <c r="A380">
        <v>546</v>
      </c>
      <c r="B380" t="s">
        <v>1490</v>
      </c>
      <c r="C380" t="s">
        <v>4373</v>
      </c>
      <c r="D380" t="s">
        <v>842</v>
      </c>
      <c r="E380" t="s">
        <v>71</v>
      </c>
      <c r="F380" t="s">
        <v>22</v>
      </c>
      <c r="G380" t="s">
        <v>3268</v>
      </c>
      <c r="H380" t="s">
        <v>4370</v>
      </c>
      <c r="I380" t="s">
        <v>4371</v>
      </c>
      <c r="J380" t="s">
        <v>4372</v>
      </c>
      <c r="L380" t="s">
        <v>128</v>
      </c>
    </row>
    <row r="381" spans="1:12" x14ac:dyDescent="0.3">
      <c r="A381">
        <v>547</v>
      </c>
      <c r="B381" t="s">
        <v>1492</v>
      </c>
      <c r="C381" t="s">
        <v>4373</v>
      </c>
      <c r="D381" t="s">
        <v>842</v>
      </c>
      <c r="E381" t="s">
        <v>71</v>
      </c>
      <c r="F381" t="s">
        <v>22</v>
      </c>
      <c r="G381" t="s">
        <v>3267</v>
      </c>
      <c r="H381" t="s">
        <v>4370</v>
      </c>
      <c r="I381" t="s">
        <v>4371</v>
      </c>
      <c r="J381" t="s">
        <v>4140</v>
      </c>
      <c r="L381" t="s">
        <v>25</v>
      </c>
    </row>
    <row r="382" spans="1:12" x14ac:dyDescent="0.3">
      <c r="A382">
        <v>550</v>
      </c>
      <c r="B382" t="s">
        <v>1494</v>
      </c>
      <c r="C382" t="s">
        <v>4369</v>
      </c>
      <c r="D382" t="s">
        <v>1097</v>
      </c>
      <c r="E382" t="s">
        <v>27</v>
      </c>
      <c r="F382" t="s">
        <v>22</v>
      </c>
      <c r="G382" t="s">
        <v>3267</v>
      </c>
      <c r="H382" t="s">
        <v>4370</v>
      </c>
      <c r="I382" t="s">
        <v>4371</v>
      </c>
      <c r="J382" t="s">
        <v>4140</v>
      </c>
      <c r="L382" t="s">
        <v>25</v>
      </c>
    </row>
    <row r="383" spans="1:12" x14ac:dyDescent="0.3">
      <c r="A383">
        <v>551</v>
      </c>
      <c r="B383" t="s">
        <v>1496</v>
      </c>
      <c r="C383" t="s">
        <v>4369</v>
      </c>
      <c r="D383" t="s">
        <v>1097</v>
      </c>
      <c r="E383" t="s">
        <v>27</v>
      </c>
      <c r="F383" t="s">
        <v>22</v>
      </c>
      <c r="G383" t="s">
        <v>3267</v>
      </c>
      <c r="H383" t="s">
        <v>4370</v>
      </c>
      <c r="I383" t="s">
        <v>4371</v>
      </c>
      <c r="J383" t="s">
        <v>4372</v>
      </c>
      <c r="L383" t="s">
        <v>136</v>
      </c>
    </row>
    <row r="384" spans="1:12" x14ac:dyDescent="0.3">
      <c r="A384">
        <v>552</v>
      </c>
      <c r="B384" t="s">
        <v>1498</v>
      </c>
      <c r="C384" t="s">
        <v>4373</v>
      </c>
      <c r="D384" t="s">
        <v>951</v>
      </c>
      <c r="E384" t="s">
        <v>71</v>
      </c>
      <c r="F384" t="s">
        <v>22</v>
      </c>
      <c r="G384" t="s">
        <v>3267</v>
      </c>
      <c r="H384" t="s">
        <v>4370</v>
      </c>
      <c r="I384" t="s">
        <v>4371</v>
      </c>
      <c r="J384" t="s">
        <v>4140</v>
      </c>
      <c r="L384" t="s">
        <v>25</v>
      </c>
    </row>
    <row r="385" spans="1:12" x14ac:dyDescent="0.3">
      <c r="A385">
        <v>553</v>
      </c>
      <c r="B385" t="s">
        <v>1500</v>
      </c>
      <c r="C385" t="s">
        <v>4373</v>
      </c>
      <c r="D385" t="s">
        <v>1020</v>
      </c>
      <c r="E385" t="s">
        <v>71</v>
      </c>
      <c r="F385" t="s">
        <v>22</v>
      </c>
      <c r="G385" t="s">
        <v>3267</v>
      </c>
      <c r="H385" t="s">
        <v>4370</v>
      </c>
      <c r="I385" t="s">
        <v>4371</v>
      </c>
      <c r="J385" t="s">
        <v>4140</v>
      </c>
      <c r="L385" t="s">
        <v>25</v>
      </c>
    </row>
    <row r="386" spans="1:12" x14ac:dyDescent="0.3">
      <c r="A386">
        <v>554</v>
      </c>
      <c r="B386" t="s">
        <v>1502</v>
      </c>
      <c r="C386" t="s">
        <v>4373</v>
      </c>
      <c r="D386" t="s">
        <v>536</v>
      </c>
      <c r="E386" t="s">
        <v>27</v>
      </c>
      <c r="F386" t="s">
        <v>22</v>
      </c>
      <c r="G386" t="s">
        <v>3267</v>
      </c>
      <c r="H386" t="s">
        <v>4370</v>
      </c>
      <c r="I386" t="s">
        <v>4371</v>
      </c>
      <c r="J386" t="s">
        <v>4140</v>
      </c>
      <c r="L386" t="s">
        <v>25</v>
      </c>
    </row>
    <row r="387" spans="1:12" x14ac:dyDescent="0.3">
      <c r="A387">
        <v>555</v>
      </c>
      <c r="B387" t="s">
        <v>1504</v>
      </c>
      <c r="C387" t="s">
        <v>4373</v>
      </c>
      <c r="D387" t="s">
        <v>1044</v>
      </c>
      <c r="E387" t="s">
        <v>27</v>
      </c>
      <c r="F387" t="s">
        <v>22</v>
      </c>
      <c r="G387" t="s">
        <v>3267</v>
      </c>
      <c r="H387" t="s">
        <v>4370</v>
      </c>
      <c r="I387" t="s">
        <v>4371</v>
      </c>
      <c r="J387" t="s">
        <v>4140</v>
      </c>
      <c r="L387" t="s">
        <v>25</v>
      </c>
    </row>
    <row r="388" spans="1:12" x14ac:dyDescent="0.3">
      <c r="A388">
        <v>556</v>
      </c>
      <c r="B388" t="s">
        <v>1506</v>
      </c>
      <c r="C388" t="s">
        <v>4373</v>
      </c>
      <c r="D388" t="s">
        <v>40</v>
      </c>
      <c r="E388" t="s">
        <v>71</v>
      </c>
      <c r="F388" t="s">
        <v>22</v>
      </c>
      <c r="G388" t="s">
        <v>3267</v>
      </c>
      <c r="H388" t="s">
        <v>4370</v>
      </c>
      <c r="I388" t="s">
        <v>4371</v>
      </c>
      <c r="J388" t="s">
        <v>4140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2026-04-22T06:44:23Z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