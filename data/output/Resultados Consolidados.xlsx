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yyyy-mm-dd"/>
    <numFmt numFmtId="175" formatCode="YYYY-MM-DD"/>
    <numFmt numFmtId="176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AD6A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165" fontId="1" fillId="0" borderId="1" pivotButton="0" quotePrefix="0" xfId="1"/>
    <xf numFmtId="14" fontId="4" fillId="0" borderId="1" pivotButton="0" quotePrefix="0" xfId="0"/>
    <xf numFmtId="165" fontId="0" fillId="0" borderId="0" pivotButton="0" quotePrefix="0" xfId="1"/>
    <xf numFmtId="165" fontId="0" fillId="12" borderId="1" pivotButton="0" quotePrefix="0" xfId="1"/>
    <xf numFmtId="0" fontId="0" fillId="0" borderId="2" pivotButton="0" quotePrefix="0" xfId="0"/>
    <xf numFmtId="1" fontId="0" fillId="0" borderId="1" applyAlignment="1" pivotButton="0" quotePrefix="0" xfId="0">
      <alignment horizontal="right"/>
    </xf>
    <xf numFmtId="166" fontId="5" fillId="0" borderId="1" pivotButton="0" quotePrefix="0" xfId="1"/>
    <xf numFmtId="4" fontId="5" fillId="0" borderId="1" pivotButton="0" quotePrefix="0" xfId="0"/>
    <xf numFmtId="9" fontId="0" fillId="0" borderId="1" applyAlignment="1" pivotButton="0" quotePrefix="0" xfId="2">
      <alignment wrapText="1"/>
    </xf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6" fontId="4" fillId="0" borderId="1" pivotButton="0" quotePrefix="0" xfId="0"/>
    <xf numFmtId="176" fontId="0" fillId="0" borderId="1" pivotButton="0" quotePrefix="0" xfId="0"/>
    <xf numFmtId="176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6" fontId="4" fillId="3" borderId="1" pivotButton="0" quotePrefix="0" xfId="0"/>
    <xf numFmtId="176" fontId="4" fillId="0" borderId="3" pivotButton="0" quotePrefix="0" xfId="0"/>
    <xf numFmtId="176" fontId="0" fillId="0" borderId="0" pivotButton="0" quotePrefix="0" xfId="0"/>
    <xf numFmtId="176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68" fontId="0" fillId="0" borderId="1" pivotButton="0" quotePrefix="0" xfId="4"/>
    <xf numFmtId="172" fontId="0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0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1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1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1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1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1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1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1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1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1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1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01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0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1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1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1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0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1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1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01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1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1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1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01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1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01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1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1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1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01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1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01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1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00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1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1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1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01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1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01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1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1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1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1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1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1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1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1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1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1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1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1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1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1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1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77-2023-03-31</t>
        </is>
      </c>
    </row>
    <row r="57" hidden="1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02" t="n">
        <v>45046</v>
      </c>
      <c r="G57" s="43" t="n">
        <v>2023</v>
      </c>
      <c r="H57" s="43" t="inlineStr">
        <is>
          <t>Abril</t>
        </is>
      </c>
      <c r="I57" s="44" t="inlineStr">
        <is>
          <t>2023-1</t>
        </is>
      </c>
      <c r="J57" s="43" t="n">
        <v>97</v>
      </c>
      <c r="K57" s="45" t="n">
        <v>95.59999999999999</v>
      </c>
      <c r="L57" s="46">
        <f>IFERROR(IF(OR(J57=0,K57=""),"",IF(E57="Positivo",MIN(MAX(K57/J57,0),1.3),MIN(MAX(J57/K57,0),1.3))),"") </f>
        <v/>
      </c>
      <c r="M57" s="46">
        <f>IFERROR(IF(OR(J57=0,K57=""),"",IF(E57="Positivo",MAX(K57/J57,0),MAX(J57/K57,0))),"") </f>
        <v/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0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1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1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1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1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1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1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1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1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1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1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0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1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1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1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1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1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1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0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1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77-2024-12-31</t>
        </is>
      </c>
    </row>
    <row r="78" hidden="1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1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1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1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1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1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1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1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1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1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1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1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1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26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101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1</v>
      </c>
      <c r="R90" s="5" t="inlineStr">
        <is>
          <t>77-2026-01-31</t>
        </is>
      </c>
      <c r="S90" t="inlineStr"/>
    </row>
    <row r="91" hidden="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1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78-2023-04-30</t>
        </is>
      </c>
    </row>
    <row r="92" hidden="1">
      <c r="A92" s="21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0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78-2023-06-30</t>
        </is>
      </c>
    </row>
    <row r="93" hidden="1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1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5" t="n">
        <v>0</v>
      </c>
      <c r="Q93" s="15" t="n">
        <v>0</v>
      </c>
      <c r="R93" s="5" t="inlineStr">
        <is>
          <t>78-2023-08-31</t>
        </is>
      </c>
    </row>
    <row r="94" hidden="1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1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5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78-2023-10-31</t>
        </is>
      </c>
    </row>
    <row r="95" hidden="1">
      <c r="A95" s="21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1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10" t="n">
        <v>122.22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15" t="n">
        <v>0</v>
      </c>
      <c r="Q95" s="15" t="n">
        <v>0</v>
      </c>
      <c r="R95" s="5" t="inlineStr">
        <is>
          <t>78-2023-12-31</t>
        </is>
      </c>
    </row>
    <row r="96" hidden="1">
      <c r="A96" s="5" t="n">
        <v>78</v>
      </c>
      <c r="B96" s="20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1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5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78-2024-04-30</t>
        </is>
      </c>
    </row>
    <row r="97" hidden="1">
      <c r="A97" s="26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1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10" t="n">
        <v>80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78-2024-06-30</t>
        </is>
      </c>
    </row>
    <row r="98" hidden="1">
      <c r="A98" s="21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1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78-2024-08-31</t>
        </is>
      </c>
    </row>
    <row r="99" hidden="1">
      <c r="A99" s="26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1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78-2024-10-31</t>
        </is>
      </c>
    </row>
    <row r="100" hidden="1">
      <c r="A100" s="21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1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78-2024-12-31</t>
        </is>
      </c>
    </row>
    <row r="101" hidden="1">
      <c r="A101" s="26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1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73" t="n">
        <v>85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79-2023-06-30</t>
        </is>
      </c>
    </row>
    <row r="102" hidden="1">
      <c r="A102" s="21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1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5" t="n">
        <v>85</v>
      </c>
      <c r="K102" s="10" t="n">
        <v>100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5" t="n">
        <v>0</v>
      </c>
      <c r="Q102" s="15" t="n">
        <v>0</v>
      </c>
      <c r="R102" s="5" t="inlineStr">
        <is>
          <t>79-2023-08-31</t>
        </is>
      </c>
    </row>
    <row r="103" hidden="1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1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5" t="n">
        <v>100</v>
      </c>
      <c r="L103" s="7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79-2023-10-31</t>
        </is>
      </c>
    </row>
    <row r="104" hidden="1">
      <c r="A104" s="21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101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10" t="n">
        <v>95.45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15" t="n">
        <v>0</v>
      </c>
      <c r="Q104" s="15" t="n">
        <v>0</v>
      </c>
      <c r="R104" s="5" t="inlineStr">
        <is>
          <t>79-2023-12-31</t>
        </is>
      </c>
    </row>
    <row r="105" hidden="1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1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5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84-2022-12-31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1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10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84-2023-12-31</t>
        </is>
      </c>
    </row>
    <row r="107" hidden="1">
      <c r="A107" s="21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1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84-2024-12-31</t>
        </is>
      </c>
    </row>
    <row r="108" hidden="1">
      <c r="A108" s="28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1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84-2025-12-31</t>
        </is>
      </c>
    </row>
    <row r="109" hidden="1">
      <c r="A109" s="26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1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85-2022-12-31</t>
        </is>
      </c>
    </row>
    <row r="110" hidden="1">
      <c r="A110" s="21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1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5" t="n">
        <v>0</v>
      </c>
      <c r="Q110" s="15" t="n">
        <v>0</v>
      </c>
      <c r="R110" s="5" t="inlineStr">
        <is>
          <t>85-2023-12-31</t>
        </is>
      </c>
    </row>
    <row r="111" hidden="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1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5" t="n">
        <v>100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85-2024-12-31</t>
        </is>
      </c>
    </row>
    <row r="112" hidden="1">
      <c r="A112" s="21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1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10" t="n">
        <v>100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85-2025-12-31</t>
        </is>
      </c>
    </row>
    <row r="113" hidden="1">
      <c r="A113" s="21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1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5" t="n">
        <v>0</v>
      </c>
      <c r="Q113" s="15" t="n">
        <v>0</v>
      </c>
      <c r="R113" s="5" t="inlineStr">
        <is>
          <t>86-2022-06-30</t>
        </is>
      </c>
    </row>
    <row r="114" hidden="1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101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5" t="n">
        <v>100</v>
      </c>
      <c r="L114" s="7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86-2022-12-31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1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86-2023-06-30</t>
        </is>
      </c>
    </row>
    <row r="116" hidden="1">
      <c r="A116" s="21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1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10" t="n">
        <v>100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5" t="n">
        <v>0</v>
      </c>
      <c r="Q116" s="15" t="n">
        <v>0</v>
      </c>
      <c r="R116" s="5" t="inlineStr">
        <is>
          <t>86-2023-12-31</t>
        </is>
      </c>
    </row>
    <row r="117" hidden="1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1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5" t="n">
        <v>100</v>
      </c>
      <c r="L117" s="7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86-2024-06-30</t>
        </is>
      </c>
    </row>
    <row r="118" hidden="1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1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 hidden="1">
      <c r="A119" s="21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01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10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15" t="n">
        <v>0</v>
      </c>
      <c r="Q119" s="15" t="n">
        <v>0</v>
      </c>
      <c r="R119" s="5" t="inlineStr">
        <is>
          <t>86-2025-06-30</t>
        </is>
      </c>
    </row>
    <row r="120" hidden="1">
      <c r="A120" s="5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101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5" t="n">
        <v>100</v>
      </c>
      <c r="L120" s="7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86-2025-12-31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1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10" t="n">
        <v>99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87-2022-12-31</t>
        </is>
      </c>
    </row>
    <row r="122" hidden="1">
      <c r="A122" s="21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1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87-2023-12-31</t>
        </is>
      </c>
    </row>
    <row r="123" hidden="1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1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5" t="n">
        <v>0</v>
      </c>
      <c r="Q123" s="15" t="n">
        <v>0</v>
      </c>
      <c r="R123" s="5" t="inlineStr">
        <is>
          <t>87-2024-12-31</t>
        </is>
      </c>
    </row>
    <row r="124" hidden="1">
      <c r="A124" s="5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1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5" t="n">
        <v>100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87-2025-12-31</t>
        </is>
      </c>
    </row>
    <row r="125" hidden="1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0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10" t="n">
        <v>99.344262295082</v>
      </c>
      <c r="L125" s="14">
        <f>IFERROR(IF(OR(J125=0,K125=""),"",IF(E125="Positivo",MIN(MAX(K125/J125,0),1.0),MIN(MAX(J125/K125,0),1.0))),"")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88-2022-12-31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1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14">
        <f>IFERROR(IF(OR(J126=0,K126=""),"",IF(E126="Positivo",MIN(MAX(K126/J126,0),1.0),MIN(MAX(J126/K126,0),1.0))),"")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88-2023-12-31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1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14">
        <f>IFERROR(IF(OR(J127=0,K127=""),"",IF(E127="Positivo",MIN(MAX(K127/J127,0),1.0),MIN(MAX(J127/K127,0),1.0))),"")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88-2024-12-31</t>
        </is>
      </c>
    </row>
    <row r="128" hidden="1">
      <c r="A128" s="21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1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14">
        <f>IFERROR(IF(OR(J128=0,K128=""),"",IF(E128="Positivo",MIN(MAX(K128/J128,0),1.0),MIN(MAX(J128/K128,0),1.0))),"")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88-2025-12-31</t>
        </is>
      </c>
    </row>
    <row r="129" hidden="1">
      <c r="A129" s="26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1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89-2022-12-31</t>
        </is>
      </c>
    </row>
    <row r="130" hidden="1">
      <c r="A130" s="21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1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5" t="n">
        <v>0</v>
      </c>
      <c r="Q130" s="15" t="n">
        <v>0</v>
      </c>
      <c r="R130" s="5" t="inlineStr">
        <is>
          <t>89-2023-12-31</t>
        </is>
      </c>
    </row>
    <row r="131" hidden="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1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5" t="n">
        <v>100</v>
      </c>
      <c r="L131" s="7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89-2024-12-31</t>
        </is>
      </c>
    </row>
    <row r="132" hidden="1">
      <c r="A132" s="21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1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10" t="n">
        <v>100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89-2025-12-31</t>
        </is>
      </c>
    </row>
    <row r="133" hidden="1">
      <c r="A133" s="21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1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5" t="n">
        <v>0</v>
      </c>
      <c r="Q133" s="15" t="n">
        <v>0</v>
      </c>
      <c r="R133" s="5" t="inlineStr">
        <is>
          <t>90-2022-12-31</t>
        </is>
      </c>
    </row>
    <row r="134" hidden="1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1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5" t="n">
        <v>100</v>
      </c>
      <c r="L134" s="7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90-2023-12-31</t>
        </is>
      </c>
    </row>
    <row r="135" hidden="1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1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 hidden="1">
      <c r="A136" s="21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1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10" t="n">
        <v>100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15" t="n">
        <v>0</v>
      </c>
      <c r="Q136" s="15" t="n">
        <v>0</v>
      </c>
      <c r="R136" s="5" t="inlineStr">
        <is>
          <t>90-2025-12-31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1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75" t="n">
        <v>100</v>
      </c>
      <c r="K137" s="51" t="n">
        <v>100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91-2022-12-31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0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75" t="n">
        <v>100</v>
      </c>
      <c r="K138" s="51" t="n">
        <v>100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91-2023-12-31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1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75" t="n">
        <v>100</v>
      </c>
      <c r="K139" s="51" t="n">
        <v>100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91-2024-12-31</t>
        </is>
      </c>
    </row>
    <row r="140" hidden="1">
      <c r="A140" s="21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1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75" t="n">
        <v>100</v>
      </c>
      <c r="K140" s="51" t="n">
        <v>100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91-2025-12-31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1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75" t="n">
        <v>100</v>
      </c>
      <c r="K141" s="51" t="n">
        <v>100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92-2022-12-31</t>
        </is>
      </c>
    </row>
    <row r="142" hidden="1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1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75" t="n">
        <v>100</v>
      </c>
      <c r="K142" s="51" t="n">
        <v>100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92-2023-12-31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1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75" t="n">
        <v>98</v>
      </c>
      <c r="K143" s="51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92-2024-12-31</t>
        </is>
      </c>
    </row>
    <row r="144" hidden="1">
      <c r="A144" s="21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1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75" t="n">
        <v>98</v>
      </c>
      <c r="K144" s="51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92-2025-12-31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1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75" t="n">
        <v>100</v>
      </c>
      <c r="K145" s="51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94-2022-12-31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1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75" t="n">
        <v>100</v>
      </c>
      <c r="K146" s="51" t="n">
        <v>100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94-2023-12-31</t>
        </is>
      </c>
    </row>
    <row r="147" hidden="1">
      <c r="A147" s="21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1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75" t="n">
        <v>100</v>
      </c>
      <c r="K147" s="51" t="n">
        <v>100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94-2024-12-31</t>
        </is>
      </c>
    </row>
    <row r="148" hidden="1">
      <c r="A148" s="26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101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75" t="n">
        <v>100</v>
      </c>
      <c r="K148" s="51" t="n">
        <v>100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94-2025-12-31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1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73" t="n">
        <v>100</v>
      </c>
      <c r="K149" s="9" t="n">
        <v>100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95-2022-06-30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100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73" t="n">
        <v>100</v>
      </c>
      <c r="K150" s="9" t="n">
        <v>100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95-2022-12-31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1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73" t="n">
        <v>100</v>
      </c>
      <c r="K151" s="9" t="n">
        <v>100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95-2023-06-30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1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73" t="n">
        <v>100</v>
      </c>
      <c r="K152" s="9" t="n">
        <v>100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95-2023-12-31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1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73" t="n">
        <v>100</v>
      </c>
      <c r="K153" s="9" t="n">
        <v>100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95-2024-06-30</t>
        </is>
      </c>
    </row>
    <row r="154" hidden="1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1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73" t="n">
        <v>100</v>
      </c>
      <c r="K154" s="9" t="n">
        <v>100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95-2024-12-31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Semestral</t>
        </is>
      </c>
      <c r="E155" s="5" t="inlineStr">
        <is>
          <t>Positivo</t>
        </is>
      </c>
      <c r="F155" s="101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73" t="n">
        <v>100</v>
      </c>
      <c r="K155" s="9" t="n">
        <v>100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95-2025-06-30</t>
        </is>
      </c>
    </row>
    <row r="156" hidden="1">
      <c r="A156" s="21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101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73" t="n">
        <v>100</v>
      </c>
      <c r="K156" s="9" t="n">
        <v>100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95-2025-12-31</t>
        </is>
      </c>
    </row>
    <row r="157" hidden="1">
      <c r="A157" s="21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101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509</v>
      </c>
      <c r="K157" s="9" t="n">
        <v>566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96-2022-12-31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1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73" t="n">
        <v>100</v>
      </c>
      <c r="K158" s="9" t="n">
        <v>98.3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100-2022-12-31</t>
        </is>
      </c>
    </row>
    <row r="159" hidden="1">
      <c r="A159" s="21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1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73" t="n">
        <v>100</v>
      </c>
      <c r="K159" s="9" t="n">
        <v>99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100-2023-12-31</t>
        </is>
      </c>
    </row>
    <row r="160" hidden="1">
      <c r="A160" s="26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1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73" t="n">
        <v>100</v>
      </c>
      <c r="K160" s="9" t="n">
        <v>99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100-2024-12-31</t>
        </is>
      </c>
    </row>
    <row r="161" hidden="1">
      <c r="A161" s="21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101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73" t="n">
        <v>100</v>
      </c>
      <c r="K161" s="9" t="n">
        <v>100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9" t="inlineStr">
        <is>
          <t>%</t>
        </is>
      </c>
      <c r="O161" s="9" t="inlineStr">
        <is>
          <t>%</t>
        </is>
      </c>
      <c r="P161" s="15" t="n">
        <v>0</v>
      </c>
      <c r="Q161" s="15" t="n">
        <v>0</v>
      </c>
      <c r="R161" s="5" t="inlineStr">
        <is>
          <t>100-2025-12-31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1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73" t="n">
        <v>2.14</v>
      </c>
      <c r="K162" s="9" t="n">
        <v>0.37174721189591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5" t="n">
        <v>1</v>
      </c>
      <c r="Q162" s="15" t="n">
        <v>2</v>
      </c>
      <c r="R162" s="5" t="inlineStr">
        <is>
          <t>104-2022-12-31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1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73" t="n">
        <v>2.14</v>
      </c>
      <c r="K163" s="9" t="n">
        <v>0.47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104-2023-12-31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1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73" t="n">
        <v>1.2</v>
      </c>
      <c r="K164" s="9" t="n">
        <v>0.11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5" t="n">
        <v>2</v>
      </c>
      <c r="Q164" s="15" t="n">
        <v>2</v>
      </c>
      <c r="R164" s="5" t="inlineStr">
        <is>
          <t>104-2024-12-31</t>
        </is>
      </c>
    </row>
    <row r="165" hidden="1">
      <c r="A165" s="21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1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73" t="n">
        <v>2.14</v>
      </c>
      <c r="K165" s="9" t="n">
        <v>0.21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9" t="inlineStr">
        <is>
          <t>DEC</t>
        </is>
      </c>
      <c r="O165" s="9" t="inlineStr">
        <is>
          <t>DEC</t>
        </is>
      </c>
      <c r="P165" s="15" t="n">
        <v>1</v>
      </c>
      <c r="Q165" s="15" t="n">
        <v>2</v>
      </c>
      <c r="R165" s="5" t="inlineStr">
        <is>
          <t>104-2025-12-31</t>
        </is>
      </c>
    </row>
    <row r="166" hidden="1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1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73" t="n">
        <v>0</v>
      </c>
      <c r="K166" s="9" t="n">
        <v>0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9" t="inlineStr">
        <is>
          <t>DEC</t>
        </is>
      </c>
      <c r="O166" s="9" t="inlineStr">
        <is>
          <t>DEC</t>
        </is>
      </c>
      <c r="P166" s="15" t="n">
        <v>0</v>
      </c>
      <c r="Q166" s="15" t="n">
        <v>0</v>
      </c>
      <c r="R166" s="5" t="inlineStr">
        <is>
          <t>106-2022-12-31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1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73" t="n">
        <v>0</v>
      </c>
      <c r="K167" s="9" t="n">
        <v>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106-2023-12-31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1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73" t="n">
        <v>0</v>
      </c>
      <c r="K168" s="9" t="n">
        <v>0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9" t="inlineStr">
        <is>
          <t>ENT</t>
        </is>
      </c>
      <c r="O168" s="9" t="inlineStr">
        <is>
          <t>ENT</t>
        </is>
      </c>
      <c r="P168" s="15" t="n">
        <v>0</v>
      </c>
      <c r="Q168" s="15" t="n">
        <v>0</v>
      </c>
      <c r="R168" s="5" t="inlineStr">
        <is>
          <t>106-2024-12-31</t>
        </is>
      </c>
    </row>
    <row r="169" hidden="1">
      <c r="A169" s="21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101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73" t="n">
        <v>0</v>
      </c>
      <c r="K169" s="9" t="n">
        <v>0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9" t="inlineStr">
        <is>
          <t>DEC</t>
        </is>
      </c>
      <c r="O169" s="9" t="inlineStr">
        <is>
          <t>DEC</t>
        </is>
      </c>
      <c r="P169" s="15" t="n">
        <v>0</v>
      </c>
      <c r="Q169" s="15" t="n">
        <v>0</v>
      </c>
      <c r="R169" s="5" t="inlineStr">
        <is>
          <t>106-2025-12-31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1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73" t="n">
        <v>80</v>
      </c>
      <c r="K170" s="9" t="n">
        <v>0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109-2023-10-31</t>
        </is>
      </c>
    </row>
    <row r="171" hidden="1">
      <c r="A171" s="21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1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73" t="n">
        <v>80</v>
      </c>
      <c r="K171" s="9" t="n">
        <v>85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109-2024-10-31</t>
        </is>
      </c>
    </row>
    <row r="172" hidden="1">
      <c r="A172" s="26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101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73" t="n">
        <v>80</v>
      </c>
      <c r="K172" s="9" t="n">
        <v>94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9" t="inlineStr">
        <is>
          <t>%</t>
        </is>
      </c>
      <c r="O172" s="9" t="inlineStr">
        <is>
          <t>%</t>
        </is>
      </c>
      <c r="P172" s="15" t="n">
        <v>0</v>
      </c>
      <c r="Q172" s="15" t="n">
        <v>0</v>
      </c>
      <c r="R172" s="5" t="inlineStr">
        <is>
          <t>109-2025-10-31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0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5" t="n">
        <v>80</v>
      </c>
      <c r="K173" s="103" t="n">
        <v>73.4019151138716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110-2022-10-31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0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103" t="n">
        <v>78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110-2023-10-31</t>
        </is>
      </c>
    </row>
    <row r="175" hidden="1">
      <c r="A175" s="21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101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103" t="n">
        <v>78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110-2023-12-31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101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103" t="n">
        <v>70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111-2022-09-30</t>
        </is>
      </c>
    </row>
    <row r="177" hidden="1">
      <c r="A177" s="21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1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103" t="n">
        <v>87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111-2023-03-31</t>
        </is>
      </c>
    </row>
    <row r="178" hidden="1">
      <c r="A178" s="26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1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103" t="n">
        <v>90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111-2023-06-30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1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0" t="n">
        <v>93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111-2023-09-30</t>
        </is>
      </c>
    </row>
    <row r="180" hidden="1">
      <c r="A180" s="21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1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5" t="n">
        <v>0</v>
      </c>
      <c r="Q180" s="15" t="n">
        <v>0</v>
      </c>
      <c r="R180" s="5" t="inlineStr">
        <is>
          <t>111-2023-12-31</t>
        </is>
      </c>
    </row>
    <row r="181" hidden="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1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5" t="n">
        <v>94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111-2024-03-31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1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10" t="n">
        <v>98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111-2024-06-30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1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111-2024-09-30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1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111-2024-12-31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1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40" t="n">
        <v>92.7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111-2025-03-31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Trimestral</t>
        </is>
      </c>
      <c r="E186" s="5" t="inlineStr">
        <is>
          <t>Positivo</t>
        </is>
      </c>
      <c r="F186" s="100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40" t="n">
        <v>100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111-2025-06-30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1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40" t="n">
        <v>92.5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111-2025-09-30</t>
        </is>
      </c>
    </row>
    <row r="188" hidden="1">
      <c r="A188" s="21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101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40" t="n">
        <v>96.59999999999999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111-2025-12-31</t>
        </is>
      </c>
    </row>
    <row r="189" hidden="1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1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40" t="n">
        <v>85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112-2022-10-31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1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40" t="n">
        <v>90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112-2023-10-31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1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40" t="n">
        <v>90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112-2024-10-31</t>
        </is>
      </c>
    </row>
    <row r="192" hidden="1">
      <c r="A192" s="21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101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40" t="n">
        <v>90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112-2025-10-31</t>
        </is>
      </c>
    </row>
    <row r="193" hidden="1">
      <c r="A193" s="21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1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40" t="n">
        <v>78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113-2022-10-31</t>
        </is>
      </c>
    </row>
    <row r="194" hidden="1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1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40" t="n">
        <v>88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113-2023-10-31</t>
        </is>
      </c>
    </row>
    <row r="195" hidden="1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1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40" t="n">
        <v>88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113-2024-10-31</t>
        </is>
      </c>
    </row>
    <row r="196" hidden="1">
      <c r="A196" s="26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101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40" t="n">
        <v>94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113-2025-10-31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1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40" t="n">
        <v>82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114-2022-10-31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0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40" t="n">
        <v>86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114-2023-10-31</t>
        </is>
      </c>
    </row>
    <row r="199" hidden="1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1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40" t="n">
        <v>81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114-2024-10-31</t>
        </is>
      </c>
    </row>
    <row r="200" hidden="1">
      <c r="A200" s="21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101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103" t="n">
        <v>74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114-2025-10-31</t>
        </is>
      </c>
    </row>
    <row r="201" hidden="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1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103" t="n">
        <v>90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115-2022-10-31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1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40" t="n">
        <v>91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115-2023-10-31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1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103" t="n">
        <v>90.7894054838542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115-2023-12-31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1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103" t="n">
        <v>90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115-2024-10-31</t>
        </is>
      </c>
    </row>
    <row r="205" hidden="1">
      <c r="A205" s="21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101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40" t="n">
        <v>89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115-2025-10-31</t>
        </is>
      </c>
    </row>
    <row r="206" hidden="1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1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103" t="n">
        <v>83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116-2023-04-30</t>
        </is>
      </c>
    </row>
    <row r="207" hidden="1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1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40" t="n">
        <v>84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116-2023-06-30</t>
        </is>
      </c>
    </row>
    <row r="208" hidden="1">
      <c r="A208" s="26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1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40" t="n">
        <v>84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116-2023-08-31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1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40" t="n">
        <v>88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116-2023-10-31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101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10" t="n">
        <v>88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116-2023-12-31</t>
        </is>
      </c>
    </row>
    <row r="211" hidden="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101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40" t="n">
        <v>0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116-2024-06-30</t>
        </is>
      </c>
    </row>
    <row r="212" hidden="1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101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40" t="n">
        <v>88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116-2024-08-31</t>
        </is>
      </c>
    </row>
    <row r="213" hidden="1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1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40" t="n">
        <v>0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116-2024-10-31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1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40" t="n">
        <v>88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116-2024-12-31</t>
        </is>
      </c>
    </row>
    <row r="215" hidden="1">
      <c r="A215" s="21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101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40" t="n">
        <v>100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116-2025-12-31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1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40" t="n">
        <v>93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117-2022-10-31</t>
        </is>
      </c>
    </row>
    <row r="217" hidden="1">
      <c r="A217" s="21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1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40" t="n">
        <v>90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117-2023-10-31</t>
        </is>
      </c>
    </row>
    <row r="218" hidden="1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1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40" t="n">
        <v>89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117-2024-10-31</t>
        </is>
      </c>
    </row>
    <row r="219" hidden="1">
      <c r="A219" s="26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101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40" t="n">
        <v>100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117-2025-10-31</t>
        </is>
      </c>
    </row>
    <row r="220" hidden="1">
      <c r="A220" s="26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1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40" t="n">
        <v>88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15" t="n">
        <v>0</v>
      </c>
      <c r="Q220" s="15" t="n">
        <v>0</v>
      </c>
      <c r="R220" s="5" t="inlineStr">
        <is>
          <t>118-2022-10-31</t>
        </is>
      </c>
    </row>
    <row r="221" hidden="1">
      <c r="A221" s="21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1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103" t="n">
        <v>94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118-2023-10-31</t>
        </is>
      </c>
    </row>
    <row r="222" hidden="1">
      <c r="A222" s="21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0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103" t="n">
        <v>94.1385767790262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118-2023-12-31</t>
        </is>
      </c>
    </row>
    <row r="223" hidden="1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1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103" t="n">
        <v>86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11" t="inlineStr">
        <is>
          <t>%</t>
        </is>
      </c>
      <c r="P223" s="15" t="n">
        <v>0</v>
      </c>
      <c r="Q223" s="15" t="n">
        <v>0</v>
      </c>
      <c r="R223" s="5" t="inlineStr">
        <is>
          <t>118-2024-10-31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1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103" t="n">
        <v>86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15" t="n">
        <v>0</v>
      </c>
      <c r="Q224" s="15" t="n">
        <v>0</v>
      </c>
      <c r="R224" s="5" t="inlineStr">
        <is>
          <t>118-2024-12-31</t>
        </is>
      </c>
    </row>
    <row r="225" hidden="1">
      <c r="A225" s="21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101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103" t="n">
        <v>98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11" t="inlineStr">
        <is>
          <t>%</t>
        </is>
      </c>
      <c r="P225" s="15" t="n">
        <v>0</v>
      </c>
      <c r="Q225" s="15" t="n">
        <v>0</v>
      </c>
      <c r="R225" s="5" t="inlineStr">
        <is>
          <t>118-2025-10-31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1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103" t="n">
        <v>99.930127235874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$</t>
        </is>
      </c>
      <c r="O226" s="11" t="inlineStr">
        <is>
          <t>$</t>
        </is>
      </c>
      <c r="P226" s="15" t="n">
        <v>0</v>
      </c>
      <c r="Q226" s="15" t="n">
        <v>0</v>
      </c>
      <c r="R226" s="5" t="inlineStr">
        <is>
          <t>121-2022-01-31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1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103" t="n">
        <v>99.836200327347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121-2022-02-28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1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103" t="n">
        <v>100.01054895053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$</t>
        </is>
      </c>
      <c r="O228" s="5" t="inlineStr">
        <is>
          <t>$</t>
        </is>
      </c>
      <c r="P228" s="15" t="n">
        <v>0</v>
      </c>
      <c r="Q228" s="15" t="n">
        <v>0</v>
      </c>
      <c r="R228" s="5" t="inlineStr">
        <is>
          <t>121-2022-03-31</t>
        </is>
      </c>
    </row>
    <row r="229" hidden="1">
      <c r="A229" s="21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1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103" t="n">
        <v>99.44290583621201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$</t>
        </is>
      </c>
      <c r="O229" s="11" t="inlineStr">
        <is>
          <t>$</t>
        </is>
      </c>
      <c r="P229" s="15" t="n">
        <v>0</v>
      </c>
      <c r="Q229" s="15" t="n">
        <v>0</v>
      </c>
      <c r="R229" s="5" t="inlineStr">
        <is>
          <t>121-2022-04-30</t>
        </is>
      </c>
    </row>
    <row r="230" hidden="1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1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103" t="n">
        <v>99.527558823104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121-2022-05-31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1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103" t="n">
        <v>100.01207569838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121-2022-06-30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1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103" t="n">
        <v>100.06964761423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$</t>
        </is>
      </c>
      <c r="O232" s="5" t="inlineStr">
        <is>
          <t>$</t>
        </is>
      </c>
      <c r="P232" s="15" t="n">
        <v>0</v>
      </c>
      <c r="Q232" s="15" t="n">
        <v>0</v>
      </c>
      <c r="R232" s="5" t="inlineStr">
        <is>
          <t>121-2022-07-31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1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103" t="n">
        <v>100.56593556404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121-2022-08-31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0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103" t="n">
        <v>100.37732729256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121-2022-09-30</t>
        </is>
      </c>
    </row>
    <row r="235" hidden="1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1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103" t="n">
        <v>101.60380995181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$</t>
        </is>
      </c>
      <c r="O235" s="11" t="inlineStr">
        <is>
          <t>$</t>
        </is>
      </c>
      <c r="P235" s="15" t="n">
        <v>0</v>
      </c>
      <c r="Q235" s="15" t="n">
        <v>0</v>
      </c>
      <c r="R235" s="5" t="inlineStr">
        <is>
          <t>121-2022-10-31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1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103" t="n">
        <v>101.72418864889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$</t>
        </is>
      </c>
      <c r="O236" s="5" t="inlineStr">
        <is>
          <t>$</t>
        </is>
      </c>
      <c r="P236" s="15" t="n">
        <v>0</v>
      </c>
      <c r="Q236" s="15" t="n">
        <v>0</v>
      </c>
      <c r="R236" s="5" t="inlineStr">
        <is>
          <t>121-2022-11-30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1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103" t="n">
        <v>99.868284606334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121-2022-12-31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1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103" t="n">
        <v>107.04104854011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$</t>
        </is>
      </c>
      <c r="O238" s="11" t="inlineStr">
        <is>
          <t>$</t>
        </is>
      </c>
      <c r="P238" s="15" t="n">
        <v>0</v>
      </c>
      <c r="Q238" s="15" t="n">
        <v>0</v>
      </c>
      <c r="R238" s="5" t="inlineStr">
        <is>
          <t>121-2023-01-31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1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103" t="n">
        <v>107.49236074846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121-2023-02-28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1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103" t="n">
        <v>103.0366615056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5" t="n">
        <v>0</v>
      </c>
      <c r="Q240" s="15" t="n">
        <v>0</v>
      </c>
      <c r="R240" s="5" t="inlineStr">
        <is>
          <t>121-2023-03-31</t>
        </is>
      </c>
    </row>
    <row r="241" hidden="1">
      <c r="A241" s="21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1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103" t="n">
        <v>98.504433782026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$</t>
        </is>
      </c>
      <c r="O241" s="11" t="inlineStr">
        <is>
          <t>$</t>
        </is>
      </c>
      <c r="P241" s="15" t="n">
        <v>0</v>
      </c>
      <c r="Q241" s="15" t="n">
        <v>0</v>
      </c>
      <c r="R241" s="5" t="inlineStr">
        <is>
          <t>121-2023-04-30</t>
        </is>
      </c>
    </row>
    <row r="242" hidden="1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1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103" t="n">
        <v>101.21742519278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121-2023-05-31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1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103" t="n">
        <v>102.42831146953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121-2023-06-30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1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103" t="n">
        <v>103.81483574784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121-2023-07-31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1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103" t="n">
        <v>105.15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121-2023-08-31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1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10" t="n">
        <v>104.64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121-2023-09-30</t>
        </is>
      </c>
    </row>
    <row r="247" hidden="1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1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103" t="n">
        <v>106.58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121-2023-10-31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1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103" t="n">
        <v>110.65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5" t="n">
        <v>0</v>
      </c>
      <c r="Q248" s="15" t="n">
        <v>0</v>
      </c>
      <c r="R248" s="5" t="inlineStr">
        <is>
          <t>121-2023-11-30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1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103" t="n">
        <v>111.3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121-2023-12-31</t>
        </is>
      </c>
    </row>
    <row r="250" hidden="1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1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103" t="n">
        <v>98.3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11" t="inlineStr">
        <is>
          <t>$</t>
        </is>
      </c>
      <c r="P250" s="15" t="n">
        <v>0</v>
      </c>
      <c r="Q250" s="15" t="n">
        <v>0</v>
      </c>
      <c r="R250" s="5" t="inlineStr">
        <is>
          <t>121-2024-01-31</t>
        </is>
      </c>
    </row>
    <row r="251" hidden="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1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103" t="n">
        <v>100.37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121-2024-02-29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1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103" t="n">
        <v>101.02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5" t="n">
        <v>0</v>
      </c>
      <c r="Q252" s="15" t="n">
        <v>0</v>
      </c>
      <c r="R252" s="5" t="inlineStr">
        <is>
          <t>121-2024-03-31</t>
        </is>
      </c>
    </row>
    <row r="253" hidden="1">
      <c r="A253" s="21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1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103" t="n">
        <v>102.83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11" t="inlineStr">
        <is>
          <t>$</t>
        </is>
      </c>
      <c r="P253" s="15" t="n">
        <v>0</v>
      </c>
      <c r="Q253" s="15" t="n">
        <v>0</v>
      </c>
      <c r="R253" s="5" t="inlineStr">
        <is>
          <t>121-2024-04-30</t>
        </is>
      </c>
    </row>
    <row r="254" hidden="1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1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9" t="n">
        <v>102.04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121-2024-05-31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1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9" t="n">
        <v>101.89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121-2024-06-30</t>
        </is>
      </c>
    </row>
    <row r="256" hidden="1">
      <c r="A256" s="21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1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103" t="n">
        <v>101.25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121-2024-07-31</t>
        </is>
      </c>
    </row>
    <row r="257" hidden="1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1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103" t="n">
        <v>99.83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121-2024-08-31</t>
        </is>
      </c>
    </row>
    <row r="258" hidden="1">
      <c r="A258" s="26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1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03" t="n">
        <v>101.89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121-2024-09-30</t>
        </is>
      </c>
    </row>
    <row r="259" hidden="1">
      <c r="A259" s="21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1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10" t="n">
        <v>100.89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121-2024-10-31</t>
        </is>
      </c>
    </row>
    <row r="260" hidden="1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1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9" t="n">
        <v>100.55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121-2024-11-30</t>
        </is>
      </c>
    </row>
    <row r="261" hidden="1">
      <c r="A261" s="26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1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9" t="n">
        <v>100.17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121-2024-12-31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1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10" t="n">
        <v>99.18000000000001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121-2025-01-31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1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103" t="n">
        <v>107.66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121-2025-02-28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0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103" t="n">
        <v>106.77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121-2025-03-31</t>
        </is>
      </c>
    </row>
    <row r="265" hidden="1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1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103" t="n">
        <v>106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121-2025-04-30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1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103" t="n">
        <v>114.9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121-2025-05-31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1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103" t="n">
        <v>110.06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121-2025-06-30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1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103" t="n">
        <v>112.24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121-2025-07-31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1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103" t="n">
        <v>100.68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121-2025-08-31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1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103" t="n">
        <v>99.29000000000001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121-2025-09-30</t>
        </is>
      </c>
    </row>
    <row r="271" hidden="1">
      <c r="A271" s="21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1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103" t="n">
        <v>107.27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121-2025-10-31</t>
        </is>
      </c>
    </row>
    <row r="272" hidden="1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1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103" t="n">
        <v>106.53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121-2025-11-30</t>
        </is>
      </c>
    </row>
    <row r="273" hidden="1">
      <c r="A273" s="21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01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103" t="n">
        <v>104.92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15" t="n">
        <v>0</v>
      </c>
      <c r="Q273" s="15" t="n">
        <v>0</v>
      </c>
      <c r="R273" s="5" t="inlineStr">
        <is>
          <t>121-2025-12-31</t>
        </is>
      </c>
    </row>
    <row r="274" hidden="1">
      <c r="A274" s="21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00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103" t="n">
        <v>98.65000000000001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15" t="n">
        <v>0</v>
      </c>
      <c r="Q274" s="15" t="n">
        <v>0</v>
      </c>
      <c r="R274" s="5" t="inlineStr">
        <is>
          <t>121-2026-01-31</t>
        </is>
      </c>
      <c r="S274" t="inlineStr"/>
    </row>
    <row r="275" hidden="1">
      <c r="A275" s="21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101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103" t="n">
        <v>111.62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$</t>
        </is>
      </c>
      <c r="O275" s="5" t="inlineStr">
        <is>
          <t>$</t>
        </is>
      </c>
      <c r="P275" s="15" t="n">
        <v>0</v>
      </c>
      <c r="Q275" s="15" t="n">
        <v>0</v>
      </c>
      <c r="R275" s="5" t="inlineStr">
        <is>
          <t>121-2026-02-28</t>
        </is>
      </c>
      <c r="S275" t="inlineStr"/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1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103" t="n">
        <v>80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15" t="n">
        <v>0</v>
      </c>
      <c r="Q276" s="15" t="n">
        <v>0</v>
      </c>
      <c r="R276" s="5" t="inlineStr">
        <is>
          <t>122-2022-02-28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1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103" t="n">
        <v>100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122-2022-04-30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1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103" t="n">
        <v>47.619047619048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15" t="n">
        <v>0</v>
      </c>
      <c r="Q278" s="15" t="n">
        <v>0</v>
      </c>
      <c r="R278" s="5" t="inlineStr">
        <is>
          <t>122-2022-06-30</t>
        </is>
      </c>
    </row>
    <row r="279" hidden="1">
      <c r="A279" s="21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1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103" t="n"/>
      <c r="L279" s="14" t="n"/>
      <c r="M279" s="14" t="n"/>
      <c r="N279" s="5" t="inlineStr">
        <is>
          <t>%</t>
        </is>
      </c>
      <c r="O279" s="5" t="inlineStr">
        <is>
          <t>No Aplica</t>
        </is>
      </c>
      <c r="P279" s="15" t="n">
        <v>0</v>
      </c>
      <c r="Q279" s="15" t="n">
        <v>0</v>
      </c>
      <c r="R279" s="5" t="inlineStr">
        <is>
          <t>122-2022-07-31</t>
        </is>
      </c>
      <c r="S279" t="inlineStr">
        <is>
          <t>No Aplica</t>
        </is>
      </c>
    </row>
    <row r="280" hidden="1">
      <c r="A280" s="21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1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103" t="n">
        <v>98.717948717949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15" t="n">
        <v>0</v>
      </c>
      <c r="Q280" s="15" t="n">
        <v>0</v>
      </c>
      <c r="R280" s="5" t="inlineStr">
        <is>
          <t>122-2022-08-31</t>
        </is>
      </c>
    </row>
    <row r="281" hidden="1">
      <c r="A281" s="21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1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103" t="n"/>
      <c r="L281" s="14" t="n"/>
      <c r="M281" s="14" t="n"/>
      <c r="N281" s="5" t="inlineStr">
        <is>
          <t>%</t>
        </is>
      </c>
      <c r="O281" s="5" t="inlineStr">
        <is>
          <t>No Aplica</t>
        </is>
      </c>
      <c r="P281" s="15" t="n">
        <v>0</v>
      </c>
      <c r="Q281" s="15" t="n">
        <v>0</v>
      </c>
      <c r="R281" s="5" t="inlineStr">
        <is>
          <t>122-2022-09-30</t>
        </is>
      </c>
      <c r="S281" t="inlineStr">
        <is>
          <t>No Aplica</t>
        </is>
      </c>
    </row>
    <row r="282" hidden="1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1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03" t="n">
        <v>100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15" t="n">
        <v>0</v>
      </c>
      <c r="Q282" s="15" t="n">
        <v>0</v>
      </c>
      <c r="R282" s="5" t="inlineStr">
        <is>
          <t>122-2022-10-31</t>
        </is>
      </c>
    </row>
    <row r="283" hidden="1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1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103" t="n"/>
      <c r="L283" s="14" t="n"/>
      <c r="M283" s="14" t="n"/>
      <c r="N283" s="5" t="inlineStr">
        <is>
          <t>%</t>
        </is>
      </c>
      <c r="O283" s="5" t="inlineStr">
        <is>
          <t>No Aplica</t>
        </is>
      </c>
      <c r="P283" s="15" t="n">
        <v>0</v>
      </c>
      <c r="Q283" s="15" t="n">
        <v>0</v>
      </c>
      <c r="R283" s="5" t="inlineStr">
        <is>
          <t>122-2022-11-30</t>
        </is>
      </c>
      <c r="S283" t="inlineStr">
        <is>
          <t>No Aplica</t>
        </is>
      </c>
    </row>
    <row r="284" hidden="1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1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103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15" t="n">
        <v>0</v>
      </c>
      <c r="Q284" s="15" t="n">
        <v>0</v>
      </c>
      <c r="R284" s="5" t="inlineStr">
        <is>
          <t>122-2022-12-31</t>
        </is>
      </c>
    </row>
    <row r="285" hidden="1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1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103" t="n"/>
      <c r="L285" s="14" t="n"/>
      <c r="M285" s="14" t="n"/>
      <c r="N285" s="5" t="inlineStr">
        <is>
          <t>%</t>
        </is>
      </c>
      <c r="O285" s="5" t="inlineStr">
        <is>
          <t>No Aplica</t>
        </is>
      </c>
      <c r="P285" s="15" t="n">
        <v>0</v>
      </c>
      <c r="Q285" s="15" t="n">
        <v>0</v>
      </c>
      <c r="R285" s="5" t="inlineStr">
        <is>
          <t>122-2023-01-31</t>
        </is>
      </c>
      <c r="S285" t="inlineStr">
        <is>
          <t>No Aplica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101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10" t="n">
        <v>100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15" t="n">
        <v>0</v>
      </c>
      <c r="Q286" s="15" t="n">
        <v>0</v>
      </c>
      <c r="R286" s="5" t="inlineStr">
        <is>
          <t>122-2023-02-28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1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103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15" t="n">
        <v>0</v>
      </c>
      <c r="Q287" s="15" t="n">
        <v>0</v>
      </c>
      <c r="R287" s="5" t="inlineStr">
        <is>
          <t>122-2023-03-31</t>
        </is>
      </c>
      <c r="S287" t="inlineStr">
        <is>
          <t>No Aplica</t>
        </is>
      </c>
    </row>
    <row r="288" hidden="1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101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103" t="n">
        <v>100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15" t="n">
        <v>0</v>
      </c>
      <c r="Q288" s="15" t="n">
        <v>0</v>
      </c>
      <c r="R288" s="5" t="inlineStr">
        <is>
          <t>122-2023-04-30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1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103" t="n"/>
      <c r="L289" s="14" t="n"/>
      <c r="M289" s="14" t="n"/>
      <c r="N289" s="5" t="inlineStr">
        <is>
          <t>%</t>
        </is>
      </c>
      <c r="O289" s="5" t="inlineStr">
        <is>
          <t>No Aplica</t>
        </is>
      </c>
      <c r="P289" s="15" t="n">
        <v>0</v>
      </c>
      <c r="Q289" s="15" t="n">
        <v>0</v>
      </c>
      <c r="R289" s="5" t="inlineStr">
        <is>
          <t>122-2023-05-31</t>
        </is>
      </c>
      <c r="S289" t="inlineStr">
        <is>
          <t>No Aplica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101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103" t="n">
        <v>75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15" t="n">
        <v>0</v>
      </c>
      <c r="Q290" s="15" t="n">
        <v>0</v>
      </c>
      <c r="R290" s="5" t="inlineStr">
        <is>
          <t>122-2023-06-30</t>
        </is>
      </c>
    </row>
    <row r="291" hidden="1">
      <c r="A291" s="21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01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103" t="n"/>
      <c r="L291" s="14" t="n"/>
      <c r="M291" s="14" t="n"/>
      <c r="N291" s="5" t="inlineStr">
        <is>
          <t>%</t>
        </is>
      </c>
      <c r="O291" s="5" t="inlineStr">
        <is>
          <t>No Aplica</t>
        </is>
      </c>
      <c r="P291" s="15" t="n">
        <v>0</v>
      </c>
      <c r="Q291" s="15" t="n">
        <v>0</v>
      </c>
      <c r="R291" s="5" t="inlineStr">
        <is>
          <t>122-2023-07-31</t>
        </is>
      </c>
      <c r="S291" t="inlineStr">
        <is>
          <t>No Aplica</t>
        </is>
      </c>
    </row>
    <row r="292" hidden="1">
      <c r="A292" s="21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101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103" t="n">
        <v>80</v>
      </c>
      <c r="L292" s="14">
        <f>IFERROR(IF(OR(J292=0,K292=""),"",IF(E292="Positivo",MIN(MAX(K292/J292,0),1.3),MIN(MAX(J292/K292,0),1.3))),"") </f>
        <v/>
      </c>
      <c r="M292" s="14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15" t="n">
        <v>0</v>
      </c>
      <c r="Q292" s="15" t="n">
        <v>0</v>
      </c>
      <c r="R292" s="5" t="inlineStr">
        <is>
          <t>122-2023-08-31</t>
        </is>
      </c>
    </row>
    <row r="293" hidden="1">
      <c r="A293" s="21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01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103" t="n"/>
      <c r="L293" s="14" t="n"/>
      <c r="M293" s="14" t="n"/>
      <c r="N293" s="5" t="inlineStr">
        <is>
          <t>%</t>
        </is>
      </c>
      <c r="O293" s="5" t="inlineStr">
        <is>
          <t>No Aplica</t>
        </is>
      </c>
      <c r="P293" s="15" t="n">
        <v>0</v>
      </c>
      <c r="Q293" s="15" t="n">
        <v>0</v>
      </c>
      <c r="R293" s="5" t="inlineStr">
        <is>
          <t>122-2023-09-30</t>
        </is>
      </c>
      <c r="S293" t="inlineStr">
        <is>
          <t>No Aplica</t>
        </is>
      </c>
    </row>
    <row r="294" hidden="1">
      <c r="A294" s="26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101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103" t="n">
        <v>100</v>
      </c>
      <c r="L294" s="1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15" t="n">
        <v>0</v>
      </c>
      <c r="Q294" s="15" t="n">
        <v>0</v>
      </c>
      <c r="R294" s="5" t="inlineStr">
        <is>
          <t>122-2023-10-31</t>
        </is>
      </c>
    </row>
    <row r="295" hidden="1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1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K295" s="103" t="n"/>
      <c r="L295" s="14" t="n"/>
      <c r="M295" s="14" t="n"/>
      <c r="N295" s="5" t="inlineStr">
        <is>
          <t>%</t>
        </is>
      </c>
      <c r="O295" s="5" t="inlineStr">
        <is>
          <t>No Aplica</t>
        </is>
      </c>
      <c r="P295" s="15" t="n">
        <v>0</v>
      </c>
      <c r="Q295" s="15" t="n">
        <v>0</v>
      </c>
      <c r="R295" s="5" t="inlineStr">
        <is>
          <t>122-2023-11-30</t>
        </is>
      </c>
      <c r="S295" t="inlineStr">
        <is>
          <t>No Aplica</t>
        </is>
      </c>
    </row>
    <row r="296" hidden="1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101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103" t="n">
        <v>90.91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15" t="n">
        <v>0</v>
      </c>
      <c r="Q296" s="15" t="n">
        <v>0</v>
      </c>
      <c r="R296" s="5" t="inlineStr">
        <is>
          <t>122-2023-12-31</t>
        </is>
      </c>
    </row>
    <row r="297" hidden="1">
      <c r="A297" s="5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01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9" t="n"/>
      <c r="L297" s="74" t="n"/>
      <c r="M297" s="14" t="n"/>
      <c r="N297" s="5" t="inlineStr">
        <is>
          <t>%</t>
        </is>
      </c>
      <c r="O297" s="5" t="inlineStr">
        <is>
          <t>No Aplica</t>
        </is>
      </c>
      <c r="P297" s="5" t="n">
        <v>0</v>
      </c>
      <c r="Q297" s="5" t="n">
        <v>0</v>
      </c>
      <c r="R297" s="5" t="inlineStr">
        <is>
          <t>122-2024-01-31</t>
        </is>
      </c>
      <c r="S297" t="inlineStr">
        <is>
          <t>No Aplica</t>
        </is>
      </c>
    </row>
    <row r="298" hidden="1">
      <c r="A298" s="5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101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5" t="n">
        <v>96.67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122-2024-02-29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101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L299" s="14" t="n"/>
      <c r="M299" s="14" t="n"/>
      <c r="N299" s="5" t="inlineStr">
        <is>
          <t>%</t>
        </is>
      </c>
      <c r="O299" s="5" t="inlineStr">
        <is>
          <t>No Aplica</t>
        </is>
      </c>
      <c r="P299" s="15" t="n">
        <v>0</v>
      </c>
      <c r="Q299" s="15" t="n">
        <v>0</v>
      </c>
      <c r="R299" s="5" t="inlineStr">
        <is>
          <t>122-2024-03-31</t>
        </is>
      </c>
      <c r="S299" t="inlineStr">
        <is>
          <t>No Aplica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100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9" t="n">
        <v>97.67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15" t="n">
        <v>0</v>
      </c>
      <c r="Q300" s="15" t="n">
        <v>0</v>
      </c>
      <c r="R300" s="5" t="inlineStr">
        <is>
          <t>122-2024-04-30</t>
        </is>
      </c>
    </row>
    <row r="301" hidden="1">
      <c r="A301" s="26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101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9" t="n"/>
      <c r="L301" s="14" t="n"/>
      <c r="M301" s="14" t="n"/>
      <c r="N301" s="5" t="inlineStr">
        <is>
          <t>%</t>
        </is>
      </c>
      <c r="O301" s="5" t="inlineStr">
        <is>
          <t>No Aplica</t>
        </is>
      </c>
      <c r="P301" s="15" t="n">
        <v>0</v>
      </c>
      <c r="Q301" s="15" t="n">
        <v>0</v>
      </c>
      <c r="R301" s="5" t="inlineStr">
        <is>
          <t>122-2024-05-31</t>
        </is>
      </c>
      <c r="S301" t="inlineStr">
        <is>
          <t>No Aplica</t>
        </is>
      </c>
    </row>
    <row r="302" hidden="1">
      <c r="A302" s="21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101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80</v>
      </c>
      <c r="K302" s="9" t="n">
        <v>95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15" t="n">
        <v>0</v>
      </c>
      <c r="Q302" s="15" t="n">
        <v>0</v>
      </c>
      <c r="R302" s="5" t="inlineStr">
        <is>
          <t>122-2024-06-30</t>
        </is>
      </c>
    </row>
    <row r="303" hidden="1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101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5" t="n">
        <v>80</v>
      </c>
      <c r="K303" s="9" t="n"/>
      <c r="L303" s="14" t="n"/>
      <c r="M303" s="14" t="n"/>
      <c r="N303" s="5" t="inlineStr">
        <is>
          <t>%</t>
        </is>
      </c>
      <c r="O303" s="5" t="inlineStr">
        <is>
          <t>No Aplica</t>
        </is>
      </c>
      <c r="P303" s="15" t="n">
        <v>0</v>
      </c>
      <c r="Q303" s="15" t="n">
        <v>0</v>
      </c>
      <c r="R303" s="5" t="inlineStr">
        <is>
          <t>122-2024-07-31</t>
        </is>
      </c>
      <c r="S303" t="inlineStr">
        <is>
          <t>No Aplica</t>
        </is>
      </c>
    </row>
    <row r="304" hidden="1">
      <c r="A304" s="28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101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5" t="n">
        <v>80</v>
      </c>
      <c r="K304" s="9" t="n">
        <v>79.06999999999999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15" t="n">
        <v>0</v>
      </c>
      <c r="Q304" s="15" t="n">
        <v>0</v>
      </c>
      <c r="R304" s="5" t="inlineStr">
        <is>
          <t>122-2024-08-31</t>
        </is>
      </c>
    </row>
    <row r="305" hidden="1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101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5" t="n">
        <v>80</v>
      </c>
      <c r="K305" s="9" t="n"/>
      <c r="L305" s="14" t="n"/>
      <c r="M305" s="14" t="n"/>
      <c r="N305" s="5" t="inlineStr">
        <is>
          <t>%</t>
        </is>
      </c>
      <c r="O305" s="5" t="inlineStr">
        <is>
          <t>No Aplica</t>
        </is>
      </c>
      <c r="P305" s="15" t="n">
        <v>0</v>
      </c>
      <c r="Q305" s="15" t="n">
        <v>0</v>
      </c>
      <c r="R305" s="5" t="inlineStr">
        <is>
          <t>122-2024-09-30</t>
        </is>
      </c>
      <c r="S305" t="inlineStr">
        <is>
          <t>No Aplica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101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103" t="n">
        <v>80</v>
      </c>
      <c r="K306" s="103" t="n">
        <v>97.5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9" t="inlineStr">
        <is>
          <t>%</t>
        </is>
      </c>
      <c r="O306" s="9" t="inlineStr">
        <is>
          <t>%</t>
        </is>
      </c>
      <c r="P306" s="15" t="n">
        <v>0</v>
      </c>
      <c r="Q306" s="15" t="n">
        <v>0</v>
      </c>
      <c r="R306" s="5" t="inlineStr">
        <is>
          <t>122-2024-10-31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00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103" t="n">
        <v>80</v>
      </c>
      <c r="K307" s="103" t="n"/>
      <c r="L307" s="14" t="n"/>
      <c r="M307" s="14" t="n"/>
      <c r="N307" s="9" t="inlineStr">
        <is>
          <t>%</t>
        </is>
      </c>
      <c r="O307" s="9" t="inlineStr">
        <is>
          <t>No Aplica</t>
        </is>
      </c>
      <c r="P307" s="15" t="n">
        <v>0</v>
      </c>
      <c r="Q307" s="15" t="n">
        <v>0</v>
      </c>
      <c r="R307" s="5" t="inlineStr">
        <is>
          <t>122-2024-11-30</t>
        </is>
      </c>
      <c r="S307" t="inlineStr">
        <is>
          <t>No Aplica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101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103" t="n">
        <v>80</v>
      </c>
      <c r="K308" s="103" t="n">
        <v>100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9" t="inlineStr">
        <is>
          <t>%</t>
        </is>
      </c>
      <c r="O308" s="9" t="inlineStr">
        <is>
          <t>%</t>
        </is>
      </c>
      <c r="P308" s="15" t="n">
        <v>0</v>
      </c>
      <c r="Q308" s="15" t="n">
        <v>0</v>
      </c>
      <c r="R308" s="5" t="inlineStr">
        <is>
          <t>122-2024-12-31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01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103" t="n">
        <v>90</v>
      </c>
      <c r="K309" s="103" t="n"/>
      <c r="L309" s="14" t="n"/>
      <c r="M309" s="14" t="n"/>
      <c r="N309" s="9" t="inlineStr">
        <is>
          <t>%</t>
        </is>
      </c>
      <c r="O309" s="9" t="inlineStr">
        <is>
          <t>No Aplica</t>
        </is>
      </c>
      <c r="P309" s="15" t="n">
        <v>0</v>
      </c>
      <c r="Q309" s="15" t="n">
        <v>0</v>
      </c>
      <c r="R309" s="5" t="inlineStr">
        <is>
          <t>122-2025-01-31</t>
        </is>
      </c>
      <c r="S309" t="inlineStr">
        <is>
          <t>No Aplica</t>
        </is>
      </c>
    </row>
    <row r="310" hidden="1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Bimestral</t>
        </is>
      </c>
      <c r="E310" s="5" t="inlineStr">
        <is>
          <t>Positivo</t>
        </is>
      </c>
      <c r="F310" s="101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103" t="n">
        <v>90</v>
      </c>
      <c r="K310" s="103" t="n">
        <v>100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9" t="inlineStr">
        <is>
          <t>%</t>
        </is>
      </c>
      <c r="O310" s="9" t="inlineStr">
        <is>
          <t>%</t>
        </is>
      </c>
      <c r="P310" s="15" t="n">
        <v>0</v>
      </c>
      <c r="Q310" s="15" t="n">
        <v>0</v>
      </c>
      <c r="R310" s="5" t="inlineStr">
        <is>
          <t>122-2025-02-28</t>
        </is>
      </c>
    </row>
    <row r="311" hidden="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01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103" t="n">
        <v>90</v>
      </c>
      <c r="K311" s="103" t="n"/>
      <c r="L311" s="14" t="n"/>
      <c r="M311" s="14" t="n"/>
      <c r="N311" s="9" t="inlineStr">
        <is>
          <t>%</t>
        </is>
      </c>
      <c r="O311" s="9" t="inlineStr">
        <is>
          <t>No Aplica</t>
        </is>
      </c>
      <c r="P311" s="15" t="n">
        <v>0</v>
      </c>
      <c r="Q311" s="15" t="n">
        <v>0</v>
      </c>
      <c r="R311" s="5" t="inlineStr">
        <is>
          <t>122-2025-03-31</t>
        </is>
      </c>
      <c r="S311" t="inlineStr">
        <is>
          <t>No Aplica</t>
        </is>
      </c>
    </row>
    <row r="312" hidden="1" customFormat="1" s="2">
      <c r="A312" s="21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Bimestral</t>
        </is>
      </c>
      <c r="E312" s="5" t="inlineStr">
        <is>
          <t>Positivo</t>
        </is>
      </c>
      <c r="F312" s="101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103" t="n">
        <v>90</v>
      </c>
      <c r="K312" s="103" t="n">
        <v>100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122-2025-04-30</t>
        </is>
      </c>
    </row>
    <row r="313" hidden="1" customFormat="1" s="2">
      <c r="A313" s="21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01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103" t="n">
        <v>90</v>
      </c>
      <c r="K313" s="103" t="n"/>
      <c r="L313" s="14" t="n"/>
      <c r="M313" s="14" t="n"/>
      <c r="N313" s="9" t="inlineStr">
        <is>
          <t>%</t>
        </is>
      </c>
      <c r="O313" s="9" t="inlineStr">
        <is>
          <t>No Aplica</t>
        </is>
      </c>
      <c r="P313" s="15" t="n">
        <v>0</v>
      </c>
      <c r="Q313" s="15" t="n">
        <v>0</v>
      </c>
      <c r="R313" s="5" t="inlineStr">
        <is>
          <t>122-2025-05-31</t>
        </is>
      </c>
      <c r="S313" t="inlineStr">
        <is>
          <t>No Aplica</t>
        </is>
      </c>
    </row>
    <row r="314" hidden="1" customFormat="1" s="2">
      <c r="A314" s="21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Bimestral</t>
        </is>
      </c>
      <c r="E314" s="5" t="inlineStr">
        <is>
          <t>Positivo</t>
        </is>
      </c>
      <c r="F314" s="101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103" t="n">
        <v>90</v>
      </c>
      <c r="K314" s="103" t="n">
        <v>43.48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122-2025-06-30</t>
        </is>
      </c>
    </row>
    <row r="315" hidden="1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1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03" t="n">
        <v>90</v>
      </c>
      <c r="K315" s="103" t="n">
        <v>78.26000000000001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122-2025-07-31</t>
        </is>
      </c>
    </row>
    <row r="316" hidden="1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1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103" t="n">
        <v>90</v>
      </c>
      <c r="K316" s="103" t="n">
        <v>57.89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122-2025-08-31</t>
        </is>
      </c>
    </row>
    <row r="317" hidden="1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1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103" t="n">
        <v>90</v>
      </c>
      <c r="K317" s="103" t="n">
        <v>81.81999999999999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122-2025-09-30</t>
        </is>
      </c>
    </row>
    <row r="318" hidden="1" customFormat="1" s="2">
      <c r="A318" s="21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01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104" t="n">
        <v>90</v>
      </c>
      <c r="K318" s="104" t="n">
        <v>88.89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9" t="inlineStr">
        <is>
          <t>%</t>
        </is>
      </c>
      <c r="O318" s="9" t="inlineStr">
        <is>
          <t>%</t>
        </is>
      </c>
      <c r="P318" s="15" t="n">
        <v>0</v>
      </c>
      <c r="Q318" s="15" t="n">
        <v>0</v>
      </c>
      <c r="R318" s="5" t="inlineStr">
        <is>
          <t>122-2025-10-31</t>
        </is>
      </c>
    </row>
    <row r="319" hidden="1" customFormat="1" s="2">
      <c r="A319" s="21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01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104" t="n">
        <v>90</v>
      </c>
      <c r="K319" s="104" t="n">
        <v>90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9" t="inlineStr">
        <is>
          <t>%</t>
        </is>
      </c>
      <c r="O319" s="9" t="inlineStr">
        <is>
          <t>%</t>
        </is>
      </c>
      <c r="P319" s="15" t="n">
        <v>0</v>
      </c>
      <c r="Q319" s="15" t="n">
        <v>0</v>
      </c>
      <c r="R319" s="5" t="inlineStr">
        <is>
          <t>122-2025-11-30</t>
        </is>
      </c>
    </row>
    <row r="320" hidden="1" customFormat="1" s="2">
      <c r="A320" s="21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01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104" t="n">
        <v>90</v>
      </c>
      <c r="K320" s="104" t="n">
        <v>100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9" t="inlineStr">
        <is>
          <t>%</t>
        </is>
      </c>
      <c r="O320" s="9" t="inlineStr">
        <is>
          <t>%</t>
        </is>
      </c>
      <c r="P320" s="15" t="n">
        <v>0</v>
      </c>
      <c r="Q320" s="15" t="n">
        <v>0</v>
      </c>
      <c r="R320" s="5" t="inlineStr">
        <is>
          <t>122-2025-12-31</t>
        </is>
      </c>
    </row>
    <row r="321" hidden="1">
      <c r="A321" s="21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01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104" t="n">
        <v>80</v>
      </c>
      <c r="K321" s="104" t="n"/>
      <c r="L321" s="14" t="n"/>
      <c r="M321" s="14" t="n"/>
      <c r="N321" s="9" t="inlineStr">
        <is>
          <t>%</t>
        </is>
      </c>
      <c r="O321" s="9" t="inlineStr">
        <is>
          <t>No Aplica</t>
        </is>
      </c>
      <c r="P321" s="15" t="n">
        <v>0</v>
      </c>
      <c r="Q321" s="15" t="n">
        <v>0</v>
      </c>
      <c r="R321" s="5" t="inlineStr">
        <is>
          <t>122-2026-01-31</t>
        </is>
      </c>
      <c r="S321" t="inlineStr">
        <is>
          <t>No Aplica</t>
        </is>
      </c>
    </row>
    <row r="322" hidden="1">
      <c r="A322" s="21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101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104" t="n">
        <v>80</v>
      </c>
      <c r="K322" s="104" t="n">
        <v>35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9" t="inlineStr">
        <is>
          <t>%</t>
        </is>
      </c>
      <c r="O322" s="9" t="inlineStr">
        <is>
          <t>%</t>
        </is>
      </c>
      <c r="P322" s="15" t="n">
        <v>0</v>
      </c>
      <c r="Q322" s="15" t="n">
        <v>0</v>
      </c>
      <c r="R322" s="5" t="inlineStr">
        <is>
          <t>122-2026-02-28</t>
        </is>
      </c>
      <c r="S322" t="inlineStr"/>
    </row>
    <row r="323" hidden="1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1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104" t="n">
        <v>1.6</v>
      </c>
      <c r="K323" s="104" t="n">
        <v>0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9" t="inlineStr">
        <is>
          <t>DEC</t>
        </is>
      </c>
      <c r="O323" s="9" t="inlineStr">
        <is>
          <t>%</t>
        </is>
      </c>
      <c r="P323" s="15" t="n">
        <v>1</v>
      </c>
      <c r="Q323" s="15" t="n">
        <v>2</v>
      </c>
      <c r="R323" s="5" t="inlineStr">
        <is>
          <t>124-2022-01-31</t>
        </is>
      </c>
    </row>
    <row r="324" hidden="1">
      <c r="A324" s="21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1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104" t="n">
        <v>1.6</v>
      </c>
      <c r="K324" s="104" t="n">
        <v>0.06988120195667399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9" t="inlineStr">
        <is>
          <t>DEC</t>
        </is>
      </c>
      <c r="O324" s="9" t="inlineStr">
        <is>
          <t>%</t>
        </is>
      </c>
      <c r="P324" s="15" t="n">
        <v>1</v>
      </c>
      <c r="Q324" s="15" t="n">
        <v>2</v>
      </c>
      <c r="R324" s="5" t="inlineStr">
        <is>
          <t>124-2022-02-28</t>
        </is>
      </c>
    </row>
    <row r="325" hidden="1">
      <c r="A325" s="26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1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9" t="n">
        <v>1.6</v>
      </c>
      <c r="K325" s="9" t="n">
        <v>0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9" t="inlineStr">
        <is>
          <t>DEC</t>
        </is>
      </c>
      <c r="O325" s="9" t="inlineStr">
        <is>
          <t>%</t>
        </is>
      </c>
      <c r="P325" s="15" t="n">
        <v>1</v>
      </c>
      <c r="Q325" s="15" t="n">
        <v>2</v>
      </c>
      <c r="R325" s="5" t="inlineStr">
        <is>
          <t>124-2022-03-31</t>
        </is>
      </c>
    </row>
    <row r="326" hidden="1">
      <c r="A326" s="26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1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9" t="n">
        <v>1.6</v>
      </c>
      <c r="K326" s="9" t="n">
        <v>0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9" t="inlineStr">
        <is>
          <t>DEC</t>
        </is>
      </c>
      <c r="O326" s="9" t="inlineStr">
        <is>
          <t>DEC</t>
        </is>
      </c>
      <c r="P326" s="15" t="n">
        <v>1</v>
      </c>
      <c r="Q326" s="15" t="n">
        <v>2</v>
      </c>
      <c r="R326" s="5" t="inlineStr">
        <is>
          <t>124-2022-04-30</t>
        </is>
      </c>
    </row>
    <row r="327" hidden="1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1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9" t="n">
        <v>1.6</v>
      </c>
      <c r="K327" s="9" t="n">
        <v>0.053361792956243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9" t="inlineStr">
        <is>
          <t>DEC</t>
        </is>
      </c>
      <c r="O327" s="9" t="inlineStr">
        <is>
          <t>DEC</t>
        </is>
      </c>
      <c r="P327" s="15" t="n">
        <v>1</v>
      </c>
      <c r="Q327" s="15" t="n">
        <v>2</v>
      </c>
      <c r="R327" s="5" t="inlineStr">
        <is>
          <t>124-2022-05-31</t>
        </is>
      </c>
    </row>
    <row r="328" hidden="1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0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5" t="n">
        <v>1.6</v>
      </c>
      <c r="K328" s="5" t="n">
        <v>0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124-2022-06-30</t>
        </is>
      </c>
    </row>
    <row r="329" hidden="1">
      <c r="A329" s="5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1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5" t="n">
        <v>1.6</v>
      </c>
      <c r="K329" s="5" t="n">
        <v>0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124-2022-07-31</t>
        </is>
      </c>
    </row>
    <row r="330" hidden="1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1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5" t="n">
        <v>1.6</v>
      </c>
      <c r="K330" s="5" t="n">
        <v>0.1865671641791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124-2022-08-31</t>
        </is>
      </c>
    </row>
    <row r="331" hidden="1">
      <c r="A331" s="21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1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5" t="n">
        <v>1.6</v>
      </c>
      <c r="K331" s="5" t="n">
        <v>0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15" t="n">
        <v>1</v>
      </c>
      <c r="Q331" s="15" t="n">
        <v>2</v>
      </c>
      <c r="R331" s="5" t="inlineStr">
        <is>
          <t>124-2022-09-30</t>
        </is>
      </c>
    </row>
    <row r="332" hidden="1">
      <c r="A332" s="26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1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5" t="n">
        <v>1.6</v>
      </c>
      <c r="K332" s="9" t="n">
        <v>0.055187637969095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124-2022-10-31</t>
        </is>
      </c>
    </row>
    <row r="333" hidden="1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1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10" t="n">
        <v>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124-2022-11-30</t>
        </is>
      </c>
    </row>
    <row r="334" hidden="1">
      <c r="A334" s="21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0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9" t="n">
        <v>0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124-2022-12-31</t>
        </is>
      </c>
    </row>
    <row r="335" hidden="1">
      <c r="A335" s="21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1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9" t="n">
        <v>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15" t="n">
        <v>1</v>
      </c>
      <c r="Q335" s="15" t="n">
        <v>2</v>
      </c>
      <c r="R335" s="5" t="inlineStr">
        <is>
          <t>124-2023-01-31</t>
        </is>
      </c>
    </row>
    <row r="336" hidden="1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1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15" t="n">
        <v>2</v>
      </c>
      <c r="R336" s="5" t="inlineStr">
        <is>
          <t>124-2023-02-28</t>
        </is>
      </c>
    </row>
    <row r="337" hidden="1">
      <c r="A337" s="21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1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0" t="n">
        <v>0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124-2023-03-31</t>
        </is>
      </c>
    </row>
    <row r="338" hidden="1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0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9" t="n">
        <v>0.10435690060005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124-2023-04-30</t>
        </is>
      </c>
    </row>
    <row r="339" hidden="1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1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9" t="n">
        <v>0.051072522982635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5" t="n">
        <v>1</v>
      </c>
      <c r="Q339" s="15" t="n">
        <v>2</v>
      </c>
      <c r="R339" s="5" t="inlineStr">
        <is>
          <t>124-2023-05-31</t>
        </is>
      </c>
    </row>
    <row r="340" hidden="1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1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5" t="n">
        <v>0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124-2023-06-30</t>
        </is>
      </c>
    </row>
    <row r="341" hidden="1">
      <c r="A341" s="2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1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10" t="n">
        <v>0.075471698113208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124-2023-07-31</t>
        </is>
      </c>
    </row>
    <row r="342" hidden="1">
      <c r="A342" s="26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1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9" t="n">
        <v>0.06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124-2023-08-31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1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10" t="n">
        <v>0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124-2023-09-30</t>
        </is>
      </c>
    </row>
    <row r="344" hidden="1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1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5" t="n">
        <v>0.05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124-2023-10-31</t>
        </is>
      </c>
    </row>
    <row r="345" hidden="1">
      <c r="A345" s="31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1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104" t="n">
        <v>0</v>
      </c>
      <c r="L345" s="30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31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124-2023-11-30</t>
        </is>
      </c>
    </row>
    <row r="346" hidden="1">
      <c r="A346" s="31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1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104" t="n">
        <v>0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31" t="inlineStr">
        <is>
          <t>DEC</t>
        </is>
      </c>
      <c r="O346" s="5" t="inlineStr">
        <is>
          <t>DEC</t>
        </is>
      </c>
      <c r="P346" s="15" t="n">
        <v>1</v>
      </c>
      <c r="Q346" s="15" t="n">
        <v>2</v>
      </c>
      <c r="R346" s="5" t="inlineStr">
        <is>
          <t>124-2023-12-31</t>
        </is>
      </c>
    </row>
    <row r="347" hidden="1">
      <c r="A347" s="31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1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104" t="n">
        <v>0</v>
      </c>
      <c r="L347" s="30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31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124-2024-01-31</t>
        </is>
      </c>
    </row>
    <row r="348" hidden="1">
      <c r="A348" s="21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1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10" t="n">
        <v>0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124-2024-02-29</t>
        </is>
      </c>
    </row>
    <row r="349" hidden="1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1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9" t="n">
        <v>0</v>
      </c>
      <c r="L349" s="7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124-2024-03-31</t>
        </is>
      </c>
    </row>
    <row r="350" hidden="1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1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9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124-2024-04-30</t>
        </is>
      </c>
    </row>
    <row r="351" hidden="1">
      <c r="A351" s="5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1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5" t="n">
        <v>0.041823504809703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5" t="n">
        <v>1</v>
      </c>
      <c r="Q351" s="5" t="n">
        <v>2</v>
      </c>
      <c r="R351" s="5" t="inlineStr">
        <is>
          <t>124-2024-05-31</t>
        </is>
      </c>
    </row>
    <row r="352" hidden="1">
      <c r="A352" s="26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1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9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15" t="n">
        <v>1</v>
      </c>
      <c r="Q352" s="15" t="n">
        <v>2</v>
      </c>
      <c r="R352" s="5" t="inlineStr">
        <is>
          <t>124-2024-06-30</t>
        </is>
      </c>
    </row>
    <row r="353" hidden="1">
      <c r="A353" s="26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1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9" t="n">
        <v>0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124-2024-07-31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1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0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124-2024-08-31</t>
        </is>
      </c>
    </row>
    <row r="355" hidden="1">
      <c r="A355" s="21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0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9" t="n">
        <v>0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124-2024-09-30</t>
        </is>
      </c>
    </row>
    <row r="356" hidden="1">
      <c r="A356" s="26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1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9" t="n">
        <v>0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15" t="n">
        <v>1</v>
      </c>
      <c r="Q356" s="15" t="n">
        <v>2</v>
      </c>
      <c r="R356" s="5" t="inlineStr">
        <is>
          <t>124-2024-10-31</t>
        </is>
      </c>
    </row>
    <row r="357" hidden="1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1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5" t="n">
        <v>0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124-2024-11-30</t>
        </is>
      </c>
    </row>
    <row r="358" hidden="1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1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10" t="n">
        <v>0.1141552511415525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124-2024-12-31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0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9" t="n">
        <v>0.0911577028258887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124-2025-01-31</t>
        </is>
      </c>
    </row>
    <row r="360" hidden="1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1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9" t="n">
        <v>0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124-2025-02-28</t>
        </is>
      </c>
    </row>
    <row r="361" hidden="1">
      <c r="A361" s="5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1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5" t="n">
        <v>0.06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5" t="n">
        <v>1</v>
      </c>
      <c r="Q361" s="5" t="n">
        <v>2</v>
      </c>
      <c r="R361" s="5" t="inlineStr">
        <is>
          <t>124-2025-03-31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1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10" t="n">
        <v>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124-2025-04-30</t>
        </is>
      </c>
    </row>
    <row r="363" hidden="1" customFormat="1" s="22">
      <c r="A363" s="21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1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104" t="n">
        <v>0.06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124-2025-05-31</t>
        </is>
      </c>
    </row>
    <row r="364" hidden="1">
      <c r="A364" s="21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1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104" t="n">
        <v>0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124-2025-06-30</t>
        </is>
      </c>
    </row>
    <row r="365" hidden="1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1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104" t="n">
        <v>0.08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124-2025-07-31</t>
        </is>
      </c>
    </row>
    <row r="366" hidden="1">
      <c r="A366" s="21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1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104" t="n">
        <v>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124-2025-08-31</t>
        </is>
      </c>
    </row>
    <row r="367" hidden="1">
      <c r="A367" s="21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1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104" t="n">
        <v>0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124-2025-09-30</t>
        </is>
      </c>
    </row>
    <row r="368" hidden="1">
      <c r="A368" s="26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1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104" t="n">
        <v>0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124-2025-10-31</t>
        </is>
      </c>
    </row>
    <row r="369" hidden="1">
      <c r="A369" s="26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1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104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124-2025-11-30</t>
        </is>
      </c>
    </row>
    <row r="370" hidden="1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1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104" t="n">
        <v>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124-2025-12-31</t>
        </is>
      </c>
    </row>
    <row r="371" hidden="1">
      <c r="A371" s="21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1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9" t="n">
        <v>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124-2026-01-31</t>
        </is>
      </c>
      <c r="S371" t="inlineStr"/>
    </row>
    <row r="372" hidden="1">
      <c r="A372" s="21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1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9" t="n">
        <v>0.15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124-2026-02-28</t>
        </is>
      </c>
      <c r="S372" t="inlineStr"/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1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9" t="n">
        <v>0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125-2022-01-31</t>
        </is>
      </c>
    </row>
    <row r="374" hidden="1">
      <c r="A374" s="21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1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9" t="n">
        <v>0.20964360587002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125-2022-02-28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1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9" t="n">
        <v>0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125-2022-03-31</t>
        </is>
      </c>
    </row>
    <row r="376" hidden="1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1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9" t="n">
        <v>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125-2022-04-30</t>
        </is>
      </c>
    </row>
    <row r="377" hidden="1">
      <c r="A377" s="26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1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9" t="n">
        <v>0.26680896478122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125-2022-05-31</t>
        </is>
      </c>
    </row>
    <row r="378" hidden="1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1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9" t="n">
        <v>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125-2022-06-30</t>
        </is>
      </c>
    </row>
    <row r="379" hidden="1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1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9" t="n">
        <v>0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125-2022-07-31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0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9" t="n">
        <v>0.31094527363184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125-2022-08-31</t>
        </is>
      </c>
    </row>
    <row r="381" hidden="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1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9" t="n">
        <v>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125-2022-09-30</t>
        </is>
      </c>
    </row>
    <row r="382" hidden="1">
      <c r="A382" s="21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1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9" t="n">
        <v>0.16556291390728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125-2022-10-31</t>
        </is>
      </c>
    </row>
    <row r="383" hidden="1">
      <c r="A383" s="21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1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9" t="n">
        <v>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125-2022-11-30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1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9" t="n">
        <v>0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125-2022-12-31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1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9" t="n">
        <v>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125-2023-01-31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1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9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125-2023-02-28</t>
        </is>
      </c>
    </row>
    <row r="387" hidden="1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1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9" t="n">
        <v>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125-2023-03-31</t>
        </is>
      </c>
    </row>
    <row r="388" hidden="1">
      <c r="A388" s="26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1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9" t="n">
        <v>0.13044612575007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125-2023-04-30</t>
        </is>
      </c>
    </row>
    <row r="389" hidden="1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1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9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125-2023-05-31</t>
        </is>
      </c>
    </row>
    <row r="390" hidden="1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1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9" t="n">
        <v>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125-2023-06-30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1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9" t="n">
        <v>1.0566037735849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125-2023-07-31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0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9" t="n">
        <v>0.92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125-2023-08-31</t>
        </is>
      </c>
    </row>
    <row r="393" hidden="1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1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10" t="n">
        <v>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125-2023-09-30</t>
        </is>
      </c>
    </row>
    <row r="394" hidden="1">
      <c r="A394" s="21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1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9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5" t="n">
        <v>1</v>
      </c>
      <c r="Q394" s="15" t="n">
        <v>2</v>
      </c>
      <c r="R394" s="5" t="inlineStr">
        <is>
          <t>125-2023-10-31</t>
        </is>
      </c>
    </row>
    <row r="395" hidden="1">
      <c r="A395" s="21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1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9" t="n">
        <v>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5" t="n">
        <v>1</v>
      </c>
      <c r="Q395" s="15" t="n">
        <v>2</v>
      </c>
      <c r="R395" s="5" t="inlineStr">
        <is>
          <t>125-2023-11-30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1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9" t="n">
        <v>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125-2023-12-31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1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9" t="n">
        <v>0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125-2024-01-31</t>
        </is>
      </c>
    </row>
    <row r="398" hidden="1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1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9" t="n">
        <v>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125-2024-02-29</t>
        </is>
      </c>
    </row>
    <row r="399" hidden="1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1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9" t="n">
        <v>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125-2024-03-31</t>
        </is>
      </c>
    </row>
    <row r="400" hidden="1">
      <c r="A400" s="21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1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9" t="n">
        <v>0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5" t="n">
        <v>1</v>
      </c>
      <c r="Q400" s="15" t="n">
        <v>2</v>
      </c>
      <c r="R400" s="5" t="inlineStr">
        <is>
          <t>125-2024-04-30</t>
        </is>
      </c>
    </row>
    <row r="401" hidden="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0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9" t="n">
        <v>0.2091175240485153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125-2024-05-31</t>
        </is>
      </c>
    </row>
    <row r="402" hidden="1">
      <c r="A402" s="5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0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9" t="n">
        <v>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2</v>
      </c>
      <c r="R402" s="5" t="inlineStr">
        <is>
          <t>125-2024-06-30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0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9" t="n">
        <v>0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125-2024-07-31</t>
        </is>
      </c>
    </row>
    <row r="404" hidden="1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1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9" t="n">
        <v>0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125-2024-08-31</t>
        </is>
      </c>
    </row>
    <row r="405" hidden="1">
      <c r="A405" s="21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0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9" t="n">
        <v>0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15" t="n">
        <v>1</v>
      </c>
      <c r="Q405" s="15" t="n">
        <v>2</v>
      </c>
      <c r="R405" s="5" t="inlineStr">
        <is>
          <t>125-2024-09-30</t>
        </is>
      </c>
    </row>
    <row r="406" hidden="1">
      <c r="A406" s="21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1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10" t="n">
        <v>0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125-2024-10-31</t>
        </is>
      </c>
    </row>
    <row r="407" hidden="1">
      <c r="A407" s="5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0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9" t="n">
        <v>0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2</v>
      </c>
      <c r="R407" s="5" t="inlineStr">
        <is>
          <t>125-2024-11-30</t>
        </is>
      </c>
    </row>
    <row r="408" hidden="1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0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9" t="n">
        <v>0.91324200913242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0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9" t="n">
        <v>0.2734731084776664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125-2025-01-31</t>
        </is>
      </c>
    </row>
    <row r="410" hidden="1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1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9" t="n">
        <v>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125-2025-02-28</t>
        </is>
      </c>
    </row>
    <row r="411" hidden="1">
      <c r="A411" s="21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0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9" t="n">
        <v>0.45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125-2025-03-31</t>
        </is>
      </c>
    </row>
    <row r="412" hidden="1">
      <c r="A412" s="5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0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9" t="n">
        <v>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5" t="n">
        <v>1</v>
      </c>
      <c r="Q412" s="5" t="n">
        <v>2</v>
      </c>
      <c r="R412" s="5" t="inlineStr">
        <is>
          <t>125-2025-04-30</t>
        </is>
      </c>
    </row>
    <row r="413" hidden="1">
      <c r="A413" s="5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0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9" t="n">
        <v>0.24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5" t="n">
        <v>1</v>
      </c>
      <c r="Q413" s="5" t="n">
        <v>2</v>
      </c>
      <c r="R413" s="5" t="inlineStr">
        <is>
          <t>125-2025-05-31</t>
        </is>
      </c>
    </row>
    <row r="414" hidden="1">
      <c r="A414" s="21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00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9" t="n">
        <v>0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5" t="n">
        <v>1</v>
      </c>
      <c r="Q414" s="15" t="n">
        <v>2</v>
      </c>
      <c r="R414" s="5" t="inlineStr">
        <is>
          <t>125-2025-06-30</t>
        </is>
      </c>
    </row>
    <row r="415" hidden="1">
      <c r="A415" s="26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01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9" t="n">
        <v>0.25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5" t="n">
        <v>1</v>
      </c>
      <c r="Q415" s="15" t="n">
        <v>2</v>
      </c>
      <c r="R415" s="5" t="inlineStr">
        <is>
          <t>125-2025-07-31</t>
        </is>
      </c>
    </row>
    <row r="416" hidden="1">
      <c r="A416" s="21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01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9" t="n">
        <v>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5" t="n">
        <v>1</v>
      </c>
      <c r="Q416" s="15" t="n">
        <v>2</v>
      </c>
      <c r="R416" s="5" t="inlineStr">
        <is>
          <t>125-2025-08-31</t>
        </is>
      </c>
    </row>
    <row r="417" hidden="1">
      <c r="A417" s="21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01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9" t="n">
        <v>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DEC</t>
        </is>
      </c>
      <c r="O417" s="5" t="inlineStr">
        <is>
          <t>DEC</t>
        </is>
      </c>
      <c r="P417" s="15" t="n">
        <v>1</v>
      </c>
      <c r="Q417" s="15" t="n">
        <v>2</v>
      </c>
      <c r="R417" s="5" t="inlineStr">
        <is>
          <t>125-2025-09-30</t>
        </is>
      </c>
    </row>
    <row r="418" hidden="1">
      <c r="A418" s="28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01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9" t="n">
        <v>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DEC</t>
        </is>
      </c>
      <c r="O418" s="5" t="inlineStr">
        <is>
          <t>DEC</t>
        </is>
      </c>
      <c r="P418" s="15" t="n">
        <v>1</v>
      </c>
      <c r="Q418" s="15" t="n">
        <v>2</v>
      </c>
      <c r="R418" s="5" t="inlineStr">
        <is>
          <t>125-2025-10-31</t>
        </is>
      </c>
    </row>
    <row r="419" hidden="1">
      <c r="A419" s="26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01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9" t="n">
        <v>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DEC</t>
        </is>
      </c>
      <c r="O419" s="5" t="inlineStr">
        <is>
          <t>DEC</t>
        </is>
      </c>
      <c r="P419" s="15" t="n">
        <v>1</v>
      </c>
      <c r="Q419" s="15" t="n">
        <v>2</v>
      </c>
      <c r="R419" s="5" t="inlineStr">
        <is>
          <t>125-2025-11-30</t>
        </is>
      </c>
    </row>
    <row r="420" hidden="1">
      <c r="A420" s="21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01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0" t="n">
        <v>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DEC</t>
        </is>
      </c>
      <c r="O420" s="5" t="inlineStr">
        <is>
          <t>DEC</t>
        </is>
      </c>
      <c r="P420" s="15" t="n">
        <v>1</v>
      </c>
      <c r="Q420" s="15" t="n">
        <v>2</v>
      </c>
      <c r="R420" s="5" t="inlineStr">
        <is>
          <t>125-2025-12-31</t>
        </is>
      </c>
    </row>
    <row r="421" hidden="1">
      <c r="A421" s="5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01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5" t="n">
        <v>0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DEC</t>
        </is>
      </c>
      <c r="O421" s="5" t="inlineStr">
        <is>
          <t>DEC</t>
        </is>
      </c>
      <c r="P421" s="5" t="n">
        <v>1</v>
      </c>
      <c r="Q421" s="5" t="n">
        <v>2</v>
      </c>
      <c r="R421" s="5" t="inlineStr">
        <is>
          <t>125-2026-01-31</t>
        </is>
      </c>
      <c r="S421" t="inlineStr"/>
    </row>
    <row r="422" hidden="1">
      <c r="A422" s="21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1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10" t="n">
        <v>0.45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5" t="n">
        <v>1</v>
      </c>
      <c r="Q422" s="15" t="n">
        <v>2</v>
      </c>
      <c r="R422" s="5" t="inlineStr">
        <is>
          <t>125-2026-02-28</t>
        </is>
      </c>
      <c r="S422" t="inlineStr"/>
    </row>
    <row r="423" hidden="1">
      <c r="A423" s="21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01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10" t="n">
        <v>0.12391573729864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5" t="n">
        <v>0</v>
      </c>
      <c r="Q423" s="15" t="n">
        <v>2</v>
      </c>
      <c r="R423" s="5" t="inlineStr">
        <is>
          <t>126-2022-12-31</t>
        </is>
      </c>
    </row>
    <row r="424" hidden="1">
      <c r="A424" s="21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00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9" t="n">
        <v>0.12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126-2023-12-31</t>
        </is>
      </c>
    </row>
    <row r="425" hidden="1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01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9" t="n">
        <v>0.1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1</v>
      </c>
      <c r="R425" s="5" t="inlineStr">
        <is>
          <t>126-2024-12-31</t>
        </is>
      </c>
    </row>
    <row r="426" hidden="1">
      <c r="A426" s="5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01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5" t="n">
        <v>0.16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ENT</t>
        </is>
      </c>
      <c r="O426" s="5" t="inlineStr">
        <is>
          <t>DEC</t>
        </is>
      </c>
      <c r="P426" s="5" t="n">
        <v>0</v>
      </c>
      <c r="Q426" s="5" t="n">
        <v>1</v>
      </c>
      <c r="R426" s="5" t="inlineStr">
        <is>
          <t>126-2025-12-31</t>
        </is>
      </c>
    </row>
    <row r="427" hidden="1">
      <c r="A427" s="21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01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0" t="n">
        <v>0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n"/>
      <c r="O427" s="5" t="n"/>
      <c r="P427" s="15" t="n">
        <v>0</v>
      </c>
      <c r="Q427" s="15" t="n">
        <v>0</v>
      </c>
      <c r="R427" s="5" t="inlineStr">
        <is>
          <t>127-2022-12-31</t>
        </is>
      </c>
    </row>
    <row r="428" hidden="1">
      <c r="A428" s="26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01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9" t="n">
        <v>0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n"/>
      <c r="O428" s="17" t="n"/>
      <c r="P428" s="15" t="n">
        <v>0</v>
      </c>
      <c r="Q428" s="15" t="n">
        <v>0</v>
      </c>
      <c r="R428" s="5" t="inlineStr">
        <is>
          <t>127-2023-12-31</t>
        </is>
      </c>
    </row>
    <row r="429" hidden="1">
      <c r="A429" s="21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01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0</v>
      </c>
      <c r="K429" s="10" t="n">
        <v>0</v>
      </c>
      <c r="L429" s="14">
        <f>IFERROR(IF(OR(J429=0,K429=""),"",IF(E429="Positivo",MIN(MAX(K429/J429,0),1.3),MIN(MAX(J429/K429,0),1.3))),"") </f>
        <v/>
      </c>
      <c r="M429" s="14">
        <f>IFERROR(IF(OR(J429=0,K429=""),"",IF(E429="Positivo",MAX(K429/J429,0),MAX(J429/K429,0))),"") </f>
        <v/>
      </c>
      <c r="N429" s="5" t="n"/>
      <c r="O429" s="5" t="n"/>
      <c r="P429" s="15" t="n">
        <v>0</v>
      </c>
      <c r="Q429" s="15" t="n">
        <v>0</v>
      </c>
      <c r="R429" s="5" t="inlineStr">
        <is>
          <t>127-2024-12-31</t>
        </is>
      </c>
    </row>
    <row r="430" hidden="1">
      <c r="A430" s="21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101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0</v>
      </c>
      <c r="K430" s="9" t="n">
        <v>0</v>
      </c>
      <c r="L430" s="14">
        <f>IFERROR(IF(OR(J430=0,K430=""),"",IF(E430="Positivo",MIN(MAX(K430/J430,0),1.3),MIN(MAX(J430/K430,0),1.3))),"") </f>
        <v/>
      </c>
      <c r="M430" s="14">
        <f>IFERROR(IF(OR(J430=0,K430=""),"",IF(E430="Positivo",MAX(K430/J430,0),MAX(J430/K430,0))),"") </f>
        <v/>
      </c>
      <c r="N430" s="5" t="inlineStr">
        <is>
          <t>ENT</t>
        </is>
      </c>
      <c r="O430" s="5" t="inlineStr">
        <is>
          <t>DEC</t>
        </is>
      </c>
      <c r="P430" s="15" t="n">
        <v>0</v>
      </c>
      <c r="Q430" s="15" t="n">
        <v>0</v>
      </c>
      <c r="R430" s="5" t="inlineStr">
        <is>
          <t>127-2025-12-31</t>
        </is>
      </c>
    </row>
    <row r="431" hidden="1">
      <c r="A431" s="5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0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103" t="n">
        <v>1</v>
      </c>
      <c r="K431" s="9" t="n">
        <v>0.55904961565339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5" t="n">
        <v>0</v>
      </c>
      <c r="Q431" s="5" t="n">
        <v>2</v>
      </c>
      <c r="R431" s="5" t="inlineStr">
        <is>
          <t>128-2022-01-31</t>
        </is>
      </c>
    </row>
    <row r="432" hidden="1">
      <c r="A432" s="5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0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103" t="n">
        <v>1</v>
      </c>
      <c r="K432" s="9" t="n">
        <v>0.93990216631726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5" t="n">
        <v>0</v>
      </c>
      <c r="Q432" s="5" t="n">
        <v>2</v>
      </c>
      <c r="R432" s="5" t="inlineStr">
        <is>
          <t>128-2022-02-28</t>
        </is>
      </c>
    </row>
    <row r="433" hidden="1">
      <c r="A433" s="28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1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76" t="n">
        <v>1</v>
      </c>
      <c r="K433" s="9" t="n">
        <v>0.67280262662145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128-2022-03-31</t>
        </is>
      </c>
    </row>
    <row r="434" hidden="1">
      <c r="A434" s="26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1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76" t="n">
        <v>1</v>
      </c>
      <c r="K434" s="9" t="n">
        <v>0.77818283791363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128-2022-04-30</t>
        </is>
      </c>
    </row>
    <row r="435" hidden="1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1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76" t="n">
        <v>1</v>
      </c>
      <c r="K435" s="9" t="n">
        <v>0.5412410428419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128-2022-05-31</t>
        </is>
      </c>
    </row>
    <row r="436" hidden="1">
      <c r="A436" s="21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1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73" t="n">
        <v>1</v>
      </c>
      <c r="K436" s="9" t="n">
        <v>0.8128834355828199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128-2022-06-30</t>
        </is>
      </c>
    </row>
    <row r="437" hidden="1">
      <c r="A437" s="5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0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11" t="n">
        <v>1</v>
      </c>
      <c r="K437" s="9" t="n">
        <v>1.1950826969832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5" t="n">
        <v>0</v>
      </c>
      <c r="Q437" s="5" t="n">
        <v>2</v>
      </c>
      <c r="R437" s="5" t="inlineStr">
        <is>
          <t>128-2022-07-31</t>
        </is>
      </c>
    </row>
    <row r="438" hidden="1">
      <c r="A438" s="5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0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11" t="n">
        <v>1</v>
      </c>
      <c r="K438" s="9" t="n">
        <v>0.85085933966531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5" t="n">
        <v>0</v>
      </c>
      <c r="Q438" s="5" t="n">
        <v>2</v>
      </c>
      <c r="R438" s="5" t="inlineStr">
        <is>
          <t>128-2022-08-31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0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9" t="n">
        <v>0.59967748437815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128-2022-09-30</t>
        </is>
      </c>
    </row>
    <row r="440" hidden="1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1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73" t="n">
        <v>1</v>
      </c>
      <c r="K440" s="9" t="n">
        <v>0.75110864745011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1</v>
      </c>
      <c r="R440" s="5" t="inlineStr">
        <is>
          <t>128-2022-10-31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0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5" t="n">
        <v>1</v>
      </c>
      <c r="K441" s="9" t="n">
        <v>0.917176209005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128-2022-11-30</t>
        </is>
      </c>
    </row>
    <row r="442" hidden="1">
      <c r="A442" s="21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1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10" t="n">
        <v>0.8000698242755701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128-2022-12-31</t>
        </is>
      </c>
    </row>
    <row r="443" hidden="1">
      <c r="A443" s="28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1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9" t="n">
        <v>1</v>
      </c>
      <c r="K443" s="9" t="n">
        <v>1.0928581372686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2</v>
      </c>
      <c r="R443" s="5" t="inlineStr">
        <is>
          <t>128-2023-01-31</t>
        </is>
      </c>
    </row>
    <row r="444" hidden="1">
      <c r="A444" s="28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1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73" t="n">
        <v>1</v>
      </c>
      <c r="K444" s="9" t="n">
        <v>0.9150865622423699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128-2023-02-28</t>
        </is>
      </c>
    </row>
    <row r="445" hidden="1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1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73" t="n">
        <v>1</v>
      </c>
      <c r="K445" s="9" t="n">
        <v>0.76441973592773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128-2023-03-31</t>
        </is>
      </c>
    </row>
    <row r="446" hidden="1">
      <c r="A446" s="28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1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5" t="n">
        <v>1</v>
      </c>
      <c r="K446" s="9" t="n">
        <v>1.0132293339451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128-2023-04-30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1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5" t="n">
        <v>1</v>
      </c>
      <c r="K447" s="10" t="n">
        <v>0.75808249721293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128-2023-05-31</t>
        </is>
      </c>
    </row>
    <row r="448" hidden="1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0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9" t="n">
        <v>1.1262282690854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128-2023-06-30</t>
        </is>
      </c>
    </row>
    <row r="449" hidden="1">
      <c r="A449" s="26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1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5" t="n">
        <v>1</v>
      </c>
      <c r="K449" s="9" t="n">
        <v>1.1748003549246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128-2023-07-31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1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10" t="n">
        <v>0.95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128-2023-08-31</t>
        </is>
      </c>
    </row>
    <row r="451" hidden="1">
      <c r="A451" s="28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1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9" t="n">
        <v>0.51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128-2023-09-30</t>
        </is>
      </c>
    </row>
    <row r="452" hidden="1">
      <c r="A452" s="26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1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5" t="n">
        <v>1</v>
      </c>
      <c r="K452" s="9" t="n">
        <v>0.5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1</v>
      </c>
      <c r="R452" s="5" t="inlineStr">
        <is>
          <t>128-2023-10-31</t>
        </is>
      </c>
    </row>
    <row r="453" hidden="1">
      <c r="A453" s="26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1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5" t="n">
        <v>1</v>
      </c>
      <c r="K453" s="11" t="n">
        <v>0.72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128-2023-11-30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1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1</v>
      </c>
      <c r="K454" s="11" t="n">
        <v>0.64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128-2023-12-31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1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9" t="n">
        <v>0.7046625690693488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128-2024-01-31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0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9" t="n">
        <v>0.8976964769647697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128-2024-02-29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1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9" t="n">
        <v>1.050740418118467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128-2024-03-31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1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9" t="n">
        <v>0.4018847006651884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128-2024-04-30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1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9" t="n">
        <v>0.5513098361279039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128-2024-05-31</t>
        </is>
      </c>
    </row>
    <row r="460" hidden="1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1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9" t="n">
        <v>0.3576864535768646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128-2024-06-30</t>
        </is>
      </c>
    </row>
    <row r="461" hidden="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1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9" t="n">
        <v>0.6497473204864774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128-2024-07-31</t>
        </is>
      </c>
    </row>
    <row r="462" hidden="1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1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9" t="n">
        <v>0.5116883116883117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128-2024-08-31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1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9" t="n">
        <v>0.697433774834437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128-2024-09-30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1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9" t="n">
        <v>0.6119240989557992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1</v>
      </c>
      <c r="R464" s="5" t="inlineStr">
        <is>
          <t>128-2024-10-31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1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9" t="n">
        <v>0.96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128-2024-11-30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1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9" t="n">
        <v>0.7769423558897243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128-2024-12-31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1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9" t="n">
        <v>0.86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DEC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128-2025-01-31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0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9" t="n">
        <v>0.99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DEC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128-2025-02-28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1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10" t="n">
        <v>0.96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DEC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128-2025-03-31</t>
        </is>
      </c>
    </row>
    <row r="470" hidden="1">
      <c r="A470" s="21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01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9" t="n">
        <v>0.9399999999999999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DEC</t>
        </is>
      </c>
      <c r="O470" s="5" t="inlineStr">
        <is>
          <t>DEC</t>
        </is>
      </c>
      <c r="P470" s="15" t="n">
        <v>0</v>
      </c>
      <c r="Q470" s="15" t="n">
        <v>2</v>
      </c>
      <c r="R470" s="5" t="inlineStr">
        <is>
          <t>128-2025-04-30</t>
        </is>
      </c>
    </row>
    <row r="471" hidden="1">
      <c r="A471" s="21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01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104" t="n">
        <v>0.88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DEC</t>
        </is>
      </c>
      <c r="O471" s="5" t="inlineStr">
        <is>
          <t>DEC</t>
        </is>
      </c>
      <c r="P471" s="15" t="n">
        <v>0</v>
      </c>
      <c r="Q471" s="15" t="n">
        <v>2</v>
      </c>
      <c r="R471" s="5" t="inlineStr">
        <is>
          <t>128-2025-05-31</t>
        </is>
      </c>
    </row>
    <row r="472" hidden="1">
      <c r="A472" s="21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01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104" t="n">
        <v>0.97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DEC</t>
        </is>
      </c>
      <c r="O472" s="5" t="inlineStr">
        <is>
          <t>DEC</t>
        </is>
      </c>
      <c r="P472" s="15" t="n">
        <v>0</v>
      </c>
      <c r="Q472" s="15" t="n">
        <v>2</v>
      </c>
      <c r="R472" s="5" t="inlineStr">
        <is>
          <t>128-2025-06-30</t>
        </is>
      </c>
    </row>
    <row r="473" hidden="1">
      <c r="A473" s="21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01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104" t="n">
        <v>0.98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DEC</t>
        </is>
      </c>
      <c r="O473" s="5" t="inlineStr">
        <is>
          <t>DEC</t>
        </is>
      </c>
      <c r="P473" s="15" t="n">
        <v>0</v>
      </c>
      <c r="Q473" s="15" t="n">
        <v>2</v>
      </c>
      <c r="R473" s="5" t="inlineStr">
        <is>
          <t>128-2025-07-31</t>
        </is>
      </c>
    </row>
    <row r="474" hidden="1">
      <c r="A474" s="21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01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104" t="n">
        <v>0.97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DEC</t>
        </is>
      </c>
      <c r="P474" s="15" t="n">
        <v>0</v>
      </c>
      <c r="Q474" s="15" t="n">
        <v>2</v>
      </c>
      <c r="R474" s="5" t="inlineStr">
        <is>
          <t>128-2025-08-31</t>
        </is>
      </c>
    </row>
    <row r="475" hidden="1">
      <c r="A475" s="21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01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104" t="n">
        <v>0.72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DEC</t>
        </is>
      </c>
      <c r="P475" s="15" t="n">
        <v>0</v>
      </c>
      <c r="Q475" s="15" t="n">
        <v>2</v>
      </c>
      <c r="R475" s="5" t="inlineStr">
        <is>
          <t>128-2025-09-30</t>
        </is>
      </c>
    </row>
    <row r="476" hidden="1">
      <c r="A476" s="21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01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104" t="n">
        <v>0.6899999999999999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DEC</t>
        </is>
      </c>
      <c r="P476" s="15" t="n">
        <v>0</v>
      </c>
      <c r="Q476" s="15" t="n">
        <v>2</v>
      </c>
      <c r="R476" s="5" t="inlineStr">
        <is>
          <t>128-2025-10-31</t>
        </is>
      </c>
    </row>
    <row r="477" hidden="1">
      <c r="A477" s="21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01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9" t="n">
        <v>0.95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ENT</t>
        </is>
      </c>
      <c r="O477" s="5" t="inlineStr">
        <is>
          <t>DEC</t>
        </is>
      </c>
      <c r="P477" s="15" t="n">
        <v>0</v>
      </c>
      <c r="Q477" s="15" t="n">
        <v>2</v>
      </c>
      <c r="R477" s="5" t="inlineStr">
        <is>
          <t>128-2025-11-30</t>
        </is>
      </c>
    </row>
    <row r="478" hidden="1">
      <c r="A478" s="21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01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9" t="n">
        <v>0.97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ENT</t>
        </is>
      </c>
      <c r="O478" s="5" t="inlineStr">
        <is>
          <t>DEC</t>
        </is>
      </c>
      <c r="P478" s="15" t="n">
        <v>0</v>
      </c>
      <c r="Q478" s="15" t="n">
        <v>2</v>
      </c>
      <c r="R478" s="5" t="inlineStr">
        <is>
          <t>128-2025-12-31</t>
        </is>
      </c>
    </row>
    <row r="479" hidden="1">
      <c r="A479" s="21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01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9" t="n">
        <v>0.6899999999999999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ENT</t>
        </is>
      </c>
      <c r="O479" s="5" t="inlineStr">
        <is>
          <t>DEC</t>
        </is>
      </c>
      <c r="P479" s="15" t="n">
        <v>0</v>
      </c>
      <c r="Q479" s="15" t="n">
        <v>2</v>
      </c>
      <c r="R479" s="5" t="inlineStr">
        <is>
          <t>128-2026-01-31</t>
        </is>
      </c>
      <c r="S479" t="inlineStr"/>
    </row>
    <row r="480" hidden="1">
      <c r="A480" s="21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101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0" t="n">
        <v>0.9399999999999999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ENT</t>
        </is>
      </c>
      <c r="O480" s="5" t="inlineStr">
        <is>
          <t>DEC</t>
        </is>
      </c>
      <c r="P480" s="15" t="n">
        <v>0</v>
      </c>
      <c r="Q480" s="15" t="n">
        <v>2</v>
      </c>
      <c r="R480" s="5" t="inlineStr">
        <is>
          <t>128-2026-02-28</t>
        </is>
      </c>
      <c r="S480" t="inlineStr"/>
    </row>
    <row r="481" hidden="1">
      <c r="A481" s="5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01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5" t="n">
        <v>90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133-2022-10-31</t>
        </is>
      </c>
    </row>
    <row r="482" hidden="1">
      <c r="A482" s="21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01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10" t="n">
        <v>93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15" t="n">
        <v>0</v>
      </c>
      <c r="Q482" s="15" t="n">
        <v>0</v>
      </c>
      <c r="R482" s="5" t="inlineStr">
        <is>
          <t>133-2023-10-31</t>
        </is>
      </c>
    </row>
    <row r="483" hidden="1">
      <c r="A483" s="21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01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10" t="n">
        <v>92.78911564625851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15" t="n">
        <v>0</v>
      </c>
      <c r="Q483" s="15" t="n">
        <v>0</v>
      </c>
      <c r="R483" s="5" t="inlineStr">
        <is>
          <t>133-2023-12-31</t>
        </is>
      </c>
    </row>
    <row r="484" hidden="1">
      <c r="A484" s="21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01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104" t="n">
        <v>91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15" t="n">
        <v>0</v>
      </c>
      <c r="Q484" s="15" t="n">
        <v>0</v>
      </c>
      <c r="R484" s="5" t="inlineStr">
        <is>
          <t>133-2024-10-31</t>
        </is>
      </c>
    </row>
    <row r="485" hidden="1">
      <c r="A485" s="21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00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104" t="n">
        <v>91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15" t="n">
        <v>0</v>
      </c>
      <c r="Q485" s="15" t="n">
        <v>0</v>
      </c>
      <c r="R485" s="5" t="inlineStr">
        <is>
          <t>133-2024-12-31</t>
        </is>
      </c>
    </row>
    <row r="486" hidden="1">
      <c r="A486" s="21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101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104" t="n">
        <v>96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15" t="n">
        <v>0</v>
      </c>
      <c r="Q486" s="15" t="n">
        <v>0</v>
      </c>
      <c r="R486" s="5" t="inlineStr">
        <is>
          <t>133-2025-10-31</t>
        </is>
      </c>
    </row>
    <row r="487" hidden="1">
      <c r="A487" s="21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01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104" t="n">
        <v>105.56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15" t="n">
        <v>0</v>
      </c>
      <c r="Q487" s="15" t="n">
        <v>0</v>
      </c>
      <c r="R487" s="5" t="inlineStr">
        <is>
          <t>136-2023-06-30</t>
        </is>
      </c>
    </row>
    <row r="488" hidden="1">
      <c r="A488" s="21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101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104" t="n">
        <v>94.44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15" t="n">
        <v>0</v>
      </c>
      <c r="Q488" s="15" t="n">
        <v>0</v>
      </c>
      <c r="R488" s="5" t="inlineStr">
        <is>
          <t>136-2023-12-31</t>
        </is>
      </c>
    </row>
    <row r="489" hidden="1">
      <c r="A489" s="21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01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104" t="n">
        <v>87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15" t="n">
        <v>0</v>
      </c>
      <c r="Q489" s="15" t="n">
        <v>0</v>
      </c>
      <c r="R489" s="5" t="inlineStr">
        <is>
          <t>137-2023-03-31</t>
        </is>
      </c>
    </row>
    <row r="490" hidden="1">
      <c r="A490" s="21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01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104" t="n">
        <v>126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15" t="n">
        <v>0</v>
      </c>
      <c r="Q490" s="15" t="n">
        <v>0</v>
      </c>
      <c r="R490" s="5" t="inlineStr">
        <is>
          <t>137-2023-06-30</t>
        </is>
      </c>
    </row>
    <row r="491" hidden="1">
      <c r="A491" s="21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01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104" t="n">
        <v>138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15" t="n">
        <v>0</v>
      </c>
      <c r="Q491" s="15" t="n">
        <v>0</v>
      </c>
      <c r="R491" s="5" t="inlineStr">
        <is>
          <t>137-2023-09-30</t>
        </is>
      </c>
    </row>
    <row r="492" hidden="1">
      <c r="A492" s="21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101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104" t="n">
        <v>97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15" t="n">
        <v>0</v>
      </c>
      <c r="Q492" s="15" t="n">
        <v>0</v>
      </c>
      <c r="R492" s="5" t="inlineStr">
        <is>
          <t>137-2023-12-31</t>
        </is>
      </c>
    </row>
    <row r="493" hidden="1">
      <c r="A493" s="26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1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104" t="n">
        <v>60.66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139-2023-01-31</t>
        </is>
      </c>
    </row>
    <row r="494" hidden="1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1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104" t="n">
        <v>115.421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139-2023-02-28</t>
        </is>
      </c>
    </row>
    <row r="495" hidden="1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1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04" t="n">
        <v>167.493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139-2023-03-31</t>
        </is>
      </c>
    </row>
    <row r="496" hidden="1">
      <c r="A496" s="21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1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9" t="n">
        <v>251.406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139-2023-04-30</t>
        </is>
      </c>
    </row>
    <row r="497" hidden="1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1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10" t="n">
        <v>329.68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139-2023-05-31</t>
        </is>
      </c>
    </row>
    <row r="498" hidden="1">
      <c r="A498" s="21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1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9" t="n">
        <v>410.077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5" t="n">
        <v>2</v>
      </c>
      <c r="Q498" s="15" t="n">
        <v>2</v>
      </c>
      <c r="R498" s="5" t="inlineStr">
        <is>
          <t>139-2023-06-30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1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9" t="n">
        <v>491.44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139-2023-07-31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1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9" t="n">
        <v>579.8339999999999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139-2023-08-31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1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9" t="n">
        <v>654.855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139-2023-09-30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1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9" t="n">
        <v>743.862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139-2023-10-31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1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9" t="n">
        <v>840.422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139-2023-11-30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1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9" t="n">
        <v>964.284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139-2023-12-31</t>
        </is>
      </c>
    </row>
    <row r="505" hidden="1">
      <c r="A505" s="26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1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9" t="n">
        <v>79.446462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139-2024-01-31</t>
        </is>
      </c>
    </row>
    <row r="506" hidden="1">
      <c r="A506" s="26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01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9" t="n">
        <v>168.893529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$</t>
        </is>
      </c>
      <c r="O506" s="5" t="inlineStr">
        <is>
          <t>$</t>
        </is>
      </c>
      <c r="P506" s="15" t="n">
        <v>2</v>
      </c>
      <c r="Q506" s="15" t="n">
        <v>2</v>
      </c>
      <c r="R506" s="5" t="inlineStr">
        <is>
          <t>139-2024-02-29</t>
        </is>
      </c>
    </row>
    <row r="507" hidden="1">
      <c r="A507" s="26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01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9" t="n">
        <v>224.836963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$</t>
        </is>
      </c>
      <c r="O507" s="5" t="inlineStr">
        <is>
          <t>$</t>
        </is>
      </c>
      <c r="P507" s="15" t="n">
        <v>2</v>
      </c>
      <c r="Q507" s="15" t="n">
        <v>2</v>
      </c>
      <c r="R507" s="5" t="inlineStr">
        <is>
          <t>139-2024-03-31</t>
        </is>
      </c>
    </row>
    <row r="508" hidden="1">
      <c r="A508" s="21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00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9" t="n">
        <v>311.054847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$</t>
        </is>
      </c>
      <c r="O508" s="5" t="inlineStr">
        <is>
          <t>$</t>
        </is>
      </c>
      <c r="P508" s="15" t="n">
        <v>2</v>
      </c>
      <c r="Q508" s="15" t="n">
        <v>2</v>
      </c>
      <c r="R508" s="5" t="inlineStr">
        <is>
          <t>139-2024-04-30</t>
        </is>
      </c>
    </row>
    <row r="509" hidden="1">
      <c r="A509" s="5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01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5" t="n">
        <v>391.4132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$</t>
        </is>
      </c>
      <c r="O509" s="5" t="inlineStr">
        <is>
          <t>$</t>
        </is>
      </c>
      <c r="P509" s="5" t="n">
        <v>2</v>
      </c>
      <c r="Q509" s="5" t="n">
        <v>2</v>
      </c>
      <c r="R509" s="5" t="inlineStr">
        <is>
          <t>139-2024-05-31</t>
        </is>
      </c>
    </row>
    <row r="510" hidden="1">
      <c r="A510" s="21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01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10" t="n">
        <v>470.811775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$</t>
        </is>
      </c>
      <c r="O510" s="5" t="inlineStr">
        <is>
          <t>$</t>
        </is>
      </c>
      <c r="P510" s="15" t="n">
        <v>2</v>
      </c>
      <c r="Q510" s="15" t="n">
        <v>2</v>
      </c>
      <c r="R510" s="5" t="inlineStr">
        <is>
          <t>139-2024-06-30</t>
        </is>
      </c>
    </row>
    <row r="511" hidden="1">
      <c r="A511" s="21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01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10" t="n">
        <v>569.495364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$</t>
        </is>
      </c>
      <c r="O511" s="5" t="inlineStr">
        <is>
          <t>$</t>
        </is>
      </c>
      <c r="P511" s="15" t="n">
        <v>2</v>
      </c>
      <c r="Q511" s="15" t="n">
        <v>2</v>
      </c>
      <c r="R511" s="5" t="inlineStr">
        <is>
          <t>139-2024-07-31</t>
        </is>
      </c>
    </row>
    <row r="512" hidden="1">
      <c r="A512" s="21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01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9" t="n">
        <v>656.461442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$</t>
        </is>
      </c>
      <c r="O512" s="5" t="inlineStr">
        <is>
          <t>$</t>
        </is>
      </c>
      <c r="P512" s="15" t="n">
        <v>2</v>
      </c>
      <c r="Q512" s="15" t="n">
        <v>2</v>
      </c>
      <c r="R512" s="5" t="inlineStr">
        <is>
          <t>139-2024-08-31</t>
        </is>
      </c>
    </row>
    <row r="513" hidden="1">
      <c r="A513" s="21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00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9" t="n">
        <v>737.626948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$</t>
        </is>
      </c>
      <c r="O513" s="5" t="inlineStr">
        <is>
          <t>$</t>
        </is>
      </c>
      <c r="P513" s="15" t="n">
        <v>2</v>
      </c>
      <c r="Q513" s="15" t="n">
        <v>2</v>
      </c>
      <c r="R513" s="5" t="inlineStr">
        <is>
          <t>139-2024-09-30</t>
        </is>
      </c>
    </row>
    <row r="514" hidden="1">
      <c r="A514" s="21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01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9" t="n">
        <v>1039.535584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$</t>
        </is>
      </c>
      <c r="O514" s="5" t="inlineStr">
        <is>
          <t>$</t>
        </is>
      </c>
      <c r="P514" s="15" t="n">
        <v>2</v>
      </c>
      <c r="Q514" s="15" t="n">
        <v>2</v>
      </c>
      <c r="R514" s="5" t="inlineStr">
        <is>
          <t>139-2024-10-31</t>
        </is>
      </c>
    </row>
    <row r="515" hidden="1">
      <c r="A515" s="21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01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9" t="n">
        <v>1136.282148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$</t>
        </is>
      </c>
      <c r="O515" s="5" t="inlineStr">
        <is>
          <t>$</t>
        </is>
      </c>
      <c r="P515" s="15" t="n">
        <v>2</v>
      </c>
      <c r="Q515" s="15" t="n">
        <v>2</v>
      </c>
      <c r="R515" s="5" t="inlineStr">
        <is>
          <t>139-2024-11-30</t>
        </is>
      </c>
    </row>
    <row r="516" hidden="1">
      <c r="A516" s="21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101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9" t="n">
        <v>1214.751881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$</t>
        </is>
      </c>
      <c r="O516" s="5" t="inlineStr">
        <is>
          <t>$</t>
        </is>
      </c>
      <c r="P516" s="15" t="n">
        <v>2</v>
      </c>
      <c r="Q516" s="15" t="n">
        <v>2</v>
      </c>
      <c r="R516" s="5" t="inlineStr">
        <is>
          <t>139-2024-12-31</t>
        </is>
      </c>
    </row>
    <row r="517" hidden="1">
      <c r="A517" s="21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01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9" t="n">
        <v>147</v>
      </c>
      <c r="L517" s="14" t="n"/>
      <c r="M517" s="14" t="n"/>
      <c r="N517" s="5" t="inlineStr">
        <is>
          <t>Metrica</t>
        </is>
      </c>
      <c r="O517" s="5" t="n"/>
      <c r="P517" s="15" t="n">
        <v>0</v>
      </c>
      <c r="Q517" s="15" t="n">
        <v>0</v>
      </c>
      <c r="R517" s="5" t="inlineStr">
        <is>
          <t>143-2022-06-30</t>
        </is>
      </c>
      <c r="S517" t="inlineStr">
        <is>
          <t>Metrica</t>
        </is>
      </c>
    </row>
    <row r="518" hidden="1">
      <c r="A518" s="21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101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9" t="n">
        <v>158</v>
      </c>
      <c r="L518" s="14" t="n"/>
      <c r="M518" s="14" t="n"/>
      <c r="N518" s="5" t="inlineStr">
        <is>
          <t>Metrica</t>
        </is>
      </c>
      <c r="O518" s="5" t="n"/>
      <c r="P518" s="15" t="n">
        <v>0</v>
      </c>
      <c r="Q518" s="15" t="n">
        <v>0</v>
      </c>
      <c r="R518" s="5" t="inlineStr">
        <is>
          <t>143-2022-12-31</t>
        </is>
      </c>
      <c r="S518" t="inlineStr">
        <is>
          <t>Metrica</t>
        </is>
      </c>
    </row>
    <row r="519" hidden="1">
      <c r="A519" s="21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01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9" t="n">
        <v>146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inlineStr">
        <is>
          <t>ENT</t>
        </is>
      </c>
      <c r="P519" s="15" t="n">
        <v>0</v>
      </c>
      <c r="Q519" s="15" t="n">
        <v>0</v>
      </c>
      <c r="R519" s="5" t="inlineStr">
        <is>
          <t>143-2023-06-30</t>
        </is>
      </c>
    </row>
    <row r="520" hidden="1">
      <c r="A520" s="21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01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9" t="n">
        <v>146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inlineStr">
        <is>
          <t>ENT</t>
        </is>
      </c>
      <c r="P520" s="15" t="n">
        <v>0</v>
      </c>
      <c r="Q520" s="15" t="n">
        <v>0</v>
      </c>
      <c r="R520" s="5" t="inlineStr">
        <is>
          <t>143-2023-12-31</t>
        </is>
      </c>
    </row>
    <row r="521" hidden="1">
      <c r="A521" s="26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01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9" t="n">
        <v>112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inlineStr">
        <is>
          <t>ENT</t>
        </is>
      </c>
      <c r="P521" s="15" t="n">
        <v>0</v>
      </c>
      <c r="Q521" s="15" t="n">
        <v>0</v>
      </c>
      <c r="R521" s="5" t="inlineStr">
        <is>
          <t>143-2024-06-30</t>
        </is>
      </c>
    </row>
    <row r="522" hidden="1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01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9" t="n">
        <v>135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inlineStr">
        <is>
          <t>ENT</t>
        </is>
      </c>
      <c r="P522" s="15" t="n">
        <v>0</v>
      </c>
      <c r="Q522" s="15" t="n">
        <v>0</v>
      </c>
      <c r="R522" s="5" t="inlineStr">
        <is>
          <t>143-2024-12-31</t>
        </is>
      </c>
    </row>
    <row r="523" hidden="1">
      <c r="A523" s="26" t="n">
        <v>143</v>
      </c>
      <c r="B523" s="5" t="inlineStr">
        <is>
          <t>Proyectos de investigación e innovación</t>
        </is>
      </c>
      <c r="C523" s="5" t="inlineStr">
        <is>
          <t>Investigación, desarrollo tecnológico, innovación y creación</t>
        </is>
      </c>
      <c r="D523" s="5" t="inlineStr">
        <is>
          <t>Semestral</t>
        </is>
      </c>
      <c r="E523" s="5" t="inlineStr">
        <is>
          <t>Positivo</t>
        </is>
      </c>
      <c r="F523" s="101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9" t="n">
        <v>159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n"/>
      <c r="O523" s="5" t="inlineStr">
        <is>
          <t>ENT</t>
        </is>
      </c>
      <c r="P523" s="15" t="n">
        <v>0</v>
      </c>
      <c r="Q523" s="15" t="n">
        <v>0</v>
      </c>
      <c r="R523" s="5" t="inlineStr">
        <is>
          <t>143-2025-06-30</t>
        </is>
      </c>
    </row>
    <row r="524" hidden="1">
      <c r="A524" s="21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101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9" t="n">
        <v>191</v>
      </c>
      <c r="L524" s="14" t="n"/>
      <c r="M524" s="14" t="n"/>
      <c r="N524" s="5" t="inlineStr">
        <is>
          <t>Metrica</t>
        </is>
      </c>
      <c r="O524" s="5" t="n"/>
      <c r="P524" s="15" t="n">
        <v>0</v>
      </c>
      <c r="Q524" s="15" t="n">
        <v>0</v>
      </c>
      <c r="R524" s="5" t="inlineStr">
        <is>
          <t>143-2025-12-31</t>
        </is>
      </c>
      <c r="S524" t="inlineStr">
        <is>
          <t>Metrica</t>
        </is>
      </c>
    </row>
    <row r="525" hidden="1">
      <c r="A525" s="21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01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5" t="n">
        <v>3.2169811320755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5" t="n">
        <v>2</v>
      </c>
      <c r="Q525" s="15" t="n">
        <v>2</v>
      </c>
      <c r="R525" s="5" t="inlineStr">
        <is>
          <t>144-2022-06-30</t>
        </is>
      </c>
    </row>
    <row r="526" hidden="1">
      <c r="A526" s="21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01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5" t="n">
        <v>3.55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5" t="n">
        <v>2</v>
      </c>
      <c r="Q526" s="15" t="n">
        <v>2</v>
      </c>
      <c r="R526" s="5" t="inlineStr">
        <is>
          <t>144-2022-12-31</t>
        </is>
      </c>
    </row>
    <row r="527" hidden="1">
      <c r="A527" s="21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01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9" t="n">
        <v>4.83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>
        <v>0</v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144-2023-12-31</t>
        </is>
      </c>
    </row>
    <row r="528" hidden="1">
      <c r="A528" s="21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01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5" t="n">
        <v>4.6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n"/>
      <c r="O528" s="5" t="n"/>
      <c r="P528" s="15" t="n">
        <v>0</v>
      </c>
      <c r="Q528" s="15" t="n">
        <v>0</v>
      </c>
      <c r="R528" s="5" t="inlineStr">
        <is>
          <t>144-2024-12-31</t>
        </is>
      </c>
    </row>
    <row r="529" hidden="1">
      <c r="A529" s="21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101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5" t="n">
        <v>1.95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DEC</t>
        </is>
      </c>
      <c r="P529" s="15" t="n">
        <v>2</v>
      </c>
      <c r="Q529" s="15" t="n">
        <v>2</v>
      </c>
      <c r="R529" s="5" t="inlineStr">
        <is>
          <t>144-2025-12-31</t>
        </is>
      </c>
    </row>
    <row r="530" hidden="1">
      <c r="A530" s="21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01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5" t="n">
        <v>2.1186440677966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DEC</t>
        </is>
      </c>
      <c r="P530" s="15" t="n">
        <v>0</v>
      </c>
      <c r="Q530" s="15" t="n">
        <v>2</v>
      </c>
      <c r="R530" s="5" t="inlineStr">
        <is>
          <t>145-2022-06-30</t>
        </is>
      </c>
    </row>
    <row r="531" hidden="1">
      <c r="A531" s="21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101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5" t="n">
        <v>2.1186440677966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DEC</t>
        </is>
      </c>
      <c r="P531" s="15" t="n">
        <v>0</v>
      </c>
      <c r="Q531" s="15" t="n">
        <v>2</v>
      </c>
      <c r="R531" s="5" t="inlineStr">
        <is>
          <t>145-2022-12-31</t>
        </is>
      </c>
    </row>
    <row r="532" hidden="1">
      <c r="A532" s="21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01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5" t="n">
        <v>2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DEC</t>
        </is>
      </c>
      <c r="P532" s="15" t="n">
        <v>0</v>
      </c>
      <c r="Q532" s="15" t="n">
        <v>0</v>
      </c>
      <c r="R532" s="5" t="inlineStr">
        <is>
          <t>145-2023-06-30</t>
        </is>
      </c>
    </row>
    <row r="533" hidden="1">
      <c r="A533" s="26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01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5" t="n">
        <v>2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DEC</t>
        </is>
      </c>
      <c r="P533" s="15" t="n">
        <v>0</v>
      </c>
      <c r="Q533" s="15" t="n">
        <v>0</v>
      </c>
      <c r="R533" s="5" t="inlineStr">
        <is>
          <t>145-2023-12-31</t>
        </is>
      </c>
    </row>
    <row r="534" hidden="1">
      <c r="A534" s="26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01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5" t="n">
        <v>1.97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DEC</t>
        </is>
      </c>
      <c r="P534" s="15" t="n">
        <v>0</v>
      </c>
      <c r="Q534" s="15" t="n">
        <v>2</v>
      </c>
      <c r="R534" s="5" t="inlineStr">
        <is>
          <t>145-2024-06-30</t>
        </is>
      </c>
    </row>
    <row r="535" hidden="1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01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5" t="n">
        <v>1.94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DEC</t>
        </is>
      </c>
      <c r="P535" s="15" t="n">
        <v>0</v>
      </c>
      <c r="Q535" s="15" t="n">
        <v>2</v>
      </c>
      <c r="R535" s="5" t="inlineStr">
        <is>
          <t>145-2024-12-31</t>
        </is>
      </c>
    </row>
    <row r="536" hidden="1">
      <c r="A536" s="21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Semestral</t>
        </is>
      </c>
      <c r="E536" s="5" t="inlineStr">
        <is>
          <t>Positivo</t>
        </is>
      </c>
      <c r="F536" s="101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9" t="n">
        <v>1.74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DEC</t>
        </is>
      </c>
      <c r="P536" s="15" t="n">
        <v>0</v>
      </c>
      <c r="Q536" s="15" t="n">
        <v>2</v>
      </c>
      <c r="R536" s="5" t="inlineStr">
        <is>
          <t>145-2025-06-30</t>
        </is>
      </c>
    </row>
    <row r="537" hidden="1">
      <c r="A537" s="21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100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9" t="n">
        <v>1.62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DEC</t>
        </is>
      </c>
      <c r="P537" s="15" t="n">
        <v>0</v>
      </c>
      <c r="Q537" s="15" t="n">
        <v>2</v>
      </c>
      <c r="R537" s="5" t="inlineStr">
        <is>
          <t>145-2025-12-31</t>
        </is>
      </c>
    </row>
    <row r="538" hidden="1">
      <c r="A538" s="21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01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9" t="n">
        <v>100.43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146-2022-06-30</t>
        </is>
      </c>
    </row>
    <row r="539" hidden="1">
      <c r="A539" s="21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101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9" t="n">
        <v>121.74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15" t="n">
        <v>0</v>
      </c>
      <c r="Q539" s="15" t="n">
        <v>0</v>
      </c>
      <c r="R539" s="5" t="inlineStr">
        <is>
          <t>146-2022-12-31</t>
        </is>
      </c>
    </row>
    <row r="540" hidden="1">
      <c r="A540" s="21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01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9" t="n">
        <v>120.87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15" t="n">
        <v>0</v>
      </c>
      <c r="Q540" s="15" t="n">
        <v>0</v>
      </c>
      <c r="R540" s="5" t="inlineStr">
        <is>
          <t>146-2023-06-30</t>
        </is>
      </c>
    </row>
    <row r="541" hidden="1">
      <c r="A541" s="21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01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9" t="n">
        <v>148.7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15" t="n">
        <v>0</v>
      </c>
      <c r="Q541" s="15" t="n">
        <v>0</v>
      </c>
      <c r="R541" s="5" t="inlineStr">
        <is>
          <t>146-2023-12-31</t>
        </is>
      </c>
    </row>
    <row r="542" hidden="1">
      <c r="A542" s="21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01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9" t="n">
        <v>113.61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15" t="n">
        <v>0</v>
      </c>
      <c r="Q542" s="15" t="n">
        <v>0</v>
      </c>
      <c r="R542" s="5" t="inlineStr">
        <is>
          <t>146-2024-06-30</t>
        </is>
      </c>
    </row>
    <row r="543" hidden="1">
      <c r="A543" s="21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01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9" t="n">
        <v>116.67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15" t="n">
        <v>0</v>
      </c>
      <c r="Q543" s="15" t="n">
        <v>0</v>
      </c>
      <c r="R543" s="5" t="inlineStr">
        <is>
          <t>146-2024-12-31</t>
        </is>
      </c>
    </row>
    <row r="544" hidden="1">
      <c r="A544" s="21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Semestral</t>
        </is>
      </c>
      <c r="E544" s="5" t="inlineStr">
        <is>
          <t>Positivo</t>
        </is>
      </c>
      <c r="F544" s="101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9" t="n">
        <v>107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15" t="n">
        <v>0</v>
      </c>
      <c r="Q544" s="15" t="n">
        <v>0</v>
      </c>
      <c r="R544" s="5" t="inlineStr">
        <is>
          <t>146-2025-06-30</t>
        </is>
      </c>
    </row>
    <row r="545" hidden="1">
      <c r="A545" s="26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101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9" t="n">
        <v>133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15" t="n">
        <v>0</v>
      </c>
      <c r="Q545" s="15" t="n">
        <v>0</v>
      </c>
      <c r="R545" s="5" t="inlineStr">
        <is>
          <t>146-2025-12-31</t>
        </is>
      </c>
    </row>
    <row r="546" hidden="1">
      <c r="A546" s="26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01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9" t="n">
        <v>11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15" t="n">
        <v>0</v>
      </c>
      <c r="Q546" s="15" t="n">
        <v>0</v>
      </c>
      <c r="R546" s="5" t="inlineStr">
        <is>
          <t>147-2022-12-31</t>
        </is>
      </c>
    </row>
    <row r="547" hidden="1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01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9" t="n">
        <v>12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15" t="n">
        <v>0</v>
      </c>
      <c r="Q547" s="15" t="n">
        <v>0</v>
      </c>
      <c r="R547" s="5" t="inlineStr">
        <is>
          <t>147-2023-12-31</t>
        </is>
      </c>
    </row>
    <row r="548" hidden="1">
      <c r="A548" s="21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1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9" t="n">
        <v>12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n"/>
      <c r="O548" s="5" t="n"/>
      <c r="P548" s="15" t="n">
        <v>0</v>
      </c>
      <c r="Q548" s="15" t="n">
        <v>0</v>
      </c>
      <c r="R548" s="5" t="inlineStr">
        <is>
          <t>147-2024-12-31</t>
        </is>
      </c>
    </row>
    <row r="549" hidden="1">
      <c r="A549" s="21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101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9" t="n">
        <v>16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15" t="n">
        <v>0</v>
      </c>
      <c r="Q549" s="15" t="n">
        <v>0</v>
      </c>
      <c r="R549" s="5" t="inlineStr">
        <is>
          <t>147-2025-12-31</t>
        </is>
      </c>
    </row>
    <row r="550" hidden="1">
      <c r="A550" s="21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101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9" t="n">
        <v>1.56749025217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1</v>
      </c>
      <c r="R550" s="5" t="inlineStr">
        <is>
          <t>148-2022-06-30</t>
        </is>
      </c>
    </row>
    <row r="551" hidden="1">
      <c r="A551" s="21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01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9" t="n">
        <v>3.0897703549061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5" t="n">
        <v>0</v>
      </c>
      <c r="Q551" s="15" t="n">
        <v>1</v>
      </c>
      <c r="R551" s="5" t="inlineStr">
        <is>
          <t>148-2022-12-31</t>
        </is>
      </c>
    </row>
    <row r="552" hidden="1">
      <c r="A552" s="21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01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9" t="n">
        <v>4.11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5" t="n">
        <v>2</v>
      </c>
      <c r="Q552" s="15" t="n">
        <v>1</v>
      </c>
      <c r="R552" s="5" t="inlineStr">
        <is>
          <t>148-2023-06-30</t>
        </is>
      </c>
    </row>
    <row r="553" hidden="1">
      <c r="A553" s="21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01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9" t="n">
        <v>5.71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1</v>
      </c>
      <c r="R553" s="5" t="inlineStr">
        <is>
          <t>148-2023-12-31</t>
        </is>
      </c>
    </row>
    <row r="554" hidden="1">
      <c r="A554" s="21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01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9" t="n">
        <v>4.3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5" t="n">
        <v>0</v>
      </c>
      <c r="Q554" s="15" t="n">
        <v>1</v>
      </c>
      <c r="R554" s="5" t="inlineStr">
        <is>
          <t>148-2024-06-30</t>
        </is>
      </c>
    </row>
    <row r="555" hidden="1">
      <c r="A555" s="21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01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9" t="n">
        <v>6.3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15" t="n">
        <v>0</v>
      </c>
      <c r="Q555" s="15" t="n">
        <v>1</v>
      </c>
      <c r="R555" s="5" t="inlineStr">
        <is>
          <t>148-2024-12-31</t>
        </is>
      </c>
    </row>
    <row r="556" hidden="1">
      <c r="A556" s="21" t="n">
        <v>148</v>
      </c>
      <c r="B556" s="5" t="inlineStr">
        <is>
          <t>% 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Semestral</t>
        </is>
      </c>
      <c r="E556" s="5" t="inlineStr">
        <is>
          <t>Positivo</t>
        </is>
      </c>
      <c r="F556" s="101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9" t="n">
        <v>4.08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15" t="n">
        <v>0</v>
      </c>
      <c r="Q556" s="15" t="n">
        <v>1</v>
      </c>
      <c r="R556" s="5" t="inlineStr">
        <is>
          <t>148-2025-06-30</t>
        </is>
      </c>
    </row>
    <row r="557" hidden="1">
      <c r="A557" s="26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101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9" t="n">
        <v>6.78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15" t="n">
        <v>0</v>
      </c>
      <c r="Q557" s="15" t="n">
        <v>1</v>
      </c>
      <c r="R557" s="5" t="inlineStr">
        <is>
          <t>148-2025-12-31</t>
        </is>
      </c>
    </row>
    <row r="558" hidden="1">
      <c r="A558" s="26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101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9" t="n">
        <v>80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150-2022-10-31</t>
        </is>
      </c>
    </row>
    <row r="559" hidden="1">
      <c r="A559" s="26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101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9" t="n">
        <v>94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150-2023-10-31</t>
        </is>
      </c>
    </row>
    <row r="560" hidden="1">
      <c r="A560" s="21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100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9" t="n">
        <v>84.34350070811109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15" t="n">
        <v>0</v>
      </c>
      <c r="Q560" s="15" t="n">
        <v>0</v>
      </c>
      <c r="R560" s="5" t="inlineStr">
        <is>
          <t>150-2023-12-31</t>
        </is>
      </c>
    </row>
    <row r="561" hidden="1">
      <c r="A561" s="26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101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9" t="n">
        <v>89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150-2024-10-31</t>
        </is>
      </c>
    </row>
    <row r="562" hidden="1">
      <c r="A562" s="5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01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5" t="n">
        <v>83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151-2022-10-31</t>
        </is>
      </c>
    </row>
    <row r="563" hidden="1">
      <c r="A563" s="21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01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10" t="n">
        <v>90.37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151-2023-10-31</t>
        </is>
      </c>
    </row>
    <row r="564" hidden="1">
      <c r="A564" s="21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00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9" t="n">
        <v>80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151-2024-10-31</t>
        </is>
      </c>
    </row>
    <row r="565" hidden="1">
      <c r="A565" s="5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101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5" t="n">
        <v>95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151-2025-10-31</t>
        </is>
      </c>
    </row>
    <row r="566" hidden="1">
      <c r="A566" s="21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01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10" t="n">
        <v>4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No Aplica</t>
        </is>
      </c>
      <c r="O566" s="5" t="inlineStr">
        <is>
          <t>No Aplica</t>
        </is>
      </c>
      <c r="P566" s="15" t="n">
        <v>0</v>
      </c>
      <c r="Q566" s="15" t="n">
        <v>0</v>
      </c>
      <c r="R566" s="5" t="inlineStr">
        <is>
          <t>157-2023-06-30</t>
        </is>
      </c>
    </row>
    <row r="567" hidden="1">
      <c r="A567" s="21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01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0" t="n">
        <v>7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No Aplica</t>
        </is>
      </c>
      <c r="O567" s="5" t="inlineStr">
        <is>
          <t>No Aplica</t>
        </is>
      </c>
      <c r="P567" s="15" t="n">
        <v>0</v>
      </c>
      <c r="Q567" s="15" t="n">
        <v>0</v>
      </c>
      <c r="R567" s="5" t="inlineStr">
        <is>
          <t>157-2023-12-31</t>
        </is>
      </c>
    </row>
    <row r="568" hidden="1">
      <c r="A568" s="5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101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5" t="n">
        <v>125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n"/>
      <c r="O568" s="5" t="n"/>
      <c r="P568" s="5" t="n">
        <v>0</v>
      </c>
      <c r="Q568" s="5" t="n">
        <v>0</v>
      </c>
      <c r="R568" s="5" t="inlineStr">
        <is>
          <t>157-2024-12-31</t>
        </is>
      </c>
    </row>
    <row r="569" hidden="1">
      <c r="A569" s="21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01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10" t="n">
        <v>0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0</v>
      </c>
      <c r="R569" s="5" t="inlineStr">
        <is>
          <t>159-2022-06-30</t>
        </is>
      </c>
    </row>
    <row r="570" hidden="1">
      <c r="A570" s="21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101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0" t="n">
        <v>70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0</v>
      </c>
      <c r="R570" s="5" t="inlineStr">
        <is>
          <t>159-2022-12-31</t>
        </is>
      </c>
    </row>
    <row r="571" hidden="1">
      <c r="A571" s="5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01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5" t="n">
        <v>96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159-2023-06-30</t>
        </is>
      </c>
    </row>
    <row r="572" hidden="1">
      <c r="A572" s="21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01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10" t="n">
        <v>100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0</v>
      </c>
      <c r="R572" s="5" t="inlineStr">
        <is>
          <t>159-2023-12-31</t>
        </is>
      </c>
    </row>
    <row r="573" hidden="1">
      <c r="A573" s="21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01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9" t="n">
        <v>95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0</v>
      </c>
      <c r="R573" s="5" t="inlineStr">
        <is>
          <t>159-2024-06-30</t>
        </is>
      </c>
    </row>
    <row r="574" hidden="1">
      <c r="A574" s="21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00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9" t="n">
        <v>97.8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159-2024-12-31</t>
        </is>
      </c>
    </row>
    <row r="575" hidden="1">
      <c r="A575" s="21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Semestral</t>
        </is>
      </c>
      <c r="E575" s="5" t="inlineStr">
        <is>
          <t>Positivo</t>
        </is>
      </c>
      <c r="F575" s="101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9" t="n">
        <v>100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159-2025-06-30</t>
        </is>
      </c>
    </row>
    <row r="576" hidden="1">
      <c r="A576" s="21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101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9" t="n">
        <v>100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159-2025-12-31</t>
        </is>
      </c>
    </row>
    <row r="577" hidden="1">
      <c r="A577" s="21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01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9" t="n">
        <v>0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1</v>
      </c>
      <c r="R577" s="5" t="inlineStr">
        <is>
          <t>167-2022-03-31</t>
        </is>
      </c>
    </row>
    <row r="578" hidden="1">
      <c r="A578" s="21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01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9" t="n">
        <v>97.64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1</v>
      </c>
      <c r="R578" s="5" t="inlineStr">
        <is>
          <t>167-2022-06-30</t>
        </is>
      </c>
    </row>
    <row r="579" hidden="1">
      <c r="A579" s="21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101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9" t="n">
        <v>96.55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1</v>
      </c>
      <c r="R579" s="5" t="inlineStr">
        <is>
          <t>167-2022-12-31</t>
        </is>
      </c>
    </row>
    <row r="580" hidden="1">
      <c r="A580" s="21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01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9" t="n">
        <v>97.7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1</v>
      </c>
      <c r="R580" s="5" t="inlineStr">
        <is>
          <t>167-2023-06-30</t>
        </is>
      </c>
    </row>
    <row r="581" hidden="1">
      <c r="A581" s="21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01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9" t="n">
        <v>96.15000000000001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1</v>
      </c>
      <c r="R581" s="5" t="inlineStr">
        <is>
          <t>167-2023-12-31</t>
        </is>
      </c>
    </row>
    <row r="582" hidden="1">
      <c r="A582" s="26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01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9" t="n">
        <v>96.86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1</v>
      </c>
      <c r="R582" s="5" t="inlineStr">
        <is>
          <t>167-2024-06-30</t>
        </is>
      </c>
    </row>
    <row r="583" hidden="1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01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9" t="n">
        <v>96.8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1</v>
      </c>
      <c r="R583" s="5" t="inlineStr">
        <is>
          <t>167-2024-12-31</t>
        </is>
      </c>
    </row>
    <row r="584" hidden="1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01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9" t="n">
        <v>93.63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1</v>
      </c>
      <c r="R584" s="5" t="inlineStr">
        <is>
          <t>167-2025-06-30</t>
        </is>
      </c>
    </row>
    <row r="585" hidden="1">
      <c r="A585" s="21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101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9" t="n">
        <v>94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1</v>
      </c>
      <c r="R585" s="5" t="inlineStr">
        <is>
          <t>167-2025-12-31</t>
        </is>
      </c>
    </row>
    <row r="586" hidden="1">
      <c r="A586" s="21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1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10" t="n">
        <v>0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5" t="n">
        <v>0</v>
      </c>
      <c r="Q586" s="15" t="n">
        <v>0</v>
      </c>
      <c r="R586" s="5" t="inlineStr">
        <is>
          <t>172-2022-01-31</t>
        </is>
      </c>
    </row>
    <row r="587" hidden="1">
      <c r="A587" s="21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1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9" t="n">
        <v>0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5" t="n">
        <v>0</v>
      </c>
      <c r="Q587" s="15" t="n">
        <v>0</v>
      </c>
      <c r="R587" s="5" t="inlineStr">
        <is>
          <t>172-2022-02-28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1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9" t="n">
        <v>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172-2022-03-31</t>
        </is>
      </c>
    </row>
    <row r="589" hidden="1">
      <c r="A589" s="21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1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9" t="n">
        <v>0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172-2022-04-30</t>
        </is>
      </c>
    </row>
    <row r="590" hidden="1">
      <c r="A590" s="21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1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9" t="n">
        <v>0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5" t="n">
        <v>0</v>
      </c>
      <c r="Q590" s="15" t="n">
        <v>0</v>
      </c>
      <c r="R590" s="5" t="inlineStr">
        <is>
          <t>172-2022-05-31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1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9" t="n">
        <v>95.238095238095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172-2022-06-30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1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9" t="n">
        <v>95.652173913043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172-2022-07-31</t>
        </is>
      </c>
    </row>
    <row r="593" hidden="1">
      <c r="A593" s="21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1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9" t="n">
        <v>100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15" t="n">
        <v>0</v>
      </c>
      <c r="Q593" s="15" t="n">
        <v>0</v>
      </c>
      <c r="R593" s="5" t="inlineStr">
        <is>
          <t>172-2022-08-31</t>
        </is>
      </c>
    </row>
    <row r="594" hidden="1">
      <c r="A594" s="26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1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9" t="n">
        <v>100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172-2022-09-30</t>
        </is>
      </c>
    </row>
    <row r="595" hidden="1">
      <c r="A595" s="26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1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9" t="n">
        <v>96.385542168675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172-2022-10-31</t>
        </is>
      </c>
    </row>
    <row r="596" hidden="1">
      <c r="A596" s="26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1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9" t="n">
        <v>100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15" t="n">
        <v>0</v>
      </c>
      <c r="Q596" s="15" t="n">
        <v>0</v>
      </c>
      <c r="R596" s="5" t="inlineStr">
        <is>
          <t>172-2022-11-30</t>
        </is>
      </c>
    </row>
    <row r="597" hidden="1">
      <c r="A597" s="5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1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5" t="n">
        <v>100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172-2022-12-31</t>
        </is>
      </c>
    </row>
    <row r="598" hidden="1">
      <c r="A598" s="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1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5" t="n">
        <v>0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172-2023-01-31</t>
        </is>
      </c>
    </row>
    <row r="599" hidden="1">
      <c r="A599" s="21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1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10" t="n">
        <v>100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15" t="n">
        <v>0</v>
      </c>
      <c r="Q599" s="15" t="n">
        <v>0</v>
      </c>
      <c r="R599" s="5" t="inlineStr">
        <is>
          <t>172-2023-03-31</t>
        </is>
      </c>
    </row>
    <row r="600" hidden="1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1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5" t="n">
        <v>85.71428571428601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172-2023-04-30</t>
        </is>
      </c>
    </row>
    <row r="601" hidden="1">
      <c r="A601" s="5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1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5" t="n">
        <v>93.333333333333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172-2023-05-31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1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5" t="n">
        <v>91.666666666667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172-2023-06-30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0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9" t="n">
        <v>95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172-2023-07-31</t>
        </is>
      </c>
    </row>
    <row r="604" hidden="1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1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5" t="n">
        <v>91.67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172-2023-08-31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1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0" t="n">
        <v>96.67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172-2023-09-30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0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9" t="n">
        <v>93.18000000000001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15" t="n">
        <v>0</v>
      </c>
      <c r="Q606" s="15" t="n">
        <v>0</v>
      </c>
      <c r="R606" s="5" t="inlineStr">
        <is>
          <t>172-2023-10-31</t>
        </is>
      </c>
    </row>
    <row r="607" hidden="1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1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5" t="n">
        <v>97.92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172-2023-11-30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1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10" t="n">
        <v>100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172-2023-12-31</t>
        </is>
      </c>
    </row>
    <row r="609" hidden="1">
      <c r="A609" s="21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0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9" t="n">
        <v>0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15" t="n">
        <v>0</v>
      </c>
      <c r="Q609" s="15" t="n">
        <v>0</v>
      </c>
      <c r="R609" s="5" t="inlineStr">
        <is>
          <t>172-2024-01-31</t>
        </is>
      </c>
    </row>
    <row r="610" hidden="1">
      <c r="A610" s="5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1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5" t="n">
        <v>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172-2024-02-29</t>
        </is>
      </c>
    </row>
    <row r="611" hidden="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1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10" t="n">
        <v>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172-2024-03-31</t>
        </is>
      </c>
    </row>
    <row r="612" hidden="1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1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9" t="n">
        <v>90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172-2024-04-30</t>
        </is>
      </c>
    </row>
    <row r="613" hidden="1">
      <c r="A613" s="21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1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9" t="n">
        <v>83.33333333333334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172-2024-05-31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1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10" t="n">
        <v>87.5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172-2024-06-30</t>
        </is>
      </c>
    </row>
    <row r="615" hidden="1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1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5" t="n">
        <v>90.90909090909091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172-2024-07-31</t>
        </is>
      </c>
    </row>
    <row r="616" hidden="1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1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172-2024-08-31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1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9" t="n">
        <v>93.75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172-2024-09-30</t>
        </is>
      </c>
    </row>
    <row r="618" hidden="1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1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9" t="n">
        <v>94.11764705882352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172-2024-10-31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1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5" t="n">
        <v>0</v>
      </c>
      <c r="Q619" s="15" t="n">
        <v>0</v>
      </c>
      <c r="R619" s="5" t="inlineStr">
        <is>
          <t>172-2024-11-30</t>
        </is>
      </c>
    </row>
    <row r="620" hidden="1">
      <c r="A620" s="5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1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5" t="n">
        <v>97.36842105263158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172-2024-12-31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1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10" t="n">
        <v>80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15" t="n">
        <v>0</v>
      </c>
      <c r="Q621" s="15" t="n">
        <v>0</v>
      </c>
      <c r="R621" s="5" t="inlineStr">
        <is>
          <t>172-2025-01-31</t>
        </is>
      </c>
    </row>
    <row r="622" hidden="1">
      <c r="A622" s="21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01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9" t="n">
        <v>100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5" t="n">
        <v>0</v>
      </c>
      <c r="Q622" s="15" t="n">
        <v>0</v>
      </c>
      <c r="R622" s="5" t="inlineStr">
        <is>
          <t>172-2025-02-28</t>
        </is>
      </c>
    </row>
    <row r="623" hidden="1">
      <c r="A623" s="21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01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9" t="n">
        <v>83.33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5" t="n">
        <v>0</v>
      </c>
      <c r="Q623" s="15" t="n">
        <v>0</v>
      </c>
      <c r="R623" s="5" t="inlineStr">
        <is>
          <t>172-2025-03-31</t>
        </is>
      </c>
    </row>
    <row r="624" hidden="1">
      <c r="A624" s="28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1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9" t="n">
        <v>88.89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5" t="n">
        <v>0</v>
      </c>
      <c r="Q624" s="15" t="n">
        <v>0</v>
      </c>
      <c r="R624" s="5" t="inlineStr">
        <is>
          <t>172-2025-04-30</t>
        </is>
      </c>
    </row>
    <row r="625" hidden="1">
      <c r="A625" s="21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1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5" t="n">
        <v>0</v>
      </c>
      <c r="Q625" s="15" t="n">
        <v>0</v>
      </c>
      <c r="R625" s="5" t="inlineStr">
        <is>
          <t>172-2025-05-31</t>
        </is>
      </c>
    </row>
    <row r="626" hidden="1">
      <c r="A626" s="21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1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10" t="n">
        <v>81.81999999999999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15" t="n">
        <v>0</v>
      </c>
      <c r="Q626" s="15" t="n">
        <v>0</v>
      </c>
      <c r="R626" s="5" t="inlineStr">
        <is>
          <t>172-2025-06-30</t>
        </is>
      </c>
    </row>
    <row r="627" hidden="1">
      <c r="A627" s="21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1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10" t="n">
        <v>91.43000000000001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15" t="n">
        <v>0</v>
      </c>
      <c r="Q627" s="15" t="n">
        <v>0</v>
      </c>
      <c r="R627" s="5" t="inlineStr">
        <is>
          <t>172-2025-07-31</t>
        </is>
      </c>
    </row>
    <row r="628" hidden="1">
      <c r="A628" s="21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1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9" t="n">
        <v>86.36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172-2025-08-31</t>
        </is>
      </c>
    </row>
    <row r="629" hidden="1">
      <c r="A629" s="21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0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9" t="n">
        <v>89.8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172-2025-09-30</t>
        </is>
      </c>
    </row>
    <row r="630" hidden="1">
      <c r="A630" s="21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1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9" t="n">
        <v>98.20999999999999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172-2025-10-31</t>
        </is>
      </c>
    </row>
    <row r="631" hidden="1">
      <c r="A631" s="21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1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9" t="n">
        <v>96.77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172-2025-11-30</t>
        </is>
      </c>
    </row>
    <row r="632" hidden="1">
      <c r="A632" s="21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1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9" t="n">
        <v>98.44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172-2025-12-31</t>
        </is>
      </c>
    </row>
    <row r="633" hidden="1">
      <c r="A633" s="21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1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9" t="n">
        <v>0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11" t="inlineStr">
        <is>
          <t>%</t>
        </is>
      </c>
      <c r="P633" s="15" t="n">
        <v>0</v>
      </c>
      <c r="Q633" s="15" t="n">
        <v>0</v>
      </c>
      <c r="R633" s="5" t="inlineStr">
        <is>
          <t>172-2026-01-31</t>
        </is>
      </c>
      <c r="S633" t="inlineStr"/>
    </row>
    <row r="634" hidden="1">
      <c r="A634" s="21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1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9" t="n">
        <v>90.91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172-2026-02-28</t>
        </is>
      </c>
      <c r="S634" t="inlineStr"/>
    </row>
    <row r="635" hidden="1">
      <c r="A635" s="21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01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9" t="n">
        <v>100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174-2023-06-30</t>
        </is>
      </c>
    </row>
    <row r="636" hidden="1">
      <c r="A636" s="21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101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9" t="n">
        <v>100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174-2023-12-31</t>
        </is>
      </c>
    </row>
    <row r="637" hidden="1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1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9" t="n">
        <v>70.19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176-2023-04-30</t>
        </is>
      </c>
    </row>
    <row r="638" hidden="1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1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9" t="n">
        <v>91.53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176-2023-05-31</t>
        </is>
      </c>
    </row>
    <row r="639" hidden="1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1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9" t="n">
        <v>88.23999999999999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%</t>
        </is>
      </c>
      <c r="O639" s="11" t="inlineStr">
        <is>
          <t>%</t>
        </is>
      </c>
      <c r="P639" s="15" t="n">
        <v>0</v>
      </c>
      <c r="Q639" s="15" t="n">
        <v>0</v>
      </c>
      <c r="R639" s="5" t="inlineStr">
        <is>
          <t>176-2023-06-30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1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9" t="n">
        <v>70.67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%</t>
        </is>
      </c>
      <c r="O640" s="11" t="inlineStr">
        <is>
          <t>%</t>
        </is>
      </c>
      <c r="P640" s="15" t="n">
        <v>0</v>
      </c>
      <c r="Q640" s="15" t="n">
        <v>0</v>
      </c>
      <c r="R640" s="5" t="inlineStr">
        <is>
          <t>176-2023-07-31</t>
        </is>
      </c>
    </row>
    <row r="641" hidden="1">
      <c r="A641" s="21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1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10" t="n">
        <v>78.13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%</t>
        </is>
      </c>
      <c r="O641" s="11" t="inlineStr">
        <is>
          <t>%</t>
        </is>
      </c>
      <c r="P641" s="15" t="n">
        <v>0</v>
      </c>
      <c r="Q641" s="15" t="n">
        <v>0</v>
      </c>
      <c r="R641" s="5" t="inlineStr">
        <is>
          <t>176-2023-08-31</t>
        </is>
      </c>
    </row>
    <row r="642" hidden="1">
      <c r="A642" s="21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1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9" t="n">
        <v>92.73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11" t="inlineStr">
        <is>
          <t>%</t>
        </is>
      </c>
      <c r="P642" s="15" t="n">
        <v>0</v>
      </c>
      <c r="Q642" s="15" t="n">
        <v>0</v>
      </c>
      <c r="R642" s="5" t="inlineStr">
        <is>
          <t>176-2023-09-30</t>
        </is>
      </c>
    </row>
    <row r="643" hidden="1">
      <c r="A643" s="21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01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9" t="n">
        <v>70.3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5" t="n">
        <v>1</v>
      </c>
      <c r="Q643" s="15" t="n">
        <v>1</v>
      </c>
      <c r="R643" s="5" t="inlineStr">
        <is>
          <t>176-2023-10-31</t>
        </is>
      </c>
    </row>
    <row r="644" hidden="1">
      <c r="A644" s="21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01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9" t="n">
        <v>87.36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5" t="n">
        <v>0</v>
      </c>
      <c r="Q644" s="15" t="n">
        <v>0</v>
      </c>
      <c r="R644" s="5" t="inlineStr">
        <is>
          <t>176-2023-11-30</t>
        </is>
      </c>
    </row>
    <row r="645" hidden="1">
      <c r="A645" s="21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01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9" t="n">
        <v>83.16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5" t="n">
        <v>0</v>
      </c>
      <c r="Q645" s="15" t="n">
        <v>0</v>
      </c>
      <c r="R645" s="5" t="inlineStr">
        <is>
          <t>176-2023-12-31</t>
        </is>
      </c>
    </row>
    <row r="646" hidden="1">
      <c r="A646" s="21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01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9" t="n">
        <v>83.33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N/A</t>
        </is>
      </c>
      <c r="O646" s="11" t="inlineStr">
        <is>
          <t>N/A</t>
        </is>
      </c>
      <c r="P646" s="15" t="n">
        <v>0</v>
      </c>
      <c r="Q646" s="15" t="n">
        <v>0</v>
      </c>
      <c r="R646" s="5" t="inlineStr">
        <is>
          <t>176-2024-01-31</t>
        </is>
      </c>
    </row>
    <row r="647" hidden="1">
      <c r="A647" s="21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01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N/A</t>
        </is>
      </c>
      <c r="O647" s="11" t="inlineStr">
        <is>
          <t>N/A</t>
        </is>
      </c>
      <c r="P647" s="15" t="n">
        <v>0</v>
      </c>
      <c r="Q647" s="15" t="n">
        <v>0</v>
      </c>
      <c r="R647" s="5" t="inlineStr">
        <is>
          <t>176-2024-02-28</t>
        </is>
      </c>
    </row>
    <row r="648" hidden="1">
      <c r="A648" s="21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01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9" t="n">
        <v>80.42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5" t="n">
        <v>0</v>
      </c>
      <c r="Q648" s="15" t="n">
        <v>0</v>
      </c>
      <c r="R648" s="5" t="inlineStr">
        <is>
          <t>176-2024-02-29</t>
        </is>
      </c>
    </row>
    <row r="649" hidden="1">
      <c r="A649" s="26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01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9" t="n">
        <v>84.05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N/A</t>
        </is>
      </c>
      <c r="O649" s="11" t="inlineStr">
        <is>
          <t>N/A</t>
        </is>
      </c>
      <c r="P649" s="15" t="n">
        <v>0</v>
      </c>
      <c r="Q649" s="15" t="n">
        <v>0</v>
      </c>
      <c r="R649" s="5" t="inlineStr">
        <is>
          <t>176-2024-03-31</t>
        </is>
      </c>
    </row>
    <row r="650" hidden="1">
      <c r="A650" s="26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01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9" t="n">
        <v>85.09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5" t="n">
        <v>0</v>
      </c>
      <c r="Q650" s="15" t="n">
        <v>0</v>
      </c>
      <c r="R650" s="5" t="inlineStr">
        <is>
          <t>176-2024-04-30</t>
        </is>
      </c>
    </row>
    <row r="651" hidden="1">
      <c r="A651" s="26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01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9" t="n">
        <v>84.08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11" t="inlineStr">
        <is>
          <t>%</t>
        </is>
      </c>
      <c r="P651" s="15" t="n">
        <v>0</v>
      </c>
      <c r="Q651" s="15" t="n">
        <v>0</v>
      </c>
      <c r="R651" s="5" t="inlineStr">
        <is>
          <t>176-2024-05-31</t>
        </is>
      </c>
    </row>
    <row r="652" hidden="1">
      <c r="A652" s="21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01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9" t="n">
        <v>92.5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176-2024-06-30</t>
        </is>
      </c>
    </row>
    <row r="653" hidden="1">
      <c r="A653" s="21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01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9" t="n">
        <v>94.72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176-2024-07-31</t>
        </is>
      </c>
    </row>
    <row r="654" hidden="1">
      <c r="A654" s="28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01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9" t="n">
        <v>92.53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176-2024-08-31</t>
        </is>
      </c>
    </row>
    <row r="655" hidden="1">
      <c r="A655" s="26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101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9" t="n">
        <v>94.44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176-2024-09-30</t>
        </is>
      </c>
    </row>
    <row r="656" hidden="1">
      <c r="A656" s="21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1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0" t="n">
        <v>91.8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5" t="n">
        <v>1</v>
      </c>
      <c r="Q656" s="15" t="n">
        <v>1</v>
      </c>
      <c r="R656" s="5" t="inlineStr">
        <is>
          <t>193-2022-06-30</t>
        </is>
      </c>
    </row>
    <row r="657" hidden="1">
      <c r="A657" s="5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1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5" t="n">
        <v>92.40000000000001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1</v>
      </c>
      <c r="Q657" s="5" t="n">
        <v>1</v>
      </c>
      <c r="R657" s="5" t="inlineStr">
        <is>
          <t>193-2022-12-31</t>
        </is>
      </c>
    </row>
    <row r="658" hidden="1">
      <c r="A658" s="21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1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10" t="n">
        <v>91.899679829242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193-2023-06-30</t>
        </is>
      </c>
    </row>
    <row r="659" hidden="1">
      <c r="A659" s="21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1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10" t="n">
        <v>91.3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5" t="n">
        <v>1</v>
      </c>
      <c r="Q659" s="15" t="n">
        <v>1</v>
      </c>
      <c r="R659" s="5" t="inlineStr">
        <is>
          <t>193-2023-12-31</t>
        </is>
      </c>
    </row>
    <row r="660" hidden="1">
      <c r="A660" s="21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1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9" t="n">
        <v>91.7002307620256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5" t="n">
        <v>1</v>
      </c>
      <c r="Q660" s="15" t="n">
        <v>1</v>
      </c>
      <c r="R660" s="5" t="inlineStr">
        <is>
          <t>193-2024-06-30</t>
        </is>
      </c>
    </row>
    <row r="661" hidden="1">
      <c r="A661" s="21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00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9" t="n">
        <v>93.5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5" t="n">
        <v>1</v>
      </c>
      <c r="Q661" s="15" t="n">
        <v>1</v>
      </c>
      <c r="R661" s="5" t="inlineStr">
        <is>
          <t>193-2024-12-31</t>
        </is>
      </c>
    </row>
    <row r="662" hidden="1">
      <c r="A662" s="21" t="n">
        <v>193</v>
      </c>
      <c r="B662" s="5" t="inlineStr">
        <is>
          <t>Mejorar flujo de atención en todos los niveles de servicio al estudiante (ANS)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Positivo</t>
        </is>
      </c>
      <c r="F662" s="101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9" t="n">
        <v>96.20999999999999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5" t="n">
        <v>1</v>
      </c>
      <c r="Q662" s="15" t="n">
        <v>1</v>
      </c>
      <c r="R662" s="5" t="inlineStr">
        <is>
          <t>193-2025-06-30</t>
        </is>
      </c>
    </row>
    <row r="663" hidden="1">
      <c r="A663" s="21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101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9" t="n">
        <v>95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15" t="n">
        <v>1</v>
      </c>
      <c r="Q663" s="15" t="n">
        <v>1</v>
      </c>
      <c r="R663" s="5" t="inlineStr">
        <is>
          <t>193-2025-12-31</t>
        </is>
      </c>
    </row>
    <row r="664" hidden="1">
      <c r="A664" s="21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01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9" t="n">
        <v>83.26000000000001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15" t="n">
        <v>0</v>
      </c>
      <c r="Q664" s="15" t="n">
        <v>0</v>
      </c>
      <c r="R664" s="5" t="inlineStr">
        <is>
          <t>194-2022-06-30</t>
        </is>
      </c>
    </row>
    <row r="665" hidden="1">
      <c r="A665" s="21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01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9" t="n">
        <v>83.11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194-2022-12-31</t>
        </is>
      </c>
    </row>
    <row r="666" hidden="1">
      <c r="A666" s="21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01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9" t="n">
        <v>79.18000000000001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194-2023-06-30</t>
        </is>
      </c>
    </row>
    <row r="667" hidden="1">
      <c r="A667" s="21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01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9" t="n">
        <v>81.91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194-2023-12-31</t>
        </is>
      </c>
    </row>
    <row r="668" hidden="1">
      <c r="A668" s="21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01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9" t="n">
        <v>83.01000000000001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194-2024-06-30</t>
        </is>
      </c>
    </row>
    <row r="669" hidden="1">
      <c r="A669" s="26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01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9" t="n">
        <v>89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194-2024-12-31</t>
        </is>
      </c>
    </row>
    <row r="670" hidden="1">
      <c r="A670" s="26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01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9" t="n">
        <v>46.11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5" t="n">
        <v>1</v>
      </c>
      <c r="Q670" s="15" t="n">
        <v>1</v>
      </c>
      <c r="R670" s="5" t="inlineStr">
        <is>
          <t>195-2022-06-30</t>
        </is>
      </c>
    </row>
    <row r="671" hidden="1">
      <c r="A671" s="26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01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9" t="n">
        <v>43.56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5" t="n">
        <v>1</v>
      </c>
      <c r="Q671" s="15" t="n">
        <v>1</v>
      </c>
      <c r="R671" s="5" t="inlineStr">
        <is>
          <t>195-2022-12-31</t>
        </is>
      </c>
    </row>
    <row r="672" hidden="1">
      <c r="A672" s="21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01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5" t="n">
        <v>0</v>
      </c>
      <c r="Q672" s="15" t="n">
        <v>0</v>
      </c>
      <c r="R672" s="5" t="inlineStr">
        <is>
          <t>195-2023-06-30</t>
        </is>
      </c>
    </row>
    <row r="673" hidden="1">
      <c r="A673" s="21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101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0" t="n">
        <v>53.34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5" t="n">
        <v>0</v>
      </c>
      <c r="Q673" s="15" t="n">
        <v>0</v>
      </c>
      <c r="R673" s="5" t="inlineStr">
        <is>
          <t>195-2023-12-31</t>
        </is>
      </c>
    </row>
    <row r="674" hidden="1">
      <c r="A674" s="21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01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0" t="n">
        <v>34.41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5" t="n">
        <v>0</v>
      </c>
      <c r="Q674" s="15" t="n">
        <v>0</v>
      </c>
      <c r="R674" s="5" t="inlineStr">
        <is>
          <t>196-2023-06-30</t>
        </is>
      </c>
    </row>
    <row r="675" hidden="1">
      <c r="A675" s="21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101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10" t="n">
        <v>26.62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15" t="n">
        <v>0</v>
      </c>
      <c r="Q675" s="15" t="n">
        <v>0</v>
      </c>
      <c r="R675" s="5" t="inlineStr">
        <is>
          <t>196-2023-12-31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1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0</v>
      </c>
      <c r="K676" s="10" t="n"/>
      <c r="L676" s="14" t="n"/>
      <c r="M676" s="14" t="n"/>
      <c r="N676" s="5" t="inlineStr">
        <is>
          <t>%</t>
        </is>
      </c>
      <c r="O676" s="5" t="inlineStr">
        <is>
          <t>No Aplica</t>
        </is>
      </c>
      <c r="P676" s="15" t="n">
        <v>0</v>
      </c>
      <c r="Q676" s="15" t="n">
        <v>0</v>
      </c>
      <c r="R676" s="5" t="inlineStr">
        <is>
          <t>197-2022-06-30</t>
        </is>
      </c>
      <c r="S676" t="inlineStr">
        <is>
          <t>No Aplica</t>
        </is>
      </c>
    </row>
    <row r="677" hidden="1">
      <c r="A677" s="5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1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5" t="n">
        <v>100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197-2022-09-30</t>
        </is>
      </c>
    </row>
    <row r="678" hidden="1">
      <c r="A678" s="21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101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0" t="n">
        <v>100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15" t="n">
        <v>0</v>
      </c>
      <c r="Q678" s="15" t="n">
        <v>0</v>
      </c>
      <c r="R678" s="5" t="inlineStr">
        <is>
          <t>197-2022-12-31</t>
        </is>
      </c>
    </row>
    <row r="679" hidden="1">
      <c r="A679" s="21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01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0" t="n">
        <v>100</v>
      </c>
      <c r="L679" s="1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15" t="n">
        <v>0</v>
      </c>
      <c r="Q679" s="15" t="n">
        <v>0</v>
      </c>
      <c r="R679" s="5" t="inlineStr">
        <is>
          <t>197-2023-03-31</t>
        </is>
      </c>
    </row>
    <row r="680" hidden="1">
      <c r="A680" s="21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01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0" t="n">
        <v>100</v>
      </c>
      <c r="L680" s="14">
        <f>IFERROR(IF(OR(J680=0,K680=""),"",IF(E680="Positivo",MIN(MAX(K680/J680,0),1.3),MIN(MAX(J680/K680,0),1.3))),"") </f>
        <v/>
      </c>
      <c r="M680" s="14">
        <f>IFERROR(IF(OR(J680=0,K680=""),"",IF(E680="Positivo",MAX(K680/J680,0),MAX(J680/K680,0))),"") </f>
        <v/>
      </c>
      <c r="N680" s="5" t="inlineStr">
        <is>
          <t>%</t>
        </is>
      </c>
      <c r="O680" s="5" t="inlineStr">
        <is>
          <t>%</t>
        </is>
      </c>
      <c r="P680" s="15" t="n">
        <v>0</v>
      </c>
      <c r="Q680" s="15" t="n">
        <v>0</v>
      </c>
      <c r="R680" s="5" t="inlineStr">
        <is>
          <t>197-2023-06-30</t>
        </is>
      </c>
    </row>
    <row r="681" hidden="1">
      <c r="A681" s="21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01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0" t="n">
        <v>100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15" t="n">
        <v>0</v>
      </c>
      <c r="Q681" s="15" t="n">
        <v>0</v>
      </c>
      <c r="R681" s="5" t="inlineStr">
        <is>
          <t>197-2023-09-30</t>
        </is>
      </c>
    </row>
    <row r="682" hidden="1">
      <c r="A682" s="21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01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10" t="n">
        <v>100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5" t="inlineStr">
        <is>
          <t>%</t>
        </is>
      </c>
      <c r="P682" s="15" t="n">
        <v>0</v>
      </c>
      <c r="Q682" s="15" t="n">
        <v>0</v>
      </c>
      <c r="R682" s="5" t="inlineStr">
        <is>
          <t>197-2023-12-31</t>
        </is>
      </c>
    </row>
    <row r="683" hidden="1">
      <c r="A683" s="21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01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10" t="n">
        <v>100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197-2024-03-31</t>
        </is>
      </c>
    </row>
    <row r="684" hidden="1">
      <c r="A684" s="21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01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9" t="n">
        <v>100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11" t="inlineStr">
        <is>
          <t>%</t>
        </is>
      </c>
      <c r="P684" s="15" t="n">
        <v>0</v>
      </c>
      <c r="Q684" s="15" t="n">
        <v>0</v>
      </c>
      <c r="R684" s="5" t="inlineStr">
        <is>
          <t>197-2024-06-30</t>
        </is>
      </c>
    </row>
    <row r="685" hidden="1">
      <c r="A685" s="21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00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11" t="inlineStr">
        <is>
          <t>%</t>
        </is>
      </c>
      <c r="P685" s="15" t="n">
        <v>0</v>
      </c>
      <c r="Q685" s="15" t="n">
        <v>0</v>
      </c>
      <c r="R685" s="5" t="inlineStr">
        <is>
          <t>197-2024-09-30</t>
        </is>
      </c>
    </row>
    <row r="686" hidden="1">
      <c r="A686" s="21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01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9" t="n">
        <v>100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inlineStr">
        <is>
          <t>%</t>
        </is>
      </c>
      <c r="O686" s="11" t="inlineStr">
        <is>
          <t>%</t>
        </is>
      </c>
      <c r="P686" s="15" t="n">
        <v>0</v>
      </c>
      <c r="Q686" s="15" t="n">
        <v>0</v>
      </c>
      <c r="R686" s="5" t="inlineStr">
        <is>
          <t>197-2024-12-31</t>
        </is>
      </c>
    </row>
    <row r="687" hidden="1">
      <c r="A687" s="21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01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9" t="n">
        <v>100</v>
      </c>
      <c r="L687" s="14">
        <f>IFERROR(IF(OR(J687=0,K687=""),"",IF(E687="Positivo",MIN(MAX(K687/J687,0),1.3),MIN(MAX(J687/K687,0),1.3))),"") </f>
        <v/>
      </c>
      <c r="M687" s="14">
        <f>IFERROR(IF(OR(J687=0,K687=""),"",IF(E687="Positivo",MAX(K687/J687,0),MAX(J687/K687,0))),"") </f>
        <v/>
      </c>
      <c r="N687" s="5" t="inlineStr">
        <is>
          <t>%</t>
        </is>
      </c>
      <c r="O687" s="11" t="inlineStr">
        <is>
          <t>%</t>
        </is>
      </c>
      <c r="P687" s="15" t="n">
        <v>0</v>
      </c>
      <c r="Q687" s="15" t="n">
        <v>0</v>
      </c>
      <c r="R687" s="5" t="inlineStr">
        <is>
          <t>197-2025-03-31</t>
        </is>
      </c>
    </row>
    <row r="688" hidden="1">
      <c r="A688" s="21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Trimestral</t>
        </is>
      </c>
      <c r="E688" s="5" t="inlineStr">
        <is>
          <t>Positivo</t>
        </is>
      </c>
      <c r="F688" s="101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9" t="n">
        <v>96.43000000000001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%</t>
        </is>
      </c>
      <c r="O688" s="11" t="inlineStr">
        <is>
          <t>%</t>
        </is>
      </c>
      <c r="P688" s="15" t="n">
        <v>0</v>
      </c>
      <c r="Q688" s="15" t="n">
        <v>0</v>
      </c>
      <c r="R688" s="5" t="inlineStr">
        <is>
          <t>197-2025-06-30</t>
        </is>
      </c>
    </row>
    <row r="689" hidden="1">
      <c r="A689" s="21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01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9" t="n">
        <v>104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%</t>
        </is>
      </c>
      <c r="O689" s="11" t="inlineStr">
        <is>
          <t>%</t>
        </is>
      </c>
      <c r="P689" s="15" t="n">
        <v>0</v>
      </c>
      <c r="Q689" s="15" t="n">
        <v>0</v>
      </c>
      <c r="R689" s="5" t="inlineStr">
        <is>
          <t>197-2025-09-30</t>
        </is>
      </c>
    </row>
    <row r="690" hidden="1">
      <c r="A690" s="21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101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9" t="n">
        <v>100</v>
      </c>
      <c r="L690" s="1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inlineStr">
        <is>
          <t>%</t>
        </is>
      </c>
      <c r="O690" s="11" t="inlineStr">
        <is>
          <t>%</t>
        </is>
      </c>
      <c r="P690" s="15" t="n">
        <v>0</v>
      </c>
      <c r="Q690" s="15" t="n">
        <v>0</v>
      </c>
      <c r="R690" s="5" t="inlineStr">
        <is>
          <t>197-2025-12-31</t>
        </is>
      </c>
    </row>
    <row r="691" hidden="1">
      <c r="A691" s="21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01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9" t="n"/>
      <c r="L691" s="14" t="n"/>
      <c r="M691" s="14" t="n"/>
      <c r="N691" s="5" t="inlineStr">
        <is>
          <t>%</t>
        </is>
      </c>
      <c r="O691" s="11" t="inlineStr">
        <is>
          <t>No Aplica</t>
        </is>
      </c>
      <c r="P691" s="15" t="n">
        <v>0</v>
      </c>
      <c r="Q691" s="15" t="n">
        <v>0</v>
      </c>
      <c r="R691" s="5" t="inlineStr">
        <is>
          <t>199-2022-03-31</t>
        </is>
      </c>
      <c r="S691" t="inlineStr">
        <is>
          <t>No Aplica</t>
        </is>
      </c>
    </row>
    <row r="692" hidden="1">
      <c r="A692" s="21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01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9" t="n"/>
      <c r="L692" s="105" t="n"/>
      <c r="M692" s="14" t="n"/>
      <c r="N692" s="5" t="inlineStr">
        <is>
          <t>%</t>
        </is>
      </c>
      <c r="O692" s="11" t="inlineStr">
        <is>
          <t>No Aplica</t>
        </is>
      </c>
      <c r="P692" s="15" t="n">
        <v>0</v>
      </c>
      <c r="Q692" s="15" t="n">
        <v>0</v>
      </c>
      <c r="R692" s="5" t="inlineStr">
        <is>
          <t>199-2022-06-30</t>
        </is>
      </c>
      <c r="S692" t="inlineStr">
        <is>
          <t>No Aplica</t>
        </is>
      </c>
    </row>
    <row r="693" hidden="1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101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9" t="n"/>
      <c r="L693" s="14" t="n"/>
      <c r="M693" s="14" t="n"/>
      <c r="N693" s="5" t="inlineStr">
        <is>
          <t>%</t>
        </is>
      </c>
      <c r="O693" s="11" t="inlineStr">
        <is>
          <t>No Aplica</t>
        </is>
      </c>
      <c r="P693" s="15" t="n">
        <v>0</v>
      </c>
      <c r="Q693" s="15" t="n">
        <v>0</v>
      </c>
      <c r="R693" s="5" t="inlineStr">
        <is>
          <t>199-2022-12-31</t>
        </is>
      </c>
      <c r="S693" t="inlineStr">
        <is>
          <t>No Aplica</t>
        </is>
      </c>
    </row>
    <row r="694" hidden="1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01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9" t="n">
        <v>87.666666666667</v>
      </c>
      <c r="L694" s="1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inlineStr">
        <is>
          <t>%</t>
        </is>
      </c>
      <c r="O694" s="11" t="inlineStr">
        <is>
          <t>%</t>
        </is>
      </c>
      <c r="P694" s="15" t="n">
        <v>0</v>
      </c>
      <c r="Q694" s="15" t="n">
        <v>0</v>
      </c>
      <c r="R694" s="5" t="inlineStr">
        <is>
          <t>199-2023-06-30</t>
        </is>
      </c>
    </row>
    <row r="695" hidden="1">
      <c r="A695" s="26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01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9" t="n">
        <v>87.67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inlineStr">
        <is>
          <t>%</t>
        </is>
      </c>
      <c r="O695" s="11" t="inlineStr">
        <is>
          <t>%</t>
        </is>
      </c>
      <c r="P695" s="15" t="n">
        <v>0</v>
      </c>
      <c r="Q695" s="15" t="n">
        <v>0</v>
      </c>
      <c r="R695" s="5" t="inlineStr">
        <is>
          <t>199-2023-12-31</t>
        </is>
      </c>
    </row>
    <row r="696" hidden="1">
      <c r="A696" s="21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01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9" t="n">
        <v>92.19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15" t="n">
        <v>0</v>
      </c>
      <c r="Q696" s="15" t="n">
        <v>0</v>
      </c>
      <c r="R696" s="5" t="inlineStr">
        <is>
          <t>199-2024-06-30</t>
        </is>
      </c>
    </row>
    <row r="697" hidden="1">
      <c r="A697" s="21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100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9" t="n">
        <v>92.81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inlineStr">
        <is>
          <t>%</t>
        </is>
      </c>
      <c r="O697" s="5" t="inlineStr">
        <is>
          <t>%</t>
        </is>
      </c>
      <c r="P697" s="15" t="n">
        <v>0</v>
      </c>
      <c r="Q697" s="15" t="n">
        <v>0</v>
      </c>
      <c r="R697" s="5" t="inlineStr">
        <is>
          <t>199-2024-12-31</t>
        </is>
      </c>
    </row>
    <row r="698" hidden="1">
      <c r="A698" s="21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01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9" t="n">
        <v>92.09999999999999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%</t>
        </is>
      </c>
      <c r="O698" s="5" t="inlineStr">
        <is>
          <t>%</t>
        </is>
      </c>
      <c r="P698" s="15" t="n">
        <v>0</v>
      </c>
      <c r="Q698" s="15" t="n">
        <v>0</v>
      </c>
      <c r="R698" s="5" t="inlineStr">
        <is>
          <t>199-2025-06-30</t>
        </is>
      </c>
    </row>
    <row r="699" hidden="1">
      <c r="A699" s="21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101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9" t="n">
        <v>92.89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%</t>
        </is>
      </c>
      <c r="O699" s="5" t="inlineStr">
        <is>
          <t>%</t>
        </is>
      </c>
      <c r="P699" s="15" t="n">
        <v>0</v>
      </c>
      <c r="Q699" s="15" t="n">
        <v>0</v>
      </c>
      <c r="R699" s="5" t="inlineStr">
        <is>
          <t>199-2025-12-31</t>
        </is>
      </c>
    </row>
    <row r="700" hidden="1">
      <c r="A700" s="21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01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9" t="n"/>
      <c r="L700" s="14" t="n"/>
      <c r="M700" s="14" t="n"/>
      <c r="N700" s="5" t="inlineStr">
        <is>
          <t>%</t>
        </is>
      </c>
      <c r="O700" s="5" t="inlineStr">
        <is>
          <t>No Aplica</t>
        </is>
      </c>
      <c r="P700" s="15" t="n">
        <v>0</v>
      </c>
      <c r="Q700" s="15" t="n">
        <v>1</v>
      </c>
      <c r="R700" s="5" t="inlineStr">
        <is>
          <t>200-2022-12-31</t>
        </is>
      </c>
      <c r="S700" t="inlineStr">
        <is>
          <t>No Aplica</t>
        </is>
      </c>
    </row>
    <row r="701" hidden="1">
      <c r="A701" s="21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01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9" t="n">
        <v>90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Linea Base</t>
        </is>
      </c>
      <c r="O701" s="5" t="inlineStr">
        <is>
          <t>%</t>
        </is>
      </c>
      <c r="P701" s="15" t="n">
        <v>0</v>
      </c>
      <c r="Q701" s="15" t="n">
        <v>0</v>
      </c>
      <c r="R701" s="5" t="inlineStr">
        <is>
          <t>200-2023-12-31</t>
        </is>
      </c>
    </row>
    <row r="702" hidden="1">
      <c r="A702" s="21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01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9" t="n">
        <v>87.40000000000001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Linea Base</t>
        </is>
      </c>
      <c r="O702" s="5" t="inlineStr">
        <is>
          <t>%</t>
        </is>
      </c>
      <c r="P702" s="15" t="n">
        <v>0</v>
      </c>
      <c r="Q702" s="15" t="n">
        <v>0</v>
      </c>
      <c r="R702" s="5" t="inlineStr">
        <is>
          <t>200-2024-12-31</t>
        </is>
      </c>
    </row>
    <row r="703" hidden="1">
      <c r="A703" s="21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01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9" t="n">
        <v>90.84999999999999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%</t>
        </is>
      </c>
      <c r="O703" s="5" t="inlineStr">
        <is>
          <t>%</t>
        </is>
      </c>
      <c r="P703" s="15" t="n">
        <v>0</v>
      </c>
      <c r="Q703" s="15" t="n">
        <v>1</v>
      </c>
      <c r="R703" s="5" t="inlineStr">
        <is>
          <t>200-2025-12-31</t>
        </is>
      </c>
    </row>
    <row r="704" hidden="1">
      <c r="A704" s="21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01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9" t="n">
        <v>64.7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Linea Base</t>
        </is>
      </c>
      <c r="O704" s="5" t="inlineStr">
        <is>
          <t>%</t>
        </is>
      </c>
      <c r="P704" s="15" t="n">
        <v>1</v>
      </c>
      <c r="Q704" s="15" t="n">
        <v>1</v>
      </c>
      <c r="R704" s="5" t="inlineStr">
        <is>
          <t>202-2023-12-31</t>
        </is>
      </c>
    </row>
    <row r="705" hidden="1">
      <c r="A705" s="26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01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9" t="n">
        <v>0</v>
      </c>
      <c r="L705" s="14" t="n"/>
      <c r="M705" s="14" t="n"/>
      <c r="N705" s="5" t="inlineStr">
        <is>
          <t>DEC</t>
        </is>
      </c>
      <c r="O705" s="5" t="inlineStr">
        <is>
          <t>DEC</t>
        </is>
      </c>
      <c r="P705" s="15" t="n">
        <v>1</v>
      </c>
      <c r="Q705" s="15" t="n">
        <v>0</v>
      </c>
      <c r="R705" s="5" t="inlineStr">
        <is>
          <t>202-2024-12-31</t>
        </is>
      </c>
    </row>
    <row r="706" hidden="1">
      <c r="A706" s="26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101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9" t="n">
        <v>81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DEC</t>
        </is>
      </c>
      <c r="O706" s="5" t="inlineStr">
        <is>
          <t>DEC</t>
        </is>
      </c>
      <c r="P706" s="15" t="n">
        <v>1</v>
      </c>
      <c r="Q706" s="15" t="n">
        <v>0</v>
      </c>
      <c r="R706" s="5" t="inlineStr">
        <is>
          <t>202-2025-12-31</t>
        </is>
      </c>
    </row>
    <row r="707" hidden="1">
      <c r="A707" s="26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101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9" t="n"/>
      <c r="L707" s="14" t="n"/>
      <c r="M707" s="14" t="n"/>
      <c r="N707" s="5" t="inlineStr">
        <is>
          <t>$</t>
        </is>
      </c>
      <c r="O707" s="5" t="inlineStr">
        <is>
          <t>No Aplica</t>
        </is>
      </c>
      <c r="P707" s="15" t="n">
        <v>0</v>
      </c>
      <c r="Q707" s="15" t="n">
        <v>0</v>
      </c>
      <c r="R707" s="5" t="inlineStr">
        <is>
          <t>203-2022-03-31</t>
        </is>
      </c>
      <c r="S707" t="inlineStr">
        <is>
          <t>No Aplica</t>
        </is>
      </c>
    </row>
    <row r="708" hidden="1">
      <c r="A708" s="21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1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10" t="n">
        <v>119144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$</t>
        </is>
      </c>
      <c r="O708" s="5" t="inlineStr">
        <is>
          <t>$</t>
        </is>
      </c>
      <c r="P708" s="15" t="n">
        <v>0</v>
      </c>
      <c r="Q708" s="15" t="n">
        <v>0</v>
      </c>
      <c r="R708" s="5" t="inlineStr">
        <is>
          <t>203-2022-06-30</t>
        </is>
      </c>
    </row>
    <row r="709" hidden="1">
      <c r="A709" s="21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0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9" t="n">
        <v>240882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5" t="n">
        <v>0</v>
      </c>
      <c r="Q709" s="15" t="n">
        <v>0</v>
      </c>
      <c r="R709" s="5" t="inlineStr">
        <is>
          <t>203-2022-12-31</t>
        </is>
      </c>
    </row>
    <row r="710" hidden="1">
      <c r="A710" s="26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01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9" t="n">
        <v>104.63235542785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5" t="n">
        <v>0</v>
      </c>
      <c r="Q710" s="15" t="n">
        <v>0</v>
      </c>
      <c r="R710" s="5" t="inlineStr">
        <is>
          <t>203-2023-06-30</t>
        </is>
      </c>
    </row>
    <row r="711" hidden="1">
      <c r="A711" s="21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0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9" t="n">
        <v>103.36740380481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5" t="n">
        <v>0</v>
      </c>
      <c r="Q711" s="15" t="n">
        <v>0</v>
      </c>
      <c r="R711" s="5" t="inlineStr">
        <is>
          <t>203-2023-12-31</t>
        </is>
      </c>
    </row>
    <row r="712" hidden="1">
      <c r="A712" s="21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1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10" t="n">
        <v>102.01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203-2024-06-30</t>
        </is>
      </c>
    </row>
    <row r="713" hidden="1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1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9" t="n">
        <v>102.84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203-2024-12-31</t>
        </is>
      </c>
    </row>
    <row r="714" hidden="1">
      <c r="A714" s="5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01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5" t="n">
        <v>111.77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5" t="n">
        <v>0</v>
      </c>
      <c r="Q714" s="5" t="n">
        <v>0</v>
      </c>
      <c r="R714" s="5" t="inlineStr">
        <is>
          <t>203-2025-06-30</t>
        </is>
      </c>
    </row>
    <row r="715" hidden="1">
      <c r="A715" s="21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101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10" t="n">
        <v>111.33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203-2025-12-31</t>
        </is>
      </c>
    </row>
    <row r="716" hidden="1">
      <c r="A716" s="21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1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9" t="n">
        <v>37101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$</t>
        </is>
      </c>
      <c r="O716" s="11" t="inlineStr">
        <is>
          <t>$</t>
        </is>
      </c>
      <c r="P716" s="15" t="n">
        <v>0</v>
      </c>
      <c r="Q716" s="15" t="n">
        <v>0</v>
      </c>
      <c r="R716" s="5" t="inlineStr">
        <is>
          <t>204-2022-06-30</t>
        </is>
      </c>
    </row>
    <row r="717" hidden="1">
      <c r="A717" s="21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00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9" t="n">
        <v>18386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$</t>
        </is>
      </c>
      <c r="O717" s="11" t="inlineStr">
        <is>
          <t>$</t>
        </is>
      </c>
      <c r="P717" s="15" t="n">
        <v>0</v>
      </c>
      <c r="Q717" s="15" t="n">
        <v>0</v>
      </c>
      <c r="R717" s="5" t="inlineStr">
        <is>
          <t>204-2022-12-30</t>
        </is>
      </c>
    </row>
    <row r="718" hidden="1">
      <c r="A718" s="21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1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9" t="n">
        <v>194.75668793403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$</t>
        </is>
      </c>
      <c r="O718" s="11" t="inlineStr">
        <is>
          <t>$</t>
        </is>
      </c>
      <c r="P718" s="15" t="n">
        <v>0</v>
      </c>
      <c r="Q718" s="15" t="n">
        <v>0</v>
      </c>
      <c r="R718" s="5" t="inlineStr">
        <is>
          <t>204-2023-06-30</t>
        </is>
      </c>
    </row>
    <row r="719" hidden="1">
      <c r="A719" s="21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1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9" t="n">
        <v>162.37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$</t>
        </is>
      </c>
      <c r="O719" s="11" t="inlineStr">
        <is>
          <t>$</t>
        </is>
      </c>
      <c r="P719" s="15" t="n">
        <v>0</v>
      </c>
      <c r="Q719" s="15" t="n">
        <v>0</v>
      </c>
      <c r="R719" s="5" t="inlineStr">
        <is>
          <t>204-2023-12-31</t>
        </is>
      </c>
    </row>
    <row r="720" hidden="1">
      <c r="A720" s="21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01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9" t="n">
        <v>133.55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$</t>
        </is>
      </c>
      <c r="O720" s="11" t="inlineStr">
        <is>
          <t>$</t>
        </is>
      </c>
      <c r="P720" s="15" t="n">
        <v>0</v>
      </c>
      <c r="Q720" s="15" t="n">
        <v>0</v>
      </c>
      <c r="R720" s="5" t="inlineStr">
        <is>
          <t>204-2024-06-30</t>
        </is>
      </c>
    </row>
    <row r="721" hidden="1">
      <c r="A721" s="21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01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9" t="n">
        <v>144.53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$</t>
        </is>
      </c>
      <c r="O721" s="11" t="inlineStr">
        <is>
          <t>$</t>
        </is>
      </c>
      <c r="P721" s="15" t="n">
        <v>0</v>
      </c>
      <c r="Q721" s="15" t="n">
        <v>0</v>
      </c>
      <c r="R721" s="5" t="inlineStr">
        <is>
          <t>204-2024-12-31</t>
        </is>
      </c>
    </row>
    <row r="722" hidden="1">
      <c r="A722" s="21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Positivo</t>
        </is>
      </c>
      <c r="F722" s="101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9" t="n">
        <v>86.89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$</t>
        </is>
      </c>
      <c r="O722" s="11" t="inlineStr">
        <is>
          <t>$</t>
        </is>
      </c>
      <c r="P722" s="15" t="n">
        <v>0</v>
      </c>
      <c r="Q722" s="15" t="n">
        <v>0</v>
      </c>
      <c r="R722" s="5" t="inlineStr">
        <is>
          <t>204-2025-06-30</t>
        </is>
      </c>
    </row>
    <row r="723" hidden="1">
      <c r="A723" s="21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101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9" t="n">
        <v>152.24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$</t>
        </is>
      </c>
      <c r="O723" s="11" t="inlineStr">
        <is>
          <t>$</t>
        </is>
      </c>
      <c r="P723" s="15" t="n">
        <v>0</v>
      </c>
      <c r="Q723" s="15" t="n">
        <v>0</v>
      </c>
      <c r="R723" s="5" t="inlineStr">
        <is>
          <t>204-2025-12-31</t>
        </is>
      </c>
    </row>
    <row r="724" hidden="1">
      <c r="A724" s="21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01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9" t="n">
        <v>2605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$</t>
        </is>
      </c>
      <c r="O724" s="11" t="inlineStr">
        <is>
          <t>$</t>
        </is>
      </c>
      <c r="P724" s="15" t="n">
        <v>0</v>
      </c>
      <c r="Q724" s="15" t="n">
        <v>0</v>
      </c>
      <c r="R724" s="5" t="inlineStr">
        <is>
          <t>205-2022-12-31</t>
        </is>
      </c>
    </row>
    <row r="725" hidden="1">
      <c r="A725" s="26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01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9" t="n">
        <v>165.42728645151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205-2023-06-30</t>
        </is>
      </c>
    </row>
    <row r="726" hidden="1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01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95</v>
      </c>
      <c r="K726" s="9" t="n">
        <v>426.51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205-2023-12-31</t>
        </is>
      </c>
    </row>
    <row r="727" hidden="1">
      <c r="A727" s="26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01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95</v>
      </c>
      <c r="K727" s="9" t="n">
        <v>215.07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15" t="n">
        <v>0</v>
      </c>
      <c r="Q727" s="15" t="n">
        <v>0</v>
      </c>
      <c r="R727" s="5" t="inlineStr">
        <is>
          <t>205-2024-06-30</t>
        </is>
      </c>
    </row>
    <row r="728" hidden="1">
      <c r="A728" s="28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01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3" t="n">
        <v>95</v>
      </c>
      <c r="K728" s="9" t="n">
        <v>184.72</v>
      </c>
      <c r="L728" s="1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inlineStr">
        <is>
          <t>$</t>
        </is>
      </c>
      <c r="O728" s="5" t="inlineStr">
        <is>
          <t>$</t>
        </is>
      </c>
      <c r="P728" s="15" t="n">
        <v>0</v>
      </c>
      <c r="Q728" s="15" t="n">
        <v>0</v>
      </c>
      <c r="R728" s="5" t="inlineStr">
        <is>
          <t>205-2024-12-31</t>
        </is>
      </c>
    </row>
    <row r="729" hidden="1">
      <c r="A729" s="26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Semestral</t>
        </is>
      </c>
      <c r="E729" s="5" t="inlineStr">
        <is>
          <t>Positivo</t>
        </is>
      </c>
      <c r="F729" s="101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3" t="n">
        <v>95</v>
      </c>
      <c r="K729" s="9" t="n">
        <v>186.31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inlineStr">
        <is>
          <t>$</t>
        </is>
      </c>
      <c r="O729" s="5" t="inlineStr">
        <is>
          <t>$</t>
        </is>
      </c>
      <c r="P729" s="15" t="n">
        <v>0</v>
      </c>
      <c r="Q729" s="15" t="n">
        <v>0</v>
      </c>
      <c r="R729" s="5" t="inlineStr">
        <is>
          <t>205-2025-06-30</t>
        </is>
      </c>
    </row>
    <row r="730" hidden="1">
      <c r="A730" s="28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101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9" t="n">
        <v>123.05</v>
      </c>
      <c r="L730" s="1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inlineStr">
        <is>
          <t>$</t>
        </is>
      </c>
      <c r="O730" s="5" t="inlineStr">
        <is>
          <t>$</t>
        </is>
      </c>
      <c r="P730" s="15" t="n">
        <v>0</v>
      </c>
      <c r="Q730" s="15" t="n">
        <v>0</v>
      </c>
      <c r="R730" s="5" t="inlineStr">
        <is>
          <t>205-2025-12-31</t>
        </is>
      </c>
    </row>
    <row r="731" hidden="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01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9" t="n">
        <v>1.2336951835584</v>
      </c>
      <c r="L731" s="14">
        <f>IFERROR(IF(OR(J731=0,K731=""),"",IF(E731="Positivo",MIN(MAX(K731/J731,0),1.3),MIN(MAX(J731/K731,0),1.3))),"") </f>
        <v/>
      </c>
      <c r="M731" s="14">
        <f>IFERROR(IF(OR(J731=0,K731=""),"",IF(E731="Positivo",MAX(K731/J731,0),MAX(J731/K731,0))),"") </f>
        <v/>
      </c>
      <c r="N731" s="5" t="inlineStr">
        <is>
          <t>$</t>
        </is>
      </c>
      <c r="O731" s="5" t="inlineStr">
        <is>
          <t>$</t>
        </is>
      </c>
      <c r="P731" s="15" t="n">
        <v>0</v>
      </c>
      <c r="Q731" s="15" t="n">
        <v>0</v>
      </c>
      <c r="R731" s="5" t="inlineStr">
        <is>
          <t>206-2023-06-30</t>
        </is>
      </c>
    </row>
    <row r="732" hidden="1">
      <c r="A732" s="21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101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9" t="n">
        <v>4.606790289121734</v>
      </c>
      <c r="L732" s="14">
        <f>IFERROR(IF(OR(J732=0,K732=""),"",IF(E732="Positivo",MIN(MAX(K732/J732,0),1.3),MIN(MAX(J732/K732,0),1.3))),"") </f>
        <v/>
      </c>
      <c r="M732" s="14">
        <f>IFERROR(IF(OR(J732=0,K732=""),"",IF(E732="Positivo",MAX(K732/J732,0),MAX(J732/K732,0))),"") </f>
        <v/>
      </c>
      <c r="N732" s="5" t="inlineStr">
        <is>
          <t>$</t>
        </is>
      </c>
      <c r="O732" s="5" t="inlineStr">
        <is>
          <t>$</t>
        </is>
      </c>
      <c r="P732" s="15" t="n">
        <v>0</v>
      </c>
      <c r="Q732" s="15" t="n">
        <v>0</v>
      </c>
      <c r="R732" s="5" t="inlineStr">
        <is>
          <t>206-2023-12-31</t>
        </is>
      </c>
    </row>
    <row r="733" hidden="1">
      <c r="A733" s="28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01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9" t="n">
        <v>1.37</v>
      </c>
      <c r="L733" s="1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inlineStr">
        <is>
          <t>$</t>
        </is>
      </c>
      <c r="O733" s="5" t="inlineStr">
        <is>
          <t>$</t>
        </is>
      </c>
      <c r="P733" s="15" t="n">
        <v>0</v>
      </c>
      <c r="Q733" s="15" t="n">
        <v>0</v>
      </c>
      <c r="R733" s="5" t="inlineStr">
        <is>
          <t>206-2024-12-31</t>
        </is>
      </c>
    </row>
    <row r="734" hidden="1">
      <c r="A734" s="26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101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9" t="n">
        <v>2.14</v>
      </c>
      <c r="L734" s="1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inlineStr">
        <is>
          <t>%</t>
        </is>
      </c>
      <c r="O734" s="5" t="inlineStr">
        <is>
          <t>%</t>
        </is>
      </c>
      <c r="P734" s="15" t="n">
        <v>0</v>
      </c>
      <c r="Q734" s="15" t="n">
        <v>2</v>
      </c>
      <c r="R734" s="5" t="inlineStr">
        <is>
          <t>206-2025-12-31</t>
        </is>
      </c>
    </row>
    <row r="735" hidden="1">
      <c r="A735" s="26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01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9" t="n">
        <v>101.19882903781</v>
      </c>
      <c r="L735" s="17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inlineStr">
        <is>
          <t>$</t>
        </is>
      </c>
      <c r="O735" s="5" t="inlineStr">
        <is>
          <t>$</t>
        </is>
      </c>
      <c r="P735" s="15" t="n">
        <v>0</v>
      </c>
      <c r="Q735" s="15" t="n">
        <v>0</v>
      </c>
      <c r="R735" s="5" t="inlineStr">
        <is>
          <t>207-2023-06-30</t>
        </is>
      </c>
    </row>
    <row r="736" hidden="1">
      <c r="A736" s="21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01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10" t="n">
        <v>103.6</v>
      </c>
      <c r="L736" s="1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inlineStr">
        <is>
          <t>$</t>
        </is>
      </c>
      <c r="O736" s="5" t="inlineStr">
        <is>
          <t>$</t>
        </is>
      </c>
      <c r="P736" s="15" t="n">
        <v>0</v>
      </c>
      <c r="Q736" s="15" t="n">
        <v>0</v>
      </c>
      <c r="R736" s="5" t="inlineStr">
        <is>
          <t>207-2023-12-31</t>
        </is>
      </c>
    </row>
    <row r="737" hidden="1">
      <c r="A737" s="21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01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10" t="n">
        <v>101.79</v>
      </c>
      <c r="L737" s="14">
        <f>IFERROR(IF(OR(J737=0,K737=""),"",IF(E737="Positivo",MIN(MAX(K737/J737,0),1.3),MIN(MAX(J737/K737,0),1.3))),"") </f>
        <v/>
      </c>
      <c r="M737" s="14">
        <f>IFERROR(IF(OR(J737=0,K737=""),"",IF(E737="Positivo",MAX(K737/J737,0),MAX(J737/K737,0))),"") </f>
        <v/>
      </c>
      <c r="N737" s="5" t="inlineStr">
        <is>
          <t>$</t>
        </is>
      </c>
      <c r="O737" s="5" t="inlineStr">
        <is>
          <t>$</t>
        </is>
      </c>
      <c r="P737" s="15" t="n">
        <v>0</v>
      </c>
      <c r="Q737" s="15" t="n">
        <v>0</v>
      </c>
      <c r="R737" s="5" t="inlineStr">
        <is>
          <t>207-2024-06-30</t>
        </is>
      </c>
    </row>
    <row r="738" hidden="1">
      <c r="A738" s="21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00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9" t="n">
        <v>102.2</v>
      </c>
      <c r="L738" s="14">
        <f>IFERROR(IF(OR(J738=0,K738=""),"",IF(E738="Positivo",MIN(MAX(K738/J738,0),1.3),MIN(MAX(J738/K738,0),1.3))),"") </f>
        <v/>
      </c>
      <c r="M738" s="14">
        <f>IFERROR(IF(OR(J738=0,K738=""),"",IF(E738="Positivo",MAX(K738/J738,0),MAX(J738/K738,0))),"") </f>
        <v/>
      </c>
      <c r="N738" s="5" t="inlineStr">
        <is>
          <t>$</t>
        </is>
      </c>
      <c r="O738" s="5" t="inlineStr">
        <is>
          <t>$</t>
        </is>
      </c>
      <c r="P738" s="15" t="n">
        <v>0</v>
      </c>
      <c r="Q738" s="15" t="n">
        <v>0</v>
      </c>
      <c r="R738" s="5" t="inlineStr">
        <is>
          <t>207-2024-12-31</t>
        </is>
      </c>
    </row>
    <row r="739" hidden="1">
      <c r="A739" s="26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Semestral</t>
        </is>
      </c>
      <c r="E739" s="5" t="inlineStr">
        <is>
          <t>Negativo</t>
        </is>
      </c>
      <c r="F739" s="101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9" t="n">
        <v>110.9</v>
      </c>
      <c r="L739" s="1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inlineStr">
        <is>
          <t>$</t>
        </is>
      </c>
      <c r="O739" s="5" t="inlineStr">
        <is>
          <t>$</t>
        </is>
      </c>
      <c r="P739" s="15" t="n">
        <v>0</v>
      </c>
      <c r="Q739" s="15" t="n">
        <v>0</v>
      </c>
      <c r="R739" s="5" t="inlineStr">
        <is>
          <t>207-2025-06-30</t>
        </is>
      </c>
    </row>
    <row r="740" hidden="1">
      <c r="A740" s="5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101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5" t="n">
        <v>110.62</v>
      </c>
      <c r="L740" s="1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inlineStr">
        <is>
          <t>$</t>
        </is>
      </c>
      <c r="O740" s="5" t="inlineStr">
        <is>
          <t>$</t>
        </is>
      </c>
      <c r="P740" s="5" t="n">
        <v>0</v>
      </c>
      <c r="Q740" s="5" t="n">
        <v>0</v>
      </c>
      <c r="R740" s="5" t="inlineStr">
        <is>
          <t>207-2025-12-31</t>
        </is>
      </c>
    </row>
    <row r="741" hidden="1">
      <c r="A741" s="21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1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5" t="n">
        <v>1700</v>
      </c>
      <c r="K741" s="10" t="n">
        <v>654</v>
      </c>
      <c r="L741" s="14">
        <f>IFERROR(IF(OR(J741=0,K741=""),"",IF(E741="Positivo",MIN(MAX(K741/J741,0),1.0),MIN(MAX(J741/K741,0),1.0))),"") </f>
        <v/>
      </c>
      <c r="M741" s="14">
        <f>IFERROR(IF(OR(J741=0,K741=""),"",IF(E741="Positivo",MAX(K741/J741,0),MAX(J741/K741,0))),"") </f>
        <v/>
      </c>
      <c r="N741" s="5" t="inlineStr">
        <is>
          <t>m3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208-2022-01-31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0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5" t="n">
        <v>1700</v>
      </c>
      <c r="K742" s="9" t="n">
        <v>915.5</v>
      </c>
      <c r="L742" s="14">
        <f>IFERROR(IF(OR(J742=0,K742=""),"",IF(E742="Positivo",MIN(MAX(K742/J742,0),1.0),MIN(MAX(J742/K742,0),1.0))),"") </f>
        <v/>
      </c>
      <c r="M742" s="14">
        <f>IFERROR(IF(OR(J742=0,K742=""),"",IF(E742="Positivo",MAX(K742/J742,0),MAX(J742/K742,0))),"") </f>
        <v/>
      </c>
      <c r="N742" s="5" t="inlineStr">
        <is>
          <t>m3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208-2022-02-28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1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9" t="n">
        <v>782.5</v>
      </c>
      <c r="L743" s="14">
        <f>IFERROR(IF(OR(J743=0,K743=""),"",IF(E743="Positivo",MIN(MAX(K743/J743,0),1.0),MIN(MAX(J743/K743,0),1.0))),"") </f>
        <v/>
      </c>
      <c r="M743" s="14">
        <f>IFERROR(IF(OR(J743=0,K743=""),"",IF(E743="Positivo",MAX(K743/J743,0),MAX(J743/K743,0))),"") </f>
        <v/>
      </c>
      <c r="N743" s="5" t="inlineStr">
        <is>
          <t>m3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208-2022-03-31</t>
        </is>
      </c>
    </row>
    <row r="744" hidden="1">
      <c r="A744" s="21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1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9" t="n">
        <v>1296</v>
      </c>
      <c r="L744" s="14">
        <f>IFERROR(IF(OR(J744=0,K744=""),"",IF(E744="Positivo",MIN(MAX(K744/J744,0),1.0),MIN(MAX(J744/K744,0),1.0))),"") </f>
        <v/>
      </c>
      <c r="M744" s="14">
        <f>IFERROR(IF(OR(J744=0,K744=""),"",IF(E744="Positivo",MAX(K744/J744,0),MAX(J744/K744,0))),"") </f>
        <v/>
      </c>
      <c r="N744" s="5" t="inlineStr">
        <is>
          <t>m3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208-2022-04-30</t>
        </is>
      </c>
    </row>
    <row r="745" hidden="1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1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9" t="n">
        <v>1251</v>
      </c>
      <c r="L745" s="14">
        <f>IFERROR(IF(OR(J745=0,K745=""),"",IF(E745="Positivo",MIN(MAX(K745/J745,0),1.0),MIN(MAX(J745/K745,0),1.0))),"") </f>
        <v/>
      </c>
      <c r="M745" s="14">
        <f>IFERROR(IF(OR(J745=0,K745=""),"",IF(E745="Positivo",MAX(K745/J745,0),MAX(J745/K745,0))),"") </f>
        <v/>
      </c>
      <c r="N745" s="5" t="inlineStr">
        <is>
          <t>m3</t>
        </is>
      </c>
      <c r="O745" s="5" t="inlineStr">
        <is>
          <t>m3</t>
        </is>
      </c>
      <c r="P745" s="15" t="n">
        <v>0</v>
      </c>
      <c r="Q745" s="15" t="n">
        <v>0</v>
      </c>
      <c r="R745" s="5" t="inlineStr">
        <is>
          <t>208-2022-05-31</t>
        </is>
      </c>
    </row>
    <row r="746" hidden="1">
      <c r="A746" s="26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1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9" t="n">
        <v>1229.5</v>
      </c>
      <c r="L746" s="14">
        <f>IFERROR(IF(OR(J746=0,K746=""),"",IF(E746="Positivo",MIN(MAX(K746/J746,0),1.0),MIN(MAX(J746/K746,0),1.0))),"") </f>
        <v/>
      </c>
      <c r="M746" s="14">
        <f>IFERROR(IF(OR(J746=0,K746=""),"",IF(E746="Positivo",MAX(K746/J746,0),MAX(J746/K746,0))),"") </f>
        <v/>
      </c>
      <c r="N746" s="5" t="inlineStr">
        <is>
          <t>m3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208-2022-06-30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1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9" t="n">
        <v>1362.5</v>
      </c>
      <c r="L747" s="14">
        <f>IFERROR(IF(OR(J747=0,K747=""),"",IF(E747="Positivo",MIN(MAX(K747/J747,0),1.0),MIN(MAX(J747/K747,0),1.0))),"") </f>
        <v/>
      </c>
      <c r="M747" s="14">
        <f>IFERROR(IF(OR(J747=0,K747=""),"",IF(E747="Positivo",MAX(K747/J747,0),MAX(J747/K747,0))),"") </f>
        <v/>
      </c>
      <c r="N747" s="5" t="inlineStr">
        <is>
          <t>m3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208-2022-07-31</t>
        </is>
      </c>
    </row>
    <row r="748" hidden="1">
      <c r="A748" s="28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1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9" t="n">
        <v>1328.5</v>
      </c>
      <c r="L748" s="14">
        <f>IFERROR(IF(OR(J748=0,K748=""),"",IF(E748="Positivo",MIN(MAX(K748/J748,0),1.0),MIN(MAX(J748/K748,0),1.0))),"") </f>
        <v/>
      </c>
      <c r="M748" s="14">
        <f>IFERROR(IF(OR(J748=0,K748=""),"",IF(E748="Positivo",MAX(K748/J748,0),MAX(J748/K748,0))),"") </f>
        <v/>
      </c>
      <c r="N748" s="5" t="inlineStr">
        <is>
          <t>m3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208-2022-08-31</t>
        </is>
      </c>
    </row>
    <row r="749" hidden="1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1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9" t="n">
        <v>1687.5</v>
      </c>
      <c r="L749" s="14">
        <f>IFERROR(IF(OR(J749=0,K749=""),"",IF(E749="Positivo",MIN(MAX(K749/J749,0),1.0),MIN(MAX(J749/K749,0),1.0))),"") </f>
        <v/>
      </c>
      <c r="M749" s="14">
        <f>IFERROR(IF(OR(J749=0,K749=""),"",IF(E749="Positivo",MAX(K749/J749,0),MAX(J749/K749,0))),"") </f>
        <v/>
      </c>
      <c r="N749" s="5" t="inlineStr">
        <is>
          <t>m3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208-2022-09-30</t>
        </is>
      </c>
    </row>
    <row r="750" hidden="1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1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5" t="n">
        <v>1687</v>
      </c>
      <c r="L750" s="14">
        <f>IFERROR(IF(OR(J750=0,K750=""),"",IF(E750="Positivo",MIN(MAX(K750/J750,0),1.0),MIN(MAX(J750/K750,0),1.0))),"") </f>
        <v/>
      </c>
      <c r="M750" s="14">
        <f>IFERROR(IF(OR(J750=0,K750=""),"",IF(E750="Positivo",MAX(K750/J750,0),MAX(J750/K750,0))),"") </f>
        <v/>
      </c>
      <c r="N750" s="5" t="inlineStr">
        <is>
          <t>m3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208-2022-10-31</t>
        </is>
      </c>
    </row>
    <row r="751" hidden="1">
      <c r="A751" s="26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01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5" t="n">
        <v>1494</v>
      </c>
      <c r="L751" s="14">
        <f>IFERROR(IF(OR(J751=0,K751=""),"",IF(E751="Positivo",MIN(MAX(K751/J751,0),1.0),MIN(MAX(J751/K751,0),1.0))),"") </f>
        <v/>
      </c>
      <c r="M751" s="14">
        <f>IFERROR(IF(OR(J751=0,K751=""),"",IF(E751="Positivo",MAX(K751/J751,0),MAX(J751/K751,0))),"") </f>
        <v/>
      </c>
      <c r="N751" s="5" t="inlineStr">
        <is>
          <t>m3</t>
        </is>
      </c>
      <c r="O751" s="5" t="inlineStr">
        <is>
          <t>m3</t>
        </is>
      </c>
      <c r="P751" s="15" t="n">
        <v>0</v>
      </c>
      <c r="Q751" s="15" t="n">
        <v>0</v>
      </c>
      <c r="R751" s="5" t="inlineStr">
        <is>
          <t>208-2022-11-30</t>
        </is>
      </c>
    </row>
    <row r="752" hidden="1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1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5" t="n">
        <v>1010</v>
      </c>
      <c r="L752" s="14">
        <f>IFERROR(IF(OR(J752=0,K752=""),"",IF(E752="Positivo",MIN(MAX(K752/J752,0),1.0),MIN(MAX(J752/K752,0),1.0))),"") </f>
        <v/>
      </c>
      <c r="M752" s="14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208-2022-12-31</t>
        </is>
      </c>
    </row>
    <row r="753" hidden="1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1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5" t="n">
        <v>1019</v>
      </c>
      <c r="L753" s="14">
        <f>IFERROR(IF(OR(J753=0,K753=""),"",IF(E753="Positivo",MIN(MAX(K753/J753,0),1.0),MIN(MAX(J753/K753,0),1.0))),"") </f>
        <v/>
      </c>
      <c r="M753" s="14">
        <f>IFERROR(IF(OR(J753=0,K753=""),"",IF(E753="Positivo",MAX(K753/J753,0),MAX(J753/K753,0))),"") </f>
        <v/>
      </c>
      <c r="N753" s="5" t="inlineStr">
        <is>
          <t>Linea Base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208-2023-01-31</t>
        </is>
      </c>
    </row>
    <row r="754" hidden="1">
      <c r="A754" s="26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1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9" t="n">
        <v>896</v>
      </c>
      <c r="L754" s="14">
        <f>IFERROR(IF(OR(J754=0,K754=""),"",IF(E754="Positivo",MIN(MAX(K754/J754,0),1.0),MIN(MAX(J754/K754,0),1.0))),"") </f>
        <v/>
      </c>
      <c r="M754" s="14">
        <f>IFERROR(IF(OR(J754=0,K754=""),"",IF(E754="Positivo",MAX(K754/J754,0),MAX(J754/K754,0))),"") </f>
        <v/>
      </c>
      <c r="N754" s="5" t="inlineStr">
        <is>
          <t>Linea Base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208-2023-02-28</t>
        </is>
      </c>
    </row>
    <row r="755" hidden="1">
      <c r="A755" s="21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1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10" t="n">
        <v>961.7</v>
      </c>
      <c r="L755" s="14">
        <f>IFERROR(IF(OR(J755=0,K755=""),"",IF(E755="Positivo",MIN(MAX(K755/J755,0),1.0),MIN(MAX(J755/K755,0),1.0))),"") </f>
        <v/>
      </c>
      <c r="M755" s="14">
        <f>IFERROR(IF(OR(J755=0,K755=""),"",IF(E755="Positivo",MAX(K755/J755,0),MAX(J755/K755,0))),"") </f>
        <v/>
      </c>
      <c r="N755" s="5" t="inlineStr">
        <is>
          <t>Linea Base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208-2023-03-31</t>
        </is>
      </c>
    </row>
    <row r="756" hidden="1">
      <c r="A756" s="21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0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9" t="n">
        <v>957.6</v>
      </c>
      <c r="L756" s="14">
        <f>IFERROR(IF(OR(J756=0,K756=""),"",IF(E756="Positivo",MIN(MAX(K756/J756,0),1.0),MIN(MAX(J756/K756,0),1.0))),"") </f>
        <v/>
      </c>
      <c r="M756" s="14">
        <f>IFERROR(IF(OR(J756=0,K756=""),"",IF(E756="Positivo",MAX(K756/J756,0),MAX(J756/K756,0))),"") </f>
        <v/>
      </c>
      <c r="N756" s="5" t="inlineStr">
        <is>
          <t>Linea Base</t>
        </is>
      </c>
      <c r="O756" s="5" t="inlineStr">
        <is>
          <t>m3</t>
        </is>
      </c>
      <c r="P756" s="15" t="n">
        <v>0</v>
      </c>
      <c r="Q756" s="15" t="n">
        <v>0</v>
      </c>
      <c r="R756" s="5" t="inlineStr">
        <is>
          <t>208-2023-04-30</t>
        </is>
      </c>
    </row>
    <row r="757" hidden="1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1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9" t="n">
        <v>1268</v>
      </c>
      <c r="L757" s="14">
        <f>IFERROR(IF(OR(J757=0,K757=""),"",IF(E757="Positivo",MIN(MAX(K757/J757,0),1.0),MIN(MAX(J757/K757,0),1.0))),"") </f>
        <v/>
      </c>
      <c r="M757" s="14">
        <f>IFERROR(IF(OR(J757=0,K757=""),"",IF(E757="Positivo",MAX(K757/J757,0),MAX(J757/K757,0))),"") </f>
        <v/>
      </c>
      <c r="N757" s="5" t="inlineStr">
        <is>
          <t>Linea Base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208-2023-05-31</t>
        </is>
      </c>
    </row>
    <row r="758" hidden="1">
      <c r="A758" s="5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1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5" t="n">
        <v>1457</v>
      </c>
      <c r="L758" s="14">
        <f>IFERROR(IF(OR(J758=0,K758=""),"",IF(E758="Positivo",MIN(MAX(K758/J758,0),1.0),MIN(MAX(J758/K758,0),1.0))),"") </f>
        <v/>
      </c>
      <c r="M758" s="14">
        <f>IFERROR(IF(OR(J758=0,K758=""),"",IF(E758="Positivo",MAX(K758/J758,0),MAX(J758/K758,0))),"") </f>
        <v/>
      </c>
      <c r="N758" s="5" t="inlineStr">
        <is>
          <t>Linea Base</t>
        </is>
      </c>
      <c r="O758" s="5" t="inlineStr">
        <is>
          <t>m3</t>
        </is>
      </c>
      <c r="P758" s="5" t="n">
        <v>0</v>
      </c>
      <c r="Q758" s="5" t="n">
        <v>0</v>
      </c>
      <c r="R758" s="5" t="inlineStr">
        <is>
          <t>208-2023-06-30</t>
        </is>
      </c>
    </row>
    <row r="759" hidden="1">
      <c r="A759" s="21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1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10" t="n">
        <v>1160</v>
      </c>
      <c r="L759" s="14">
        <f>IFERROR(IF(OR(J759=0,K759=""),"",IF(E759="Positivo",MIN(MAX(K759/J759,0),1.0),MIN(MAX(J759/K759,0),1.0))),"") </f>
        <v/>
      </c>
      <c r="M759" s="14">
        <f>IFERROR(IF(OR(J759=0,K759=""),"",IF(E759="Positivo",MAX(K759/J759,0),MAX(J759/K759,0))),"") </f>
        <v/>
      </c>
      <c r="N759" s="5" t="inlineStr">
        <is>
          <t>Linea Base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208-2023-07-31</t>
        </is>
      </c>
    </row>
    <row r="760" hidden="1">
      <c r="A760" s="21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0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9" t="n">
        <v>1275</v>
      </c>
      <c r="L760" s="14">
        <f>IFERROR(IF(OR(J760=0,K760=""),"",IF(E760="Positivo",MIN(MAX(K760/J760,0),1.0),MIN(MAX(J760/K760,0),1.0))),"") </f>
        <v/>
      </c>
      <c r="M760" s="14">
        <f>IFERROR(IF(OR(J760=0,K760=""),"",IF(E760="Positivo",MAX(K760/J760,0),MAX(J760/K760,0))),"") </f>
        <v/>
      </c>
      <c r="N760" s="5" t="inlineStr">
        <is>
          <t>Linea Base</t>
        </is>
      </c>
      <c r="O760" s="5" t="inlineStr">
        <is>
          <t>m3</t>
        </is>
      </c>
      <c r="P760" s="15" t="n">
        <v>0</v>
      </c>
      <c r="Q760" s="15" t="n">
        <v>0</v>
      </c>
      <c r="R760" s="5" t="inlineStr">
        <is>
          <t>208-2023-08-31</t>
        </is>
      </c>
    </row>
    <row r="761" hidden="1">
      <c r="A761" s="26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1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9" t="n">
        <v>1453.5</v>
      </c>
      <c r="L761" s="14">
        <f>IFERROR(IF(OR(J761=0,K761=""),"",IF(E761="Positivo",MIN(MAX(K761/J761,0),1.0),MIN(MAX(J761/K761,0),1.0))),"") </f>
        <v/>
      </c>
      <c r="M761" s="14">
        <f>IFERROR(IF(OR(J761=0,K761=""),"",IF(E761="Positivo",MAX(K761/J761,0),MAX(J761/K761,0))),"") </f>
        <v/>
      </c>
      <c r="N761" s="5" t="inlineStr">
        <is>
          <t>Linea Base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208-2023-09-30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1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9" t="n">
        <v>1575.9</v>
      </c>
      <c r="L762" s="14">
        <f>IFERROR(IF(OR(J762=0,K762=""),"",IF(E762="Positivo",MIN(MAX(K762/J762,0),1.0),MIN(MAX(J762/K762,0),1.0))),"") </f>
        <v/>
      </c>
      <c r="M762" s="14">
        <f>IFERROR(IF(OR(J762=0,K762=""),"",IF(E762="Positivo",MAX(K762/J762,0),MAX(J762/K762,0))),"") </f>
        <v/>
      </c>
      <c r="N762" s="5" t="inlineStr">
        <is>
          <t>Linea Base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208-2023-10-31</t>
        </is>
      </c>
    </row>
    <row r="763" hidden="1">
      <c r="A763" s="28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1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9" t="n">
        <v>1380</v>
      </c>
      <c r="L763" s="14">
        <f>IFERROR(IF(OR(J763=0,K763=""),"",IF(E763="Positivo",MIN(MAX(K763/J763,0),1.0),MIN(MAX(J763/K763,0),1.0))),"") </f>
        <v/>
      </c>
      <c r="M763" s="14">
        <f>IFERROR(IF(OR(J763=0,K763=""),"",IF(E763="Positivo",MAX(K763/J763,0),MAX(J763/K763,0))),"") </f>
        <v/>
      </c>
      <c r="N763" s="5" t="inlineStr">
        <is>
          <t>Linea Base</t>
        </is>
      </c>
      <c r="O763" s="5" t="inlineStr">
        <is>
          <t>m3</t>
        </is>
      </c>
      <c r="P763" s="15" t="n">
        <v>0</v>
      </c>
      <c r="Q763" s="15" t="n">
        <v>0</v>
      </c>
      <c r="R763" s="5" t="inlineStr">
        <is>
          <t>208-2023-11-30</t>
        </is>
      </c>
    </row>
    <row r="764" hidden="1">
      <c r="A764" s="5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1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5" t="n">
        <v>1336</v>
      </c>
      <c r="L764" s="14">
        <f>IFERROR(IF(OR(J764=0,K764=""),"",IF(E764="Positivo",MIN(MAX(K764/J764,0),1.0),MIN(MAX(J764/K764,0),1.0))),"") </f>
        <v/>
      </c>
      <c r="M764" s="14">
        <f>IFERROR(IF(OR(J764=0,K764=""),"",IF(E764="Positivo",MAX(K764/J764,0),MAX(J764/K764,0))),"") </f>
        <v/>
      </c>
      <c r="N764" s="5" t="inlineStr">
        <is>
          <t>Linea Base</t>
        </is>
      </c>
      <c r="O764" s="5" t="inlineStr">
        <is>
          <t>m3</t>
        </is>
      </c>
      <c r="P764" s="5" t="n">
        <v>0</v>
      </c>
      <c r="Q764" s="5" t="n">
        <v>0</v>
      </c>
      <c r="R764" s="5" t="inlineStr">
        <is>
          <t>208-2023-12-31</t>
        </is>
      </c>
    </row>
    <row r="765" hidden="1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1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10" t="n">
        <v>1326</v>
      </c>
      <c r="L765" s="14">
        <f>IFERROR(IF(OR(J765=0,K765=""),"",IF(E765="Positivo",MIN(MAX(K765/J765,0),1.0),MIN(MAX(J765/K765,0),1.0))),"") </f>
        <v/>
      </c>
      <c r="M765" s="14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208-2024-01-31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1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10" t="n">
        <v>1307</v>
      </c>
      <c r="L766" s="14">
        <f>IFERROR(IF(OR(J766=0,K766=""),"",IF(E766="Positivo",MIN(MAX(K766/J766,0),1.0),MIN(MAX(J766/K766,0),1.0))),"") </f>
        <v/>
      </c>
      <c r="M766" s="14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208-2024-02-29</t>
        </is>
      </c>
    </row>
    <row r="767" hidden="1">
      <c r="A767" s="21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0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9" t="n">
        <v>1474.5</v>
      </c>
      <c r="L767" s="14">
        <f>IFERROR(IF(OR(J767=0,K767=""),"",IF(E767="Positivo",MIN(MAX(K767/J767,0),1.0),MIN(MAX(J767/K767,0),1.0))),"") </f>
        <v/>
      </c>
      <c r="M767" s="14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208-2024-03-31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1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9" t="n">
        <v>1526</v>
      </c>
      <c r="L768" s="14">
        <f>IFERROR(IF(OR(J768=0,K768=""),"",IF(E768="Positivo",MIN(MAX(K768/J768,0),1.0),MIN(MAX(J768/K768,0),1.0))),"") </f>
        <v/>
      </c>
      <c r="M768" s="14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208-2024-04-30</t>
        </is>
      </c>
    </row>
    <row r="769" hidden="1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1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5" t="n">
        <v>1517.5</v>
      </c>
      <c r="L769" s="14">
        <f>IFERROR(IF(OR(J769=0,K769=""),"",IF(E769="Positivo",MIN(MAX(K769/J769,0),1.0),MIN(MAX(J769/K769,0),1.0))),"") </f>
        <v/>
      </c>
      <c r="M769" s="14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208-2024-05-31</t>
        </is>
      </c>
    </row>
    <row r="770" hidden="1">
      <c r="A770" s="21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1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10" t="n">
        <v>1291</v>
      </c>
      <c r="L770" s="14">
        <f>IFERROR(IF(OR(J770=0,K770=""),"",IF(E770="Positivo",MIN(MAX(K770/J770,0),1.0),MIN(MAX(J770/K770,0),1.0))),"") </f>
        <v/>
      </c>
      <c r="M770" s="14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15" t="n">
        <v>0</v>
      </c>
      <c r="Q770" s="15" t="n">
        <v>0</v>
      </c>
      <c r="R770" s="5" t="inlineStr">
        <is>
          <t>208-2024-06-30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0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9" t="n">
        <v>1086</v>
      </c>
      <c r="L771" s="14">
        <f>IFERROR(IF(OR(J771=0,K771=""),"",IF(E771="Positivo",MIN(MAX(K771/J771,0),1.0),MIN(MAX(J771/K771,0),1.0))),"") </f>
        <v/>
      </c>
      <c r="M771" s="14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208-2024-07-31</t>
        </is>
      </c>
    </row>
    <row r="772" hidden="1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1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9" t="n">
        <v>1281.5</v>
      </c>
      <c r="L772" s="14">
        <f>IFERROR(IF(OR(J772=0,K772=""),"",IF(E772="Positivo",MIN(MAX(K772/J772,0),1.0),MIN(MAX(J772/K772,0),1.0))),"") </f>
        <v/>
      </c>
      <c r="M772" s="14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208-2024-08-31</t>
        </is>
      </c>
    </row>
    <row r="773" hidden="1">
      <c r="A773" s="5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1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5" t="n">
        <v>1466</v>
      </c>
      <c r="L773" s="14">
        <f>IFERROR(IF(OR(J773=0,K773=""),"",IF(E773="Positivo",MIN(MAX(K773/J773,0),1.0),MIN(MAX(J773/K773,0),1.0))),"") </f>
        <v/>
      </c>
      <c r="M773" s="14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5" t="n">
        <v>0</v>
      </c>
      <c r="Q773" s="5" t="n">
        <v>0</v>
      </c>
      <c r="R773" s="5" t="inlineStr">
        <is>
          <t>208-2024-09-30</t>
        </is>
      </c>
    </row>
    <row r="774" hidden="1">
      <c r="A774" s="21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1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10" t="n">
        <v>1345</v>
      </c>
      <c r="L774" s="14">
        <f>IFERROR(IF(OR(J774=0,K774=""),"",IF(E774="Positivo",MIN(MAX(K774/J774,0),1.0),MIN(MAX(J774/K774,0),1.0))),"") </f>
        <v/>
      </c>
      <c r="M774" s="14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208-2024-10-31</t>
        </is>
      </c>
    </row>
    <row r="775" hidden="1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0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9" t="n">
        <v>1115</v>
      </c>
      <c r="L775" s="14">
        <f>IFERROR(IF(OR(J775=0,K775=""),"",IF(E775="Positivo",MIN(MAX(K775/J775,0),1.0),MIN(MAX(J775/K775,0),1.0))),"") </f>
        <v/>
      </c>
      <c r="M775" s="14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208-2024-11-30</t>
        </is>
      </c>
    </row>
    <row r="776" hidden="1">
      <c r="A776" s="5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01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5" t="n">
        <v>939</v>
      </c>
      <c r="L776" s="14">
        <f>IFERROR(IF(OR(J776=0,K776=""),"",IF(E776="Positivo",MIN(MAX(K776/J776,0),1.0),MIN(MAX(J776/K776,0),1.0))),"") </f>
        <v/>
      </c>
      <c r="M776" s="14">
        <f>IFERROR(IF(OR(J776=0,K776=""),"",IF(E776="Positivo",MAX(K776/J776,0),MAX(J776/K776,0))),"") </f>
        <v/>
      </c>
      <c r="N776" s="5" t="inlineStr">
        <is>
          <t>m3</t>
        </is>
      </c>
      <c r="O776" s="5" t="inlineStr">
        <is>
          <t>m3</t>
        </is>
      </c>
      <c r="P776" s="5" t="n">
        <v>0</v>
      </c>
      <c r="Q776" s="5" t="n">
        <v>0</v>
      </c>
      <c r="R776" s="5" t="inlineStr">
        <is>
          <t>208-2024-12-31</t>
        </is>
      </c>
    </row>
    <row r="777" hidden="1">
      <c r="A777" s="21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01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1700</v>
      </c>
      <c r="K777" s="10" t="n">
        <v>800</v>
      </c>
      <c r="L777" s="14">
        <f>IFERROR(IF(OR(J777=0,K777=""),"",IF(E777="Positivo",MIN(MAX(K777/J777,0),1.0),MIN(MAX(J777/K777,0),1.0))),"") </f>
        <v/>
      </c>
      <c r="M777" s="14">
        <f>IFERROR(IF(OR(J777=0,K777=""),"",IF(E777="Positivo",MAX(K777/J777,0),MAX(J777/K777,0))),"") </f>
        <v/>
      </c>
      <c r="N777" s="5" t="inlineStr">
        <is>
          <t>m3</t>
        </is>
      </c>
      <c r="O777" s="5" t="inlineStr">
        <is>
          <t>m3</t>
        </is>
      </c>
      <c r="P777" s="15" t="n">
        <v>0</v>
      </c>
      <c r="Q777" s="15" t="n">
        <v>0</v>
      </c>
      <c r="R777" s="5" t="inlineStr">
        <is>
          <t>208-2025-01-31</t>
        </is>
      </c>
    </row>
    <row r="778" hidden="1">
      <c r="A778" s="21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01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1700</v>
      </c>
      <c r="K778" s="9" t="n">
        <v>1123</v>
      </c>
      <c r="L778" s="14">
        <f>IFERROR(IF(OR(J778=0,K778=""),"",IF(E778="Positivo",MIN(MAX(K778/J778,0),1.0),MIN(MAX(J778/K778,0),1.0))),"") </f>
        <v/>
      </c>
      <c r="M778" s="14">
        <f>IFERROR(IF(OR(J778=0,K778=""),"",IF(E778="Positivo",MAX(K778/J778,0),MAX(J778/K778,0))),"") </f>
        <v/>
      </c>
      <c r="N778" s="5" t="inlineStr">
        <is>
          <t>m3</t>
        </is>
      </c>
      <c r="O778" s="5" t="inlineStr">
        <is>
          <t>m3</t>
        </is>
      </c>
      <c r="P778" s="15" t="n">
        <v>0</v>
      </c>
      <c r="Q778" s="15" t="n">
        <v>0</v>
      </c>
      <c r="R778" s="5" t="inlineStr">
        <is>
          <t>208-2025-02-28</t>
        </is>
      </c>
    </row>
    <row r="779" hidden="1">
      <c r="A779" s="21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01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1700</v>
      </c>
      <c r="K779" s="9" t="n">
        <v>1309.5</v>
      </c>
      <c r="L779" s="14">
        <f>IFERROR(IF(OR(J779=0,K779=""),"",IF(E779="Positivo",MIN(MAX(K779/J779,0),1.0),MIN(MAX(J779/K779,0),1.0))),"") </f>
        <v/>
      </c>
      <c r="M779" s="14">
        <f>IFERROR(IF(OR(J779=0,K779=""),"",IF(E779="Positivo",MAX(K779/J779,0),MAX(J779/K779,0))),"") </f>
        <v/>
      </c>
      <c r="N779" s="5" t="inlineStr">
        <is>
          <t>m3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208-2025-03-31</t>
        </is>
      </c>
    </row>
    <row r="780" hidden="1">
      <c r="A780" s="28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101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1700</v>
      </c>
      <c r="K780" s="9" t="n">
        <v>1271</v>
      </c>
      <c r="L780" s="14">
        <f>IFERROR(IF(OR(J780=0,K780=""),"",IF(E780="Positivo",MIN(MAX(K780/J780,0),1.0),MIN(MAX(J780/K780,0),1.0))),"") </f>
        <v/>
      </c>
      <c r="M780" s="14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208-2025-04-30</t>
        </is>
      </c>
    </row>
    <row r="781" hidden="1">
      <c r="A781" s="26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01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1700</v>
      </c>
      <c r="K781" s="9" t="n">
        <v>1440.5</v>
      </c>
      <c r="L781" s="14">
        <f>IFERROR(IF(OR(J781=0,K781=""),"",IF(E781="Positivo",MIN(MAX(K781/J781,0),1.0),MIN(MAX(J781/K781,0),1.0))),"") </f>
        <v/>
      </c>
      <c r="M781" s="14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208-2025-05-31</t>
        </is>
      </c>
    </row>
    <row r="782" hidden="1">
      <c r="A782" s="21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01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1700</v>
      </c>
      <c r="K782" s="10" t="n">
        <v>1408.5</v>
      </c>
      <c r="L782" s="14">
        <f>IFERROR(IF(OR(J782=0,K782=""),"",IF(E782="Positivo",MIN(MAX(K782/J782,0),1.0),MIN(MAX(J782/K782,0),1.0))),"") </f>
        <v/>
      </c>
      <c r="M782" s="14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15" t="n">
        <v>0</v>
      </c>
      <c r="Q782" s="15" t="n">
        <v>0</v>
      </c>
      <c r="R782" s="5" t="inlineStr">
        <is>
          <t>208-2025-06-30</t>
        </is>
      </c>
    </row>
    <row r="783" hidden="1">
      <c r="A783" s="5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01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1700</v>
      </c>
      <c r="K783" s="5" t="n">
        <v>1043.5</v>
      </c>
      <c r="L783" s="14">
        <f>IFERROR(IF(OR(J783=0,K783=""),"",IF(E783="Positivo",MIN(MAX(K783/J783,0),1.0),MIN(MAX(J783/K783,0),1.0))),"") </f>
        <v/>
      </c>
      <c r="M783" s="14">
        <f>IFERROR(IF(OR(J783=0,K783=""),"",IF(E783="Positivo",MAX(K783/J783,0),MAX(J783/K783,0))),"") </f>
        <v/>
      </c>
      <c r="N783" s="5" t="inlineStr">
        <is>
          <t>m3</t>
        </is>
      </c>
      <c r="O783" s="5" t="inlineStr">
        <is>
          <t>m3</t>
        </is>
      </c>
      <c r="P783" s="5" t="n">
        <v>0</v>
      </c>
      <c r="Q783" s="5" t="n">
        <v>0</v>
      </c>
      <c r="R783" s="5" t="inlineStr">
        <is>
          <t>208-2025-07-31</t>
        </is>
      </c>
    </row>
    <row r="784" hidden="1">
      <c r="A784" s="21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01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1700</v>
      </c>
      <c r="K784" s="10" t="n">
        <v>1261</v>
      </c>
      <c r="L784" s="14">
        <f>IFERROR(IF(OR(J784=0,K784=""),"",IF(E784="Positivo",MIN(MAX(K784/J784,0),1.0),MIN(MAX(J784/K784,0),1.0))),"") </f>
        <v/>
      </c>
      <c r="M784" s="14">
        <f>IFERROR(IF(OR(J784=0,K784=""),"",IF(E784="Positivo",MAX(K784/J784,0),MAX(J784/K784,0))),"") </f>
        <v/>
      </c>
      <c r="N784" s="5" t="inlineStr">
        <is>
          <t>m3</t>
        </is>
      </c>
      <c r="O784" s="5" t="inlineStr">
        <is>
          <t>m3</t>
        </is>
      </c>
      <c r="P784" s="15" t="n">
        <v>0</v>
      </c>
      <c r="Q784" s="15" t="n">
        <v>0</v>
      </c>
      <c r="R784" s="5" t="inlineStr">
        <is>
          <t>208-2025-08-31</t>
        </is>
      </c>
    </row>
    <row r="785" hidden="1">
      <c r="A785" s="21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01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1700</v>
      </c>
      <c r="K785" s="10" t="n">
        <v>1352</v>
      </c>
      <c r="L785" s="14">
        <f>IFERROR(IF(OR(J785=0,K785=""),"",IF(E785="Positivo",MIN(MAX(K785/J785,0),1.0),MIN(MAX(J785/K785,0),1.0))),"") </f>
        <v/>
      </c>
      <c r="M785" s="14">
        <f>IFERROR(IF(OR(J785=0,K785=""),"",IF(E785="Positivo",MAX(K785/J785,0),MAX(J785/K785,0))),"") </f>
        <v/>
      </c>
      <c r="N785" s="5" t="inlineStr">
        <is>
          <t>m3</t>
        </is>
      </c>
      <c r="O785" s="5" t="inlineStr">
        <is>
          <t>m3</t>
        </is>
      </c>
      <c r="P785" s="15" t="n">
        <v>0</v>
      </c>
      <c r="Q785" s="15" t="n">
        <v>0</v>
      </c>
      <c r="R785" s="5" t="inlineStr">
        <is>
          <t>208-2025-09-30</t>
        </is>
      </c>
    </row>
    <row r="786" hidden="1">
      <c r="A786" s="21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00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1700</v>
      </c>
      <c r="K786" s="9" t="n">
        <v>1260.5</v>
      </c>
      <c r="L786" s="14">
        <f>IFERROR(IF(OR(J786=0,K786=""),"",IF(E786="Positivo",MIN(MAX(K786/J786,0),1.0),MIN(MAX(J786/K786,0),1.0))),"") </f>
        <v/>
      </c>
      <c r="M786" s="14">
        <f>IFERROR(IF(OR(J786=0,K786=""),"",IF(E786="Positivo",MAX(K786/J786,0),MAX(J786/K786,0))),"") </f>
        <v/>
      </c>
      <c r="N786" s="5" t="inlineStr">
        <is>
          <t>m3</t>
        </is>
      </c>
      <c r="O786" s="5" t="inlineStr">
        <is>
          <t>m3</t>
        </is>
      </c>
      <c r="P786" s="15" t="n">
        <v>0</v>
      </c>
      <c r="Q786" s="15" t="n">
        <v>0</v>
      </c>
      <c r="R786" s="5" t="inlineStr">
        <is>
          <t>208-2025-10-31</t>
        </is>
      </c>
    </row>
    <row r="787" hidden="1">
      <c r="A787" s="26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01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1700</v>
      </c>
      <c r="K787" s="9" t="n">
        <v>1126</v>
      </c>
      <c r="L787" s="14">
        <f>IFERROR(IF(OR(J787=0,K787=""),"",IF(E787="Positivo",MIN(MAX(K787/J787,0),1.0),MIN(MAX(J787/K787,0),1.0))),"") </f>
        <v/>
      </c>
      <c r="M787" s="14">
        <f>IFERROR(IF(OR(J787=0,K787=""),"",IF(E787="Positivo",MAX(K787/J787,0),MAX(J787/K787,0))),"") </f>
        <v/>
      </c>
      <c r="N787" s="5" t="inlineStr">
        <is>
          <t>m3</t>
        </is>
      </c>
      <c r="O787" s="5" t="inlineStr">
        <is>
          <t>m3</t>
        </is>
      </c>
      <c r="P787" s="15" t="n">
        <v>0</v>
      </c>
      <c r="Q787" s="15" t="n">
        <v>0</v>
      </c>
      <c r="R787" s="5" t="inlineStr">
        <is>
          <t>208-2025-11-30</t>
        </is>
      </c>
    </row>
    <row r="788" hidden="1">
      <c r="A788" s="5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01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1700</v>
      </c>
      <c r="K788" s="5" t="n">
        <v>1059</v>
      </c>
      <c r="L788" s="14">
        <f>IFERROR(IF(OR(J788=0,K788=""),"",IF(E788="Positivo",MIN(MAX(K788/J788,0),1.0),MIN(MAX(J788/K788,0),1.0))),"") </f>
        <v/>
      </c>
      <c r="M788" s="14">
        <f>IFERROR(IF(OR(J788=0,K788=""),"",IF(E788="Positivo",MAX(K788/J788,0),MAX(J788/K788,0))),"") </f>
        <v/>
      </c>
      <c r="N788" s="5" t="inlineStr">
        <is>
          <t>m3</t>
        </is>
      </c>
      <c r="O788" s="5" t="inlineStr">
        <is>
          <t>m3</t>
        </is>
      </c>
      <c r="P788" s="5" t="n">
        <v>0</v>
      </c>
      <c r="Q788" s="5" t="n">
        <v>0</v>
      </c>
      <c r="R788" s="5" t="inlineStr">
        <is>
          <t>208-2025-12-31</t>
        </is>
      </c>
    </row>
    <row r="789" hidden="1">
      <c r="A789" s="21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101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10" t="n">
        <v>881</v>
      </c>
      <c r="L789" s="14">
        <f>IFERROR(IF(OR(J789=0,K789=""),"",IF(E789="Positivo",MIN(MAX(K789/J789,0),1.0),MIN(MAX(J789/K789,0),1.0))),"") </f>
        <v/>
      </c>
      <c r="M789" s="14">
        <f>IFERROR(IF(OR(J789=0,K789=""),"",IF(E789="Positivo",MAX(K789/J789,0),MAX(J789/K789,0))),"") </f>
        <v/>
      </c>
      <c r="N789" s="5" t="inlineStr">
        <is>
          <t>m3</t>
        </is>
      </c>
      <c r="O789" s="5" t="inlineStr">
        <is>
          <t>m3</t>
        </is>
      </c>
      <c r="P789" s="15" t="n">
        <v>0</v>
      </c>
      <c r="Q789" s="15" t="n">
        <v>0</v>
      </c>
      <c r="R789" s="5" t="inlineStr">
        <is>
          <t>208-2026-01-31</t>
        </is>
      </c>
      <c r="S789" t="inlineStr"/>
    </row>
    <row r="790" hidden="1">
      <c r="A790" s="21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0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9" t="n">
        <v>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15" t="n">
        <v>0</v>
      </c>
      <c r="Q790" s="15" t="n">
        <v>0</v>
      </c>
      <c r="R790" s="5" t="inlineStr">
        <is>
          <t>213-2022-03-31</t>
        </is>
      </c>
    </row>
    <row r="791" hidden="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1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9" t="n">
        <v>0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213-2022-06-30</t>
        </is>
      </c>
    </row>
    <row r="792" hidden="1">
      <c r="A792" s="5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01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5" t="n">
        <v>0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213-2022-09-30</t>
        </is>
      </c>
    </row>
    <row r="793" hidden="1">
      <c r="A793" s="21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101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10" t="n">
        <v>0</v>
      </c>
      <c r="L793" s="1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15" t="n">
        <v>0</v>
      </c>
      <c r="Q793" s="15" t="n">
        <v>0</v>
      </c>
      <c r="R793" s="5" t="inlineStr">
        <is>
          <t>213-2022-12-31</t>
        </is>
      </c>
    </row>
    <row r="794" hidden="1">
      <c r="A794" s="21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20" t="inlineStr">
        <is>
          <t>Trimestral</t>
        </is>
      </c>
      <c r="E794" s="5" t="inlineStr">
        <is>
          <t>Positivo</t>
        </is>
      </c>
      <c r="F794" s="101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9" t="n">
        <v>100</v>
      </c>
      <c r="L794" s="1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m3</t>
        </is>
      </c>
      <c r="O794" s="5" t="inlineStr">
        <is>
          <t>m3</t>
        </is>
      </c>
      <c r="P794" s="15" t="n">
        <v>0</v>
      </c>
      <c r="Q794" s="15" t="n">
        <v>0</v>
      </c>
      <c r="R794" s="5" t="inlineStr">
        <is>
          <t>213-2023-03-31</t>
        </is>
      </c>
    </row>
    <row r="795" hidden="1">
      <c r="A795" s="26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01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9" t="n">
        <v>93.33</v>
      </c>
      <c r="L795" s="1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m3</t>
        </is>
      </c>
      <c r="O795" s="5" t="inlineStr">
        <is>
          <t>m3</t>
        </is>
      </c>
      <c r="P795" s="15" t="n">
        <v>0</v>
      </c>
      <c r="Q795" s="15" t="n">
        <v>0</v>
      </c>
      <c r="R795" s="5" t="inlineStr">
        <is>
          <t>213-2023-06-30</t>
        </is>
      </c>
    </row>
    <row r="796" hidden="1">
      <c r="A796" s="5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101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5" t="n">
        <v>86.40000000000001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m3</t>
        </is>
      </c>
      <c r="O796" s="5" t="inlineStr">
        <is>
          <t>m3</t>
        </is>
      </c>
      <c r="P796" s="5" t="n">
        <v>1</v>
      </c>
      <c r="Q796" s="5" t="n">
        <v>1</v>
      </c>
      <c r="R796" s="5" t="inlineStr">
        <is>
          <t>213-2023-09-30</t>
        </is>
      </c>
    </row>
    <row r="797" hidden="1">
      <c r="A797" s="21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101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10" t="n">
        <v>100</v>
      </c>
      <c r="L797" s="1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15" t="n">
        <v>0</v>
      </c>
      <c r="Q797" s="15" t="n">
        <v>0</v>
      </c>
      <c r="R797" s="5" t="inlineStr">
        <is>
          <t>213-2023-12-31</t>
        </is>
      </c>
    </row>
    <row r="798" hidden="1">
      <c r="A798" s="21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00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9" t="n">
        <v>100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15" t="n">
        <v>0</v>
      </c>
      <c r="Q798" s="15" t="n">
        <v>0</v>
      </c>
      <c r="R798" s="5" t="inlineStr">
        <is>
          <t>213-2024-03-31</t>
        </is>
      </c>
    </row>
    <row r="799" hidden="1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01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9" t="n">
        <v>100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15" t="n">
        <v>0</v>
      </c>
      <c r="Q799" s="15" t="n">
        <v>0</v>
      </c>
      <c r="R799" s="5" t="inlineStr">
        <is>
          <t>213-2024-06-30</t>
        </is>
      </c>
    </row>
    <row r="800" hidden="1">
      <c r="A800" s="5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01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5" t="n">
        <v>97.79000000000001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213-2024-09-30</t>
        </is>
      </c>
    </row>
    <row r="801" hidden="1">
      <c r="A801" s="21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101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10" t="n">
        <v>100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15" t="n">
        <v>0</v>
      </c>
      <c r="Q801" s="15" t="n">
        <v>0</v>
      </c>
      <c r="R801" s="5" t="inlineStr">
        <is>
          <t>213-2024-12-31</t>
        </is>
      </c>
    </row>
    <row r="802" hidden="1">
      <c r="A802" s="21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00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9" t="n">
        <v>100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15" t="n">
        <v>0</v>
      </c>
      <c r="Q802" s="15" t="n">
        <v>0</v>
      </c>
      <c r="R802" s="5" t="inlineStr">
        <is>
          <t>213-2025-03-31</t>
        </is>
      </c>
    </row>
    <row r="803" hidden="1">
      <c r="A803" s="26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01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9" t="n">
        <v>94.63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15" t="n">
        <v>0</v>
      </c>
      <c r="Q803" s="15" t="n">
        <v>0</v>
      </c>
      <c r="R803" s="5" t="inlineStr">
        <is>
          <t>213-2025-06-30</t>
        </is>
      </c>
    </row>
    <row r="804" hidden="1">
      <c r="A804" s="5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01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5" t="n">
        <v>100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213-2025-09-30</t>
        </is>
      </c>
    </row>
    <row r="805" hidden="1">
      <c r="A805" s="21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101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10" t="n">
        <v>100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15" t="n">
        <v>0</v>
      </c>
      <c r="Q805" s="15" t="n">
        <v>0</v>
      </c>
      <c r="R805" s="5" t="inlineStr">
        <is>
          <t>213-2025-12-31</t>
        </is>
      </c>
    </row>
    <row r="806" hidden="1">
      <c r="A806" s="21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0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9" t="n">
        <v>777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Kg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214-2022-01-31</t>
        </is>
      </c>
    </row>
    <row r="807" hidden="1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01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9" t="n">
        <v>992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5" t="inlineStr">
        <is>
          <t>Kg</t>
        </is>
      </c>
      <c r="O807" s="5" t="inlineStr">
        <is>
          <t>Kg</t>
        </is>
      </c>
      <c r="P807" s="15" t="n">
        <v>0</v>
      </c>
      <c r="Q807" s="15" t="n">
        <v>0</v>
      </c>
      <c r="R807" s="5" t="inlineStr">
        <is>
          <t>214-2022-02-28</t>
        </is>
      </c>
    </row>
    <row r="808" hidden="1">
      <c r="A808" s="5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1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5" t="n">
        <v>1233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inlineStr">
        <is>
          <t>Kg</t>
        </is>
      </c>
      <c r="O808" s="5" t="inlineStr">
        <is>
          <t>Kg</t>
        </is>
      </c>
      <c r="P808" s="5" t="n">
        <v>0</v>
      </c>
      <c r="Q808" s="5" t="n">
        <v>0</v>
      </c>
      <c r="R808" s="5" t="inlineStr">
        <is>
          <t>214-2022-03-31</t>
        </is>
      </c>
    </row>
    <row r="809" hidden="1">
      <c r="A809" s="21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1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10" t="n">
        <v>1176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Kg</t>
        </is>
      </c>
      <c r="O809" s="5" t="inlineStr">
        <is>
          <t>Kg</t>
        </is>
      </c>
      <c r="P809" s="15" t="n">
        <v>0</v>
      </c>
      <c r="Q809" s="15" t="n">
        <v>0</v>
      </c>
      <c r="R809" s="5" t="inlineStr">
        <is>
          <t>214-2022-04-30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0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9" t="n">
        <v>811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Kg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214-2022-05-31</t>
        </is>
      </c>
    </row>
    <row r="811" hidden="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1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9" t="n">
        <v>895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Kg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214-2022-06-30</t>
        </is>
      </c>
    </row>
    <row r="812" hidden="1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1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5" t="n">
        <v>725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Kg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214-2022-07-31</t>
        </is>
      </c>
    </row>
    <row r="813" hidden="1">
      <c r="A813" s="26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1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9" t="n">
        <v>383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Kg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214-2022-08-31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1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10" t="n">
        <v>1553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Kg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214-2022-09-30</t>
        </is>
      </c>
    </row>
    <row r="815" hidden="1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0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9" t="n">
        <v>1756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Kg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214-2022-10-31</t>
        </is>
      </c>
    </row>
    <row r="816" hidden="1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1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5" t="n">
        <v>7500</v>
      </c>
      <c r="K816" s="9" t="n">
        <v>1786.799987792969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214-2022-11-30</t>
        </is>
      </c>
    </row>
    <row r="817" hidden="1">
      <c r="A817" s="5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1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5" t="n">
        <v>1138.149993896484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5" t="n">
        <v>0</v>
      </c>
      <c r="Q817" s="5" t="n">
        <v>0</v>
      </c>
      <c r="R817" s="5" t="inlineStr">
        <is>
          <t>214-2022-12-31</t>
        </is>
      </c>
    </row>
    <row r="818" hidden="1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1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5" t="n">
        <v>7500</v>
      </c>
      <c r="K818" s="10" t="n">
        <v>1399.55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Linea Base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214-2023-01-31</t>
        </is>
      </c>
    </row>
    <row r="819" hidden="1">
      <c r="A819" s="24" t="n">
        <v>214</v>
      </c>
      <c r="B819" s="16" t="inlineStr">
        <is>
          <t>Generación de Residuos Sólidos Mensual</t>
        </is>
      </c>
      <c r="C819" s="16" t="inlineStr">
        <is>
          <t>GESTIÓN AMBIENTAL</t>
        </is>
      </c>
      <c r="D819" s="16" t="inlineStr">
        <is>
          <t>Mensual</t>
        </is>
      </c>
      <c r="E819" s="16" t="inlineStr">
        <is>
          <t>Negativo</t>
        </is>
      </c>
      <c r="F819" s="106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16" t="n">
        <v>7500</v>
      </c>
      <c r="K819" s="9" t="n">
        <v>2255.66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16" t="inlineStr">
        <is>
          <t>Linea Base</t>
        </is>
      </c>
      <c r="O819" s="16" t="inlineStr">
        <is>
          <t>Kg</t>
        </is>
      </c>
      <c r="P819" s="15" t="n">
        <v>0</v>
      </c>
      <c r="Q819" s="15" t="n">
        <v>0</v>
      </c>
      <c r="R819" s="5" t="inlineStr">
        <is>
          <t>214-2023-02-28</t>
        </is>
      </c>
    </row>
    <row r="820" hidden="1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1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9" t="n">
        <v>2757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Linea Base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214-2023-03-31</t>
        </is>
      </c>
    </row>
    <row r="821" hidden="1">
      <c r="A821" s="24" t="n">
        <v>214</v>
      </c>
      <c r="B821" s="16" t="inlineStr">
        <is>
          <t>Generación de Residuos Sólidos Mensual</t>
        </is>
      </c>
      <c r="C821" s="16" t="inlineStr">
        <is>
          <t>GESTIÓN AMBIENTAL</t>
        </is>
      </c>
      <c r="D821" s="16" t="inlineStr">
        <is>
          <t>Mensual</t>
        </is>
      </c>
      <c r="E821" s="16" t="inlineStr">
        <is>
          <t>Negativo</t>
        </is>
      </c>
      <c r="F821" s="106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16" t="n">
        <v>7500</v>
      </c>
      <c r="K821" s="9" t="n">
        <v>2313.5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16" t="inlineStr">
        <is>
          <t>Linea Base</t>
        </is>
      </c>
      <c r="O821" s="16" t="inlineStr">
        <is>
          <t>Kg</t>
        </is>
      </c>
      <c r="P821" s="15" t="n">
        <v>0</v>
      </c>
      <c r="Q821" s="15" t="n">
        <v>0</v>
      </c>
      <c r="R821" s="5" t="inlineStr">
        <is>
          <t>214-2023-04-30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1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15" t="n">
        <v>2632.03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16" t="inlineStr">
        <is>
          <t>Linea Base</t>
        </is>
      </c>
      <c r="O822" s="16" t="inlineStr">
        <is>
          <t>Kg</t>
        </is>
      </c>
      <c r="P822" s="15" t="n">
        <v>0</v>
      </c>
      <c r="Q822" s="15" t="n">
        <v>0</v>
      </c>
      <c r="R822" s="5" t="inlineStr">
        <is>
          <t>214-2023-05-31</t>
        </is>
      </c>
    </row>
    <row r="823" hidden="1">
      <c r="A823" s="5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1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5" t="n">
        <v>2295.51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Linea Base</t>
        </is>
      </c>
      <c r="O823" s="5" t="inlineStr">
        <is>
          <t>Kg</t>
        </is>
      </c>
      <c r="P823" s="5" t="n">
        <v>0</v>
      </c>
      <c r="Q823" s="5" t="n">
        <v>0</v>
      </c>
      <c r="R823" s="5" t="inlineStr">
        <is>
          <t>214-2023-06-30</t>
        </is>
      </c>
    </row>
    <row r="824" hidden="1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1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10" t="n">
        <v>2157.5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Linea Base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214-2023-07-31</t>
        </is>
      </c>
    </row>
    <row r="825" hidden="1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0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9" t="n">
        <v>6540.08</v>
      </c>
      <c r="L825" s="1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Linea Base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214-2023-08-31</t>
        </is>
      </c>
    </row>
    <row r="826" hidden="1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1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9" t="n">
        <v>7824.24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Linea Base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214-2023-09-30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0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9" t="n">
        <v>6165.24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inlineStr">
        <is>
          <t>Linea Base</t>
        </is>
      </c>
      <c r="O827" s="5" t="inlineStr">
        <is>
          <t>Kg</t>
        </is>
      </c>
      <c r="P827" s="15" t="n">
        <v>0</v>
      </c>
      <c r="Q827" s="15" t="n">
        <v>0</v>
      </c>
      <c r="R827" s="5" t="inlineStr">
        <is>
          <t>214-2023-10-31</t>
        </is>
      </c>
    </row>
    <row r="828" hidden="1">
      <c r="A828" s="21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1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10" t="n">
        <v>6186.4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5" t="inlineStr">
        <is>
          <t>Linea Base</t>
        </is>
      </c>
      <c r="O828" s="5" t="inlineStr">
        <is>
          <t>Kg</t>
        </is>
      </c>
      <c r="P828" s="15" t="n">
        <v>0</v>
      </c>
      <c r="Q828" s="15" t="n">
        <v>0</v>
      </c>
      <c r="R828" s="5" t="inlineStr">
        <is>
          <t>214-2023-11-30</t>
        </is>
      </c>
    </row>
    <row r="829" hidden="1">
      <c r="A829" s="21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0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9" t="n">
        <v>2129.59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Linea Base</t>
        </is>
      </c>
      <c r="O829" s="5" t="inlineStr">
        <is>
          <t>Kg</t>
        </is>
      </c>
      <c r="P829" s="15" t="n">
        <v>0</v>
      </c>
      <c r="Q829" s="15" t="n">
        <v>0</v>
      </c>
      <c r="R829" s="5" t="inlineStr">
        <is>
          <t>214-2023-12-31</t>
        </is>
      </c>
    </row>
    <row r="830" hidden="1">
      <c r="A830" s="26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1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9" t="n">
        <v>3375.7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214-2024-01-31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0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9" t="n">
        <v>6138.9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214-2024-02-29</t>
        </is>
      </c>
    </row>
    <row r="832" hidden="1">
      <c r="A832" s="21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1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10" t="n">
        <v>5548.44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214-2024-03-31</t>
        </is>
      </c>
    </row>
    <row r="833" hidden="1">
      <c r="A833" s="21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0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5" t="n">
        <v>7500</v>
      </c>
      <c r="K833" s="9" t="n">
        <v>7543.48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15" t="n">
        <v>0</v>
      </c>
      <c r="Q833" s="15" t="n">
        <v>0</v>
      </c>
      <c r="R833" s="5" t="inlineStr">
        <is>
          <t>214-2024-04-30</t>
        </is>
      </c>
    </row>
    <row r="834" hidden="1">
      <c r="A834" s="26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1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9" t="n">
        <v>7006.34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214-2024-05-31</t>
        </is>
      </c>
    </row>
    <row r="835" hidden="1">
      <c r="A835" s="5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1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5" t="n">
        <v>7500</v>
      </c>
      <c r="K835" s="5" t="n">
        <v>3200.05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5" t="n">
        <v>0</v>
      </c>
      <c r="Q835" s="5" t="n">
        <v>0</v>
      </c>
      <c r="R835" s="5" t="inlineStr">
        <is>
          <t>214-2024-06-30</t>
        </is>
      </c>
    </row>
    <row r="836" hidden="1">
      <c r="A836" s="21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1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10" t="n">
        <v>2567.429992675781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214-2024-07-31</t>
        </is>
      </c>
    </row>
    <row r="837" hidden="1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0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9" t="n">
        <v>5591.600022315979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214-2024-08-31</t>
        </is>
      </c>
    </row>
    <row r="838" hidden="1">
      <c r="A838" s="21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0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9" t="n">
        <v>5132.759970664978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214-2024-09-30</t>
        </is>
      </c>
    </row>
    <row r="839" hidden="1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1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5" t="n">
        <v>7500</v>
      </c>
      <c r="K839" s="9" t="n">
        <v>5403.060033798218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214-2024-10-31</t>
        </is>
      </c>
    </row>
    <row r="840" hidden="1">
      <c r="A840" s="26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01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5" t="n">
        <v>7500</v>
      </c>
      <c r="K840" s="9" t="n">
        <v>4790.710048675537</v>
      </c>
      <c r="L840" s="1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Kg</t>
        </is>
      </c>
      <c r="O840" s="5" t="inlineStr">
        <is>
          <t>Kg</t>
        </is>
      </c>
      <c r="P840" s="15" t="n">
        <v>0</v>
      </c>
      <c r="Q840" s="15" t="n">
        <v>0</v>
      </c>
      <c r="R840" s="5" t="inlineStr">
        <is>
          <t>214-2024-11-30</t>
        </is>
      </c>
    </row>
    <row r="841" hidden="1">
      <c r="A841" s="21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00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11" t="n">
        <v>7500</v>
      </c>
      <c r="K841" s="9" t="n">
        <v>1490.200012207031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11" t="inlineStr">
        <is>
          <t>Kg</t>
        </is>
      </c>
      <c r="O841" s="11" t="inlineStr">
        <is>
          <t>Kg</t>
        </is>
      </c>
      <c r="P841" s="15" t="n">
        <v>0</v>
      </c>
      <c r="Q841" s="15" t="n">
        <v>0</v>
      </c>
      <c r="R841" s="5" t="inlineStr">
        <is>
          <t>214-2024-12-31</t>
        </is>
      </c>
    </row>
    <row r="842" hidden="1">
      <c r="A842" s="26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01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11" t="n">
        <v>7500</v>
      </c>
      <c r="K842" s="9" t="n">
        <v>2054.76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11" t="inlineStr">
        <is>
          <t>Kg</t>
        </is>
      </c>
      <c r="O842" s="11" t="inlineStr">
        <is>
          <t>Kg</t>
        </is>
      </c>
      <c r="P842" s="15" t="n">
        <v>0</v>
      </c>
      <c r="Q842" s="15" t="n">
        <v>0</v>
      </c>
      <c r="R842" s="5" t="inlineStr">
        <is>
          <t>214-2025-01-31</t>
        </is>
      </c>
    </row>
    <row r="843" hidden="1">
      <c r="A843" s="5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01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5" t="n">
        <v>5016.83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5" t="n">
        <v>0</v>
      </c>
      <c r="Q843" s="5" t="n">
        <v>0</v>
      </c>
      <c r="R843" s="5" t="inlineStr">
        <is>
          <t>214-2025-02-28</t>
        </is>
      </c>
    </row>
    <row r="844" hidden="1">
      <c r="A844" s="21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01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10" t="n">
        <v>6477.26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Kg</t>
        </is>
      </c>
      <c r="O844" s="5" t="inlineStr">
        <is>
          <t>Kg</t>
        </is>
      </c>
      <c r="P844" s="15" t="n">
        <v>0</v>
      </c>
      <c r="Q844" s="15" t="n">
        <v>0</v>
      </c>
      <c r="R844" s="5" t="inlineStr">
        <is>
          <t>214-2025-03-31</t>
        </is>
      </c>
    </row>
    <row r="845" hidden="1">
      <c r="A845" s="21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00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9" t="n">
        <v>5312.64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Kg</t>
        </is>
      </c>
      <c r="O845" s="5" t="inlineStr">
        <is>
          <t>Kg</t>
        </is>
      </c>
      <c r="P845" s="15" t="n">
        <v>0</v>
      </c>
      <c r="Q845" s="15" t="n">
        <v>0</v>
      </c>
      <c r="R845" s="5" t="inlineStr">
        <is>
          <t>214-2025-04-30</t>
        </is>
      </c>
    </row>
    <row r="846" hidden="1">
      <c r="A846" s="26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01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9" t="n">
        <v>5499.51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Kg</t>
        </is>
      </c>
      <c r="O846" s="5" t="inlineStr">
        <is>
          <t>Kg</t>
        </is>
      </c>
      <c r="P846" s="15" t="n">
        <v>0</v>
      </c>
      <c r="Q846" s="15" t="n">
        <v>0</v>
      </c>
      <c r="R846" s="5" t="inlineStr">
        <is>
          <t>214-2025-05-31</t>
        </is>
      </c>
    </row>
    <row r="847" hidden="1">
      <c r="A847" s="5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01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5" t="n">
        <v>2630.16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Kg</t>
        </is>
      </c>
      <c r="O847" s="5" t="inlineStr">
        <is>
          <t>Kg</t>
        </is>
      </c>
      <c r="P847" s="5" t="n">
        <v>0</v>
      </c>
      <c r="Q847" s="5" t="n">
        <v>0</v>
      </c>
      <c r="R847" s="5" t="inlineStr">
        <is>
          <t>214-2025-06-30</t>
        </is>
      </c>
    </row>
    <row r="848" hidden="1">
      <c r="A848" s="21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01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10" t="n">
        <v>2456.83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Kg</t>
        </is>
      </c>
      <c r="O848" s="5" t="inlineStr">
        <is>
          <t>Kg</t>
        </is>
      </c>
      <c r="P848" s="15" t="n">
        <v>0</v>
      </c>
      <c r="Q848" s="15" t="n">
        <v>0</v>
      </c>
      <c r="R848" s="5" t="inlineStr">
        <is>
          <t>214-2025-07-31</t>
        </is>
      </c>
    </row>
    <row r="849" hidden="1">
      <c r="A849" s="21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00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9" t="n">
        <v>5120.88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Kg</t>
        </is>
      </c>
      <c r="O849" s="5" t="inlineStr">
        <is>
          <t>Kg</t>
        </is>
      </c>
      <c r="P849" s="15" t="n">
        <v>0</v>
      </c>
      <c r="Q849" s="15" t="n">
        <v>0</v>
      </c>
      <c r="R849" s="5" t="inlineStr">
        <is>
          <t>214-2025-08-31</t>
        </is>
      </c>
    </row>
    <row r="850" hidden="1">
      <c r="A850" s="26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01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9" t="n">
        <v>5321.59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Kg</t>
        </is>
      </c>
      <c r="O850" s="5" t="inlineStr">
        <is>
          <t>Kg</t>
        </is>
      </c>
      <c r="P850" s="15" t="n">
        <v>0</v>
      </c>
      <c r="Q850" s="15" t="n">
        <v>0</v>
      </c>
      <c r="R850" s="5" t="inlineStr">
        <is>
          <t>214-2025-09-30</t>
        </is>
      </c>
    </row>
    <row r="851" hidden="1">
      <c r="A851" s="21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00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9" t="n">
        <v>3998.57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inlineStr">
        <is>
          <t>Kg</t>
        </is>
      </c>
      <c r="O851" s="5" t="inlineStr">
        <is>
          <t>Kg</t>
        </is>
      </c>
      <c r="P851" s="15" t="n">
        <v>0</v>
      </c>
      <c r="Q851" s="15" t="n">
        <v>0</v>
      </c>
      <c r="R851" s="5" t="inlineStr">
        <is>
          <t>214-2025-10-31</t>
        </is>
      </c>
    </row>
    <row r="852" hidden="1">
      <c r="A852" s="26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01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9" t="n">
        <v>5264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Kg</t>
        </is>
      </c>
      <c r="O852" s="5" t="inlineStr">
        <is>
          <t>Kg</t>
        </is>
      </c>
      <c r="P852" s="15" t="n">
        <v>0</v>
      </c>
      <c r="Q852" s="15" t="n">
        <v>0</v>
      </c>
      <c r="R852" s="5" t="inlineStr">
        <is>
          <t>214-2025-11-30</t>
        </is>
      </c>
    </row>
    <row r="853" hidden="1">
      <c r="A853" s="5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01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5" t="n">
        <v>2169.54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inlineStr">
        <is>
          <t>Kg</t>
        </is>
      </c>
      <c r="O853" s="5" t="inlineStr">
        <is>
          <t>Kg</t>
        </is>
      </c>
      <c r="P853" s="5" t="n">
        <v>0</v>
      </c>
      <c r="Q853" s="5" t="n">
        <v>0</v>
      </c>
      <c r="R853" s="5" t="inlineStr">
        <is>
          <t>214-2025-12-31</t>
        </is>
      </c>
    </row>
    <row r="854" hidden="1">
      <c r="A854" s="21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101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10" t="n">
        <v>1139.249969482422</v>
      </c>
      <c r="L854" s="1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inlineStr">
        <is>
          <t>Kg</t>
        </is>
      </c>
      <c r="O854" s="5" t="inlineStr">
        <is>
          <t>Kg</t>
        </is>
      </c>
      <c r="P854" s="15" t="n">
        <v>0</v>
      </c>
      <c r="Q854" s="15" t="n">
        <v>0</v>
      </c>
      <c r="R854" s="5" t="inlineStr">
        <is>
          <t>214-2026-01-31</t>
        </is>
      </c>
      <c r="S854" t="inlineStr"/>
    </row>
    <row r="855" hidden="1">
      <c r="A855" s="21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00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9" t="n"/>
      <c r="L855" s="8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2</v>
      </c>
      <c r="Q855" s="15" t="n">
        <v>2</v>
      </c>
      <c r="R855" s="5" t="inlineStr">
        <is>
          <t>215-2022-03-31</t>
        </is>
      </c>
      <c r="S855" t="inlineStr">
        <is>
          <t>No Aplica</t>
        </is>
      </c>
    </row>
    <row r="856" hidden="1">
      <c r="A856" s="26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01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5" t="n">
        <v>1</v>
      </c>
      <c r="K856" s="9" t="n"/>
      <c r="L856" s="8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2</v>
      </c>
      <c r="Q856" s="15" t="n">
        <v>2</v>
      </c>
      <c r="R856" s="5" t="inlineStr">
        <is>
          <t>215-2022-06-30</t>
        </is>
      </c>
      <c r="S856" t="inlineStr">
        <is>
          <t>No Aplica</t>
        </is>
      </c>
    </row>
    <row r="857" hidden="1">
      <c r="A857" s="5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101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5" t="n">
        <v>1</v>
      </c>
      <c r="K857" s="5" t="n">
        <v>-23.628691983122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inlineStr">
        <is>
          <t>%</t>
        </is>
      </c>
      <c r="O857" s="5" t="inlineStr">
        <is>
          <t>%</t>
        </is>
      </c>
      <c r="P857" s="5" t="n">
        <v>2</v>
      </c>
      <c r="Q857" s="5" t="n">
        <v>2</v>
      </c>
      <c r="R857" s="5" t="inlineStr">
        <is>
          <t>215-2022-12-31</t>
        </is>
      </c>
    </row>
    <row r="858" hidden="1">
      <c r="A858" s="21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101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10" t="n">
        <v>-47.67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inlineStr">
        <is>
          <t>Kg</t>
        </is>
      </c>
      <c r="O858" s="5" t="inlineStr">
        <is>
          <t>Kg</t>
        </is>
      </c>
      <c r="P858" s="15" t="n">
        <v>2</v>
      </c>
      <c r="Q858" s="15" t="n">
        <v>2</v>
      </c>
      <c r="R858" s="5" t="inlineStr">
        <is>
          <t>215-2023-06-30</t>
        </is>
      </c>
    </row>
    <row r="859" hidden="1">
      <c r="A859" s="21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100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9" t="n">
        <v>-124.72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15" t="n">
        <v>2</v>
      </c>
      <c r="Q859" s="15" t="n">
        <v>2</v>
      </c>
      <c r="R859" s="5" t="inlineStr">
        <is>
          <t>215-2023-12-31</t>
        </is>
      </c>
    </row>
    <row r="860" hidden="1">
      <c r="A860" s="26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01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9" t="n">
        <v>8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15" t="n">
        <v>2</v>
      </c>
      <c r="Q860" s="15" t="n">
        <v>2</v>
      </c>
      <c r="R860" s="5" t="inlineStr">
        <is>
          <t>215-2024-06-30</t>
        </is>
      </c>
    </row>
    <row r="861" hidden="1">
      <c r="A861" s="5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101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5" t="n">
        <v>-45.65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5" t="n">
        <v>2</v>
      </c>
      <c r="Q861" s="5" t="n">
        <v>2</v>
      </c>
      <c r="R861" s="5" t="inlineStr">
        <is>
          <t>215-2024-12-31</t>
        </is>
      </c>
    </row>
    <row r="862" hidden="1">
      <c r="A862" s="21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01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9" t="n">
        <v>-114.55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15" t="n">
        <v>2</v>
      </c>
      <c r="Q862" s="15" t="n">
        <v>2</v>
      </c>
      <c r="R862" s="5" t="inlineStr">
        <is>
          <t>215-2025-06-30</t>
        </is>
      </c>
    </row>
    <row r="863" hidden="1">
      <c r="A863" s="28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101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9" t="n">
        <v>-6.43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15" t="n">
        <v>2</v>
      </c>
      <c r="Q863" s="15" t="n">
        <v>2</v>
      </c>
      <c r="R863" s="5" t="inlineStr">
        <is>
          <t>215-2025-12-31</t>
        </is>
      </c>
    </row>
    <row r="864" hidden="1">
      <c r="A864" s="5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01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5" t="n">
        <v>300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216-2022-12-31</t>
        </is>
      </c>
    </row>
    <row r="865" hidden="1">
      <c r="A865" s="21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01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10" t="n">
        <v>100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216-2023-12-31</t>
        </is>
      </c>
    </row>
    <row r="866" hidden="1">
      <c r="A866" s="21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01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10" t="n">
        <v>100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n"/>
      <c r="O866" s="5" t="n"/>
      <c r="P866" s="15" t="n">
        <v>0</v>
      </c>
      <c r="Q866" s="15" t="n">
        <v>0</v>
      </c>
      <c r="R866" s="5" t="inlineStr">
        <is>
          <t>216-2024-12-31</t>
        </is>
      </c>
    </row>
    <row r="867" hidden="1">
      <c r="A867" s="21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101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9" t="n">
        <v>100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5" t="n">
        <v>0</v>
      </c>
      <c r="Q867" s="15" t="n">
        <v>0</v>
      </c>
      <c r="R867" s="5" t="inlineStr">
        <is>
          <t>216-2025-12-31</t>
        </is>
      </c>
    </row>
    <row r="868" hidden="1">
      <c r="A868" s="21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1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9" t="n"/>
      <c r="L868" s="14" t="n"/>
      <c r="M868" s="14" t="n"/>
      <c r="N868" s="5" t="inlineStr">
        <is>
          <t>%</t>
        </is>
      </c>
      <c r="O868" s="5" t="inlineStr">
        <is>
          <t>No Aplica</t>
        </is>
      </c>
      <c r="P868" s="15" t="n">
        <v>0</v>
      </c>
      <c r="Q868" s="15" t="n">
        <v>0</v>
      </c>
      <c r="R868" s="5" t="inlineStr">
        <is>
          <t>217-2022-01-31</t>
        </is>
      </c>
      <c r="S868" t="inlineStr">
        <is>
          <t>No Aplica</t>
        </is>
      </c>
    </row>
    <row r="869" hidden="1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1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9" t="n"/>
      <c r="L869" s="14" t="n"/>
      <c r="M869" s="14" t="n"/>
      <c r="N869" s="5" t="inlineStr">
        <is>
          <t>%</t>
        </is>
      </c>
      <c r="O869" s="5" t="inlineStr">
        <is>
          <t>No Aplica</t>
        </is>
      </c>
      <c r="P869" s="15" t="n">
        <v>0</v>
      </c>
      <c r="Q869" s="15" t="n">
        <v>0</v>
      </c>
      <c r="R869" s="5" t="inlineStr">
        <is>
          <t>217-2022-02-28</t>
        </is>
      </c>
      <c r="S869" t="inlineStr">
        <is>
          <t>No Aplica</t>
        </is>
      </c>
    </row>
    <row r="870" hidden="1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1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9" t="n"/>
      <c r="L870" s="14" t="n"/>
      <c r="M870" s="14" t="n"/>
      <c r="N870" s="5" t="inlineStr">
        <is>
          <t>%</t>
        </is>
      </c>
      <c r="O870" s="5" t="inlineStr">
        <is>
          <t>No Aplica</t>
        </is>
      </c>
      <c r="P870" s="15" t="n">
        <v>0</v>
      </c>
      <c r="Q870" s="15" t="n">
        <v>0</v>
      </c>
      <c r="R870" s="5" t="inlineStr">
        <is>
          <t>217-2022-04-30</t>
        </is>
      </c>
      <c r="S870" t="inlineStr">
        <is>
          <t>No Aplica</t>
        </is>
      </c>
    </row>
    <row r="871" hidden="1">
      <c r="A871" s="21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1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10" t="n"/>
      <c r="L871" s="14" t="n"/>
      <c r="M871" s="14" t="n"/>
      <c r="N871" s="5" t="inlineStr">
        <is>
          <t>%</t>
        </is>
      </c>
      <c r="O871" s="5" t="inlineStr">
        <is>
          <t>No Aplica</t>
        </is>
      </c>
      <c r="P871" s="15" t="n">
        <v>0</v>
      </c>
      <c r="Q871" s="15" t="n">
        <v>0</v>
      </c>
      <c r="R871" s="5" t="inlineStr">
        <is>
          <t>217-2022-05-31</t>
        </is>
      </c>
      <c r="S871" t="inlineStr">
        <is>
          <t>No Aplica</t>
        </is>
      </c>
    </row>
    <row r="872" hidden="1">
      <c r="A872" s="21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1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10" t="n"/>
      <c r="L872" s="14" t="n"/>
      <c r="M872" s="14" t="n"/>
      <c r="N872" s="5" t="inlineStr">
        <is>
          <t>%</t>
        </is>
      </c>
      <c r="O872" s="5" t="inlineStr">
        <is>
          <t>No Aplica</t>
        </is>
      </c>
      <c r="P872" s="15" t="n">
        <v>0</v>
      </c>
      <c r="Q872" s="15" t="n">
        <v>0</v>
      </c>
      <c r="R872" s="5" t="inlineStr">
        <is>
          <t>217-2022-06-30</t>
        </is>
      </c>
      <c r="S872" t="inlineStr">
        <is>
          <t>No Aplica</t>
        </is>
      </c>
    </row>
    <row r="873" hidden="1">
      <c r="A873" s="5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1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5" t="n"/>
      <c r="L873" s="14" t="n"/>
      <c r="M873" s="14" t="n"/>
      <c r="N873" s="5" t="inlineStr">
        <is>
          <t>%</t>
        </is>
      </c>
      <c r="O873" s="5" t="inlineStr">
        <is>
          <t>No Aplica</t>
        </is>
      </c>
      <c r="P873" s="5" t="n">
        <v>0</v>
      </c>
      <c r="Q873" s="5" t="n">
        <v>0</v>
      </c>
      <c r="R873" s="5" t="inlineStr">
        <is>
          <t>217-2022-07-31</t>
        </is>
      </c>
      <c r="S873" t="inlineStr">
        <is>
          <t>No Aplica</t>
        </is>
      </c>
    </row>
    <row r="874" hidden="1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1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0" t="n"/>
      <c r="L874" s="14" t="n"/>
      <c r="M874" s="14" t="n"/>
      <c r="N874" s="5" t="inlineStr">
        <is>
          <t>%</t>
        </is>
      </c>
      <c r="O874" s="5" t="inlineStr">
        <is>
          <t>No Aplica</t>
        </is>
      </c>
      <c r="P874" s="15" t="n">
        <v>0</v>
      </c>
      <c r="Q874" s="15" t="n">
        <v>0</v>
      </c>
      <c r="R874" s="5" t="inlineStr">
        <is>
          <t>217-2022-08-31</t>
        </is>
      </c>
      <c r="S874" t="inlineStr">
        <is>
          <t>No Aplica</t>
        </is>
      </c>
    </row>
    <row r="875" hidden="1">
      <c r="A875" s="21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1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10" t="n"/>
      <c r="L875" s="14" t="n"/>
      <c r="M875" s="14" t="n"/>
      <c r="N875" s="5" t="inlineStr">
        <is>
          <t>%</t>
        </is>
      </c>
      <c r="O875" s="5" t="inlineStr">
        <is>
          <t>No Aplica</t>
        </is>
      </c>
      <c r="P875" s="15" t="n">
        <v>0</v>
      </c>
      <c r="Q875" s="15" t="n">
        <v>0</v>
      </c>
      <c r="R875" s="5" t="inlineStr">
        <is>
          <t>217-2022-09-30</t>
        </is>
      </c>
      <c r="S875" t="inlineStr">
        <is>
          <t>No Aplica</t>
        </is>
      </c>
    </row>
    <row r="876" hidden="1">
      <c r="A876" s="21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1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10" t="n"/>
      <c r="L876" s="14" t="n"/>
      <c r="M876" s="14" t="n"/>
      <c r="N876" s="5" t="inlineStr">
        <is>
          <t>%</t>
        </is>
      </c>
      <c r="O876" s="5" t="inlineStr">
        <is>
          <t>No Aplica</t>
        </is>
      </c>
      <c r="P876" s="15" t="n">
        <v>0</v>
      </c>
      <c r="Q876" s="15" t="n">
        <v>0</v>
      </c>
      <c r="R876" s="5" t="inlineStr">
        <is>
          <t>217-2022-10-31</t>
        </is>
      </c>
      <c r="S876" t="inlineStr">
        <is>
          <t>No Aplica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0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9" t="n"/>
      <c r="L877" s="14" t="n"/>
      <c r="M877" s="14" t="n"/>
      <c r="N877" s="5" t="inlineStr">
        <is>
          <t>%</t>
        </is>
      </c>
      <c r="O877" s="5" t="inlineStr">
        <is>
          <t>No Aplica</t>
        </is>
      </c>
      <c r="P877" s="15" t="n">
        <v>0</v>
      </c>
      <c r="Q877" s="15" t="n">
        <v>0</v>
      </c>
      <c r="R877" s="5" t="inlineStr">
        <is>
          <t>217-2022-11-30</t>
        </is>
      </c>
      <c r="S877" t="inlineStr">
        <is>
          <t>No Aplica</t>
        </is>
      </c>
    </row>
    <row r="878" hidden="1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1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9" t="n"/>
      <c r="L878" s="14" t="n"/>
      <c r="M878" s="14" t="n"/>
      <c r="N878" s="5" t="inlineStr">
        <is>
          <t>%</t>
        </is>
      </c>
      <c r="O878" s="5" t="inlineStr">
        <is>
          <t>No Aplica</t>
        </is>
      </c>
      <c r="P878" s="15" t="n">
        <v>0</v>
      </c>
      <c r="Q878" s="15" t="n">
        <v>0</v>
      </c>
      <c r="R878" s="5" t="inlineStr">
        <is>
          <t>217-2022-12-31</t>
        </is>
      </c>
      <c r="S878" t="inlineStr">
        <is>
          <t>No Aplica</t>
        </is>
      </c>
    </row>
    <row r="879" hidden="1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1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 hidden="1">
      <c r="A880" s="21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1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5" t="n">
        <v>0</v>
      </c>
      <c r="Q880" s="15" t="n">
        <v>0</v>
      </c>
      <c r="R880" s="5" t="inlineStr">
        <is>
          <t>217-2023-02-28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0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9" t="n">
        <v>53.684210526316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0</v>
      </c>
      <c r="R881" s="5" t="inlineStr">
        <is>
          <t>217-2023-03-31</t>
        </is>
      </c>
    </row>
    <row r="882" hidden="1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1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9" t="n">
        <v>65.302491103203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5" t="n">
        <v>1</v>
      </c>
      <c r="Q882" s="15" t="n">
        <v>1</v>
      </c>
      <c r="R882" s="5" t="inlineStr">
        <is>
          <t>217-2023-04-30</t>
        </is>
      </c>
    </row>
    <row r="883" hidden="1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1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5" t="n">
        <v>33.942687747036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 t="inlineStr">
        <is>
          <t>217-2023-05-31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1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0" t="n">
        <v>31.380626400921</v>
      </c>
      <c r="L884" s="1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0</v>
      </c>
      <c r="R884" s="5" t="inlineStr">
        <is>
          <t>217-2023-06-30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0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9" t="n">
        <v>24.49130938586327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0</v>
      </c>
      <c r="R885" s="5" t="inlineStr">
        <is>
          <t>217-2023-07-31</t>
        </is>
      </c>
    </row>
    <row r="886" hidden="1">
      <c r="A886" s="26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1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9" t="n">
        <v>26.432398380448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0</v>
      </c>
      <c r="R886" s="5" t="inlineStr">
        <is>
          <t>217-2023-08-31</t>
        </is>
      </c>
    </row>
    <row r="887" hidden="1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1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5" t="n">
        <v>24.292455241659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 t="inlineStr">
        <is>
          <t>217-2023-09-30</t>
        </is>
      </c>
    </row>
    <row r="888" hidden="1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1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10" t="n">
        <v>16.28971459343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217-2023-10-31</t>
        </is>
      </c>
    </row>
    <row r="889" hidden="1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0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9" t="n">
        <v>12.737618000776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0</v>
      </c>
      <c r="R889" s="5" t="inlineStr">
        <is>
          <t>217-2023-11-30</t>
        </is>
      </c>
    </row>
    <row r="890" hidden="1">
      <c r="A890" s="26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1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9" t="n">
        <v>26.540319967693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0</v>
      </c>
      <c r="R890" s="5" t="inlineStr">
        <is>
          <t>217-2023-12-31</t>
        </is>
      </c>
    </row>
    <row r="891" hidden="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1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5" t="n">
        <v>53.86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217-2024-01-31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1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10" t="n">
        <v>18.72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217-2024-02-29</t>
        </is>
      </c>
    </row>
    <row r="893" hidden="1">
      <c r="A893" s="21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0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9" t="n">
        <v>18.39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5" t="n">
        <v>0</v>
      </c>
      <c r="Q893" s="15" t="n">
        <v>1</v>
      </c>
      <c r="R893" s="5" t="inlineStr">
        <is>
          <t>217-2024-03-31</t>
        </is>
      </c>
    </row>
    <row r="894" hidden="1">
      <c r="A894" s="26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1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9" t="n">
        <v>18.6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1</v>
      </c>
      <c r="R894" s="5" t="inlineStr">
        <is>
          <t>217-2024-04-30</t>
        </is>
      </c>
    </row>
    <row r="895" hidden="1">
      <c r="A895" s="5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1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5" t="n">
        <v>28.11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1</v>
      </c>
      <c r="R895" s="5" t="inlineStr">
        <is>
          <t>217-2024-05-31</t>
        </is>
      </c>
    </row>
    <row r="896" hidden="1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1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9" t="n">
        <v>17.23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1</v>
      </c>
      <c r="R896" s="5" t="inlineStr">
        <is>
          <t>217-2024-06-30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1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9" t="n">
        <v>27.77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1</v>
      </c>
      <c r="R897" s="5" t="inlineStr">
        <is>
          <t>217-2024-07-31</t>
        </is>
      </c>
    </row>
    <row r="898" hidden="1">
      <c r="A898" s="26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1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9" t="n">
        <v>23.96</v>
      </c>
      <c r="L898" s="1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1</v>
      </c>
      <c r="R898" s="5" t="inlineStr">
        <is>
          <t>217-2024-08-31</t>
        </is>
      </c>
    </row>
    <row r="899" hidden="1">
      <c r="A899" s="21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1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9" t="n">
        <v>16.13</v>
      </c>
      <c r="L899" s="1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1</v>
      </c>
      <c r="R899" s="5" t="inlineStr">
        <is>
          <t>217-2024-09-30</t>
        </is>
      </c>
    </row>
    <row r="900" hidden="1">
      <c r="A900" s="21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01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9" t="n">
        <v>34.47</v>
      </c>
      <c r="L900" s="1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15" t="n">
        <v>0</v>
      </c>
      <c r="Q900" s="15" t="n">
        <v>1</v>
      </c>
      <c r="R900" s="5" t="inlineStr">
        <is>
          <t>217-2024-10-31</t>
        </is>
      </c>
    </row>
    <row r="901" hidden="1">
      <c r="A901" s="5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01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9" t="n">
        <v>19.61275051088461</v>
      </c>
      <c r="L901" s="1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15" t="n">
        <v>0</v>
      </c>
      <c r="Q901" s="15" t="n">
        <v>1</v>
      </c>
      <c r="R901" s="5" t="inlineStr">
        <is>
          <t>217-2024-11-30</t>
        </is>
      </c>
    </row>
    <row r="902" hidden="1">
      <c r="A902" s="26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01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9" t="n">
        <v>27.05</v>
      </c>
      <c r="L902" s="1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15" t="n">
        <v>0</v>
      </c>
      <c r="Q902" s="15" t="n">
        <v>1</v>
      </c>
      <c r="R902" s="5" t="inlineStr">
        <is>
          <t>217-2024-12-31</t>
        </is>
      </c>
    </row>
    <row r="903" hidden="1">
      <c r="A903" s="21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01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9" t="n">
        <v>139.19</v>
      </c>
      <c r="L903" s="1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15" t="n">
        <v>0</v>
      </c>
      <c r="Q903" s="15" t="n">
        <v>0</v>
      </c>
      <c r="R903" s="5" t="inlineStr">
        <is>
          <t>217-2025-01-31</t>
        </is>
      </c>
    </row>
    <row r="904" hidden="1">
      <c r="A904" s="21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01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9" t="n">
        <v>42.89</v>
      </c>
      <c r="L904" s="1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15" t="n">
        <v>0</v>
      </c>
      <c r="Q904" s="15" t="n">
        <v>1</v>
      </c>
      <c r="R904" s="5" t="inlineStr">
        <is>
          <t>217-2025-02-28</t>
        </is>
      </c>
    </row>
    <row r="905" hidden="1">
      <c r="A905" s="28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01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9" t="n">
        <v>27.57</v>
      </c>
      <c r="L905" s="1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15" t="n">
        <v>0</v>
      </c>
      <c r="Q905" s="15" t="n">
        <v>1</v>
      </c>
      <c r="R905" s="5" t="inlineStr">
        <is>
          <t>217-2025-03-31</t>
        </is>
      </c>
    </row>
    <row r="906" hidden="1">
      <c r="A906" s="26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01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9" t="n">
        <v>45.35</v>
      </c>
      <c r="L906" s="1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15" t="n">
        <v>0</v>
      </c>
      <c r="Q906" s="15" t="n">
        <v>1</v>
      </c>
      <c r="R906" s="5" t="inlineStr">
        <is>
          <t>217-2025-04-30</t>
        </is>
      </c>
    </row>
    <row r="907" hidden="1">
      <c r="A907" s="21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01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10" t="n">
        <v>29.8</v>
      </c>
      <c r="L907" s="1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15" t="n">
        <v>0</v>
      </c>
      <c r="Q907" s="15" t="n">
        <v>1</v>
      </c>
      <c r="R907" s="5" t="inlineStr">
        <is>
          <t>217-2025-05-31</t>
        </is>
      </c>
    </row>
    <row r="908" hidden="1">
      <c r="A908" s="5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01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5" t="n">
        <v>48.94</v>
      </c>
      <c r="L908" s="1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 t="inlineStr">
        <is>
          <t>217-2025-06-30</t>
        </is>
      </c>
    </row>
    <row r="909" hidden="1">
      <c r="A909" s="21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01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10" t="n">
        <v>50.5</v>
      </c>
      <c r="L909" s="1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inlineStr">
        <is>
          <t>%</t>
        </is>
      </c>
      <c r="O909" s="5" t="inlineStr">
        <is>
          <t>%</t>
        </is>
      </c>
      <c r="P909" s="15" t="n">
        <v>0</v>
      </c>
      <c r="Q909" s="15" t="n">
        <v>0</v>
      </c>
      <c r="R909" s="5" t="inlineStr">
        <is>
          <t>217-2025-07-31</t>
        </is>
      </c>
    </row>
    <row r="910" hidden="1">
      <c r="A910" s="21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01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10" t="n">
        <v>27.45</v>
      </c>
      <c r="L910" s="1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inlineStr">
        <is>
          <t>%</t>
        </is>
      </c>
      <c r="O910" s="5" t="inlineStr">
        <is>
          <t>%</t>
        </is>
      </c>
      <c r="P910" s="15" t="n">
        <v>0</v>
      </c>
      <c r="Q910" s="15" t="n">
        <v>0</v>
      </c>
      <c r="R910" s="5" t="inlineStr">
        <is>
          <t>217-2025-08-31</t>
        </is>
      </c>
    </row>
    <row r="911" hidden="1">
      <c r="A911" s="21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01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9" t="n">
        <v>39.5</v>
      </c>
      <c r="L911" s="1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inlineStr">
        <is>
          <t>%</t>
        </is>
      </c>
      <c r="O911" s="5" t="inlineStr">
        <is>
          <t>%</t>
        </is>
      </c>
      <c r="P911" s="15" t="n">
        <v>0</v>
      </c>
      <c r="Q911" s="15" t="n">
        <v>0</v>
      </c>
      <c r="R911" s="5" t="inlineStr">
        <is>
          <t>217-2025-09-30</t>
        </is>
      </c>
    </row>
    <row r="912" hidden="1">
      <c r="A912" s="21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01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9" t="n">
        <v>148.5</v>
      </c>
      <c r="L912" s="1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inlineStr">
        <is>
          <t>%</t>
        </is>
      </c>
      <c r="O912" s="5" t="inlineStr">
        <is>
          <t>%</t>
        </is>
      </c>
      <c r="P912" s="15" t="n">
        <v>0</v>
      </c>
      <c r="Q912" s="15" t="n">
        <v>0</v>
      </c>
      <c r="R912" s="5" t="inlineStr">
        <is>
          <t>217-2025-10-31</t>
        </is>
      </c>
    </row>
    <row r="913" hidden="1">
      <c r="A913" s="28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01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9" t="n">
        <v>229.04</v>
      </c>
      <c r="L913" s="1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15" t="n">
        <v>0</v>
      </c>
      <c r="Q913" s="15" t="n">
        <v>0</v>
      </c>
      <c r="R913" s="5" t="inlineStr">
        <is>
          <t>217-2025-11-30</t>
        </is>
      </c>
    </row>
    <row r="914" hidden="1">
      <c r="A914" s="26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101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9" t="n">
        <v>48.34</v>
      </c>
      <c r="L914" s="1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inlineStr">
        <is>
          <t>%</t>
        </is>
      </c>
      <c r="O914" s="5" t="inlineStr">
        <is>
          <t>%</t>
        </is>
      </c>
      <c r="P914" s="15" t="n">
        <v>0</v>
      </c>
      <c r="Q914" s="15" t="n">
        <v>0</v>
      </c>
      <c r="R914" s="5" t="inlineStr">
        <is>
          <t>217-2025-12-31</t>
        </is>
      </c>
    </row>
    <row r="915" hidden="1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1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10" t="n">
        <v>77569</v>
      </c>
      <c r="L915" s="14">
        <f>IFERROR(IF(OR(J915=0,K915=""),"",IF(E915="Positivo",MIN(MAX(K915/J915,0),1.0),MIN(MAX(J915/K915,0),1.0))),"") </f>
        <v/>
      </c>
      <c r="M915" s="14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0</v>
      </c>
      <c r="R915" s="5" t="inlineStr">
        <is>
          <t>218-2022-01-31</t>
        </is>
      </c>
    </row>
    <row r="916" hidden="1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1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5" t="n">
        <v>88546</v>
      </c>
      <c r="L916" s="14">
        <f>IFERROR(IF(OR(J916=0,K916=""),"",IF(E916="Positivo",MIN(MAX(K916/J916,0),1.0),MIN(MAX(J916/K916,0),1.0))),"") </f>
        <v/>
      </c>
      <c r="M916" s="14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0</v>
      </c>
      <c r="R916" s="5" t="inlineStr">
        <is>
          <t>218-2022-02-28</t>
        </is>
      </c>
    </row>
    <row r="917" hidden="1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1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0" t="n">
        <v>110711</v>
      </c>
      <c r="L917" s="14">
        <f>IFERROR(IF(OR(J917=0,K917=""),"",IF(E917="Positivo",MIN(MAX(K917/J917,0),1.0),MIN(MAX(J917/K917,0),1.0))),"") </f>
        <v/>
      </c>
      <c r="M917" s="14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0</v>
      </c>
      <c r="R917" s="5" t="inlineStr">
        <is>
          <t>218-2022-03-31</t>
        </is>
      </c>
    </row>
    <row r="918" hidden="1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1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10" t="n">
        <v>105150</v>
      </c>
      <c r="L918" s="14">
        <f>IFERROR(IF(OR(J918=0,K918=""),"",IF(E918="Positivo",MIN(MAX(K918/J918,0),1.0),MIN(MAX(J918/K918,0),1.0))),"") </f>
        <v/>
      </c>
      <c r="M918" s="14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0</v>
      </c>
      <c r="R918" s="5" t="inlineStr">
        <is>
          <t>218-2022-04-30</t>
        </is>
      </c>
    </row>
    <row r="919" hidden="1">
      <c r="A919" s="21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0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9" t="n">
        <v>110816</v>
      </c>
      <c r="L919" s="14">
        <f>IFERROR(IF(OR(J919=0,K919=""),"",IF(E919="Positivo",MIN(MAX(K919/J919,0),1.0),MIN(MAX(J919/K919,0),1.0))),"") </f>
        <v/>
      </c>
      <c r="M919" s="14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0</v>
      </c>
      <c r="R919" s="5" t="inlineStr">
        <is>
          <t>218-2022-05-31</t>
        </is>
      </c>
    </row>
    <row r="920" hidden="1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1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9" t="n">
        <v>98441</v>
      </c>
      <c r="L920" s="14">
        <f>IFERROR(IF(OR(J920=0,K920=""),"",IF(E920="Positivo",MIN(MAX(K920/J920,0),1.0),MIN(MAX(J920/K920,0),1.0))),"") </f>
        <v/>
      </c>
      <c r="M920" s="14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0</v>
      </c>
      <c r="R920" s="5" t="inlineStr">
        <is>
          <t>218-2022-06-30</t>
        </is>
      </c>
    </row>
    <row r="921" hidden="1">
      <c r="A921" s="5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1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5" t="n">
        <v>79975</v>
      </c>
      <c r="L921" s="14">
        <f>IFERROR(IF(OR(J921=0,K921=""),"",IF(E921="Positivo",MIN(MAX(K921/J921,0),1.0),MIN(MAX(J921/K921,0),1.0))),"") </f>
        <v/>
      </c>
      <c r="M921" s="14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5" t="n">
        <v>0</v>
      </c>
      <c r="Q921" s="5" t="n">
        <v>0</v>
      </c>
      <c r="R921" s="5" t="inlineStr">
        <is>
          <t>218-2022-07-31</t>
        </is>
      </c>
    </row>
    <row r="922" hidden="1">
      <c r="A922" s="21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1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10" t="n">
        <v>173574</v>
      </c>
      <c r="L922" s="14">
        <f>IFERROR(IF(OR(J922=0,K922=""),"",IF(E922="Positivo",MIN(MAX(K922/J922,0),1.0),MIN(MAX(J922/K922,0),1.0))),"") </f>
        <v/>
      </c>
      <c r="M922" s="14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15" t="n">
        <v>0</v>
      </c>
      <c r="Q922" s="15" t="n">
        <v>0</v>
      </c>
      <c r="R922" s="5" t="inlineStr">
        <is>
          <t>218-2022-08-31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0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9" t="n">
        <v>157375</v>
      </c>
      <c r="L923" s="14">
        <f>IFERROR(IF(OR(J923=0,K923=""),"",IF(E923="Positivo",MIN(MAX(K923/J923,0),1.0),MIN(MAX(J923/K923,0),1.0))),"") </f>
        <v/>
      </c>
      <c r="M923" s="14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0</v>
      </c>
      <c r="R923" s="5" t="inlineStr">
        <is>
          <t>218-2022-09-30</t>
        </is>
      </c>
    </row>
    <row r="924" hidden="1">
      <c r="A924" s="26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1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9" t="n">
        <v>149257</v>
      </c>
      <c r="L924" s="14">
        <f>IFERROR(IF(OR(J924=0,K924=""),"",IF(E924="Positivo",MIN(MAX(K924/J924,0),1.0),MIN(MAX(J924/K924,0),1.0))),"") </f>
        <v/>
      </c>
      <c r="M924" s="14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0</v>
      </c>
      <c r="R924" s="5" t="inlineStr">
        <is>
          <t>218-2022-10-31</t>
        </is>
      </c>
    </row>
    <row r="925" hidden="1">
      <c r="A925" s="5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1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5" t="n">
        <v>144214</v>
      </c>
      <c r="L925" s="14">
        <f>IFERROR(IF(OR(J925=0,K925=""),"",IF(E925="Positivo",MIN(MAX(K925/J925,0),1.0),MIN(MAX(J925/K925,0),1.0))),"") </f>
        <v/>
      </c>
      <c r="M925" s="14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5" t="n">
        <v>0</v>
      </c>
      <c r="Q925" s="5" t="n">
        <v>0</v>
      </c>
      <c r="R925" s="5" t="inlineStr">
        <is>
          <t>218-2022-11-30</t>
        </is>
      </c>
    </row>
    <row r="926" hidden="1">
      <c r="A926" s="21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1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10" t="n">
        <v>125564</v>
      </c>
      <c r="L926" s="14">
        <f>IFERROR(IF(OR(J926=0,K926=""),"",IF(E926="Positivo",MIN(MAX(K926/J926,0),1.0),MIN(MAX(J926/K926,0),1.0))),"") </f>
        <v/>
      </c>
      <c r="M926" s="14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0</v>
      </c>
      <c r="R926" s="5" t="inlineStr">
        <is>
          <t>218-2022-12-31</t>
        </is>
      </c>
    </row>
    <row r="927" hidden="1">
      <c r="A927" s="21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0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9" t="n">
        <v>120858</v>
      </c>
      <c r="L927" s="14">
        <f>IFERROR(IF(OR(J927=0,K927=""),"",IF(E927="Positivo",MIN(MAX(K927/J927,0),1.0),MIN(MAX(J927/K927,0),1.0))),"") </f>
        <v/>
      </c>
      <c r="M927" s="14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5" t="n">
        <v>0</v>
      </c>
      <c r="Q927" s="15" t="n">
        <v>1</v>
      </c>
      <c r="R927" s="5" t="inlineStr">
        <is>
          <t>218-2023-01-31</t>
        </is>
      </c>
    </row>
    <row r="928" hidden="1">
      <c r="A928" s="26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1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9" t="n">
        <v>111868</v>
      </c>
      <c r="L928" s="14">
        <f>IFERROR(IF(OR(J928=0,K928=""),"",IF(E928="Positivo",MIN(MAX(K928/J928,0),1.0),MIN(MAX(J928/K928,0),1.0))),"") </f>
        <v/>
      </c>
      <c r="M928" s="14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218-2023-02-28</t>
        </is>
      </c>
    </row>
    <row r="929" hidden="1">
      <c r="A929" s="5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1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5" t="n">
        <v>151441.41</v>
      </c>
      <c r="L929" s="14">
        <f>IFERROR(IF(OR(J929=0,K929=""),"",IF(E929="Positivo",MIN(MAX(K929/J929,0),1.0),MIN(MAX(J929/K929,0),1.0))),"") </f>
        <v/>
      </c>
      <c r="M929" s="14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5" t="n">
        <v>0</v>
      </c>
      <c r="Q929" s="5" t="n">
        <v>1</v>
      </c>
      <c r="R929" s="5" t="inlineStr">
        <is>
          <t>218-2023-03-31</t>
        </is>
      </c>
    </row>
    <row r="930" hidden="1">
      <c r="A930" s="21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1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10" t="n">
        <v>137079</v>
      </c>
      <c r="L930" s="14">
        <f>IFERROR(IF(OR(J930=0,K930=""),"",IF(E930="Positivo",MIN(MAX(K930/J930,0),1.0),MIN(MAX(J930/K930,0),1.0))),"") </f>
        <v/>
      </c>
      <c r="M930" s="14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218-2023-04-30</t>
        </is>
      </c>
    </row>
    <row r="931" hidden="1">
      <c r="A931" s="21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1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9" t="n">
        <v>147309</v>
      </c>
      <c r="L931" s="14">
        <f>IFERROR(IF(OR(J931=0,K931=""),"",IF(E931="Positivo",MIN(MAX(K931/J931,0),1.0),MIN(MAX(J931/K931,0),1.0))),"") </f>
        <v/>
      </c>
      <c r="M931" s="14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15" t="n">
        <v>0</v>
      </c>
      <c r="Q931" s="15" t="n">
        <v>1</v>
      </c>
      <c r="R931" s="5" t="inlineStr">
        <is>
          <t>218-2023-05-31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1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10" t="n">
        <v>140491</v>
      </c>
      <c r="L932" s="14">
        <f>IFERROR(IF(OR(J932=0,K932=""),"",IF(E932="Positivo",MIN(MAX(K932/J932,0),1.0),MIN(MAX(J932/K932,0),1.0))),"") </f>
        <v/>
      </c>
      <c r="M932" s="14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218-2023-06-30</t>
        </is>
      </c>
    </row>
    <row r="933" hidden="1">
      <c r="A933" s="21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1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9" t="n">
        <v>125486</v>
      </c>
      <c r="L933" s="14">
        <f>IFERROR(IF(OR(J933=0,K933=""),"",IF(E933="Positivo",MIN(MAX(K933/J933,0),1.0),MIN(MAX(J933/K933,0),1.0))),"") </f>
        <v/>
      </c>
      <c r="M933" s="14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218-2023-07-31</t>
        </is>
      </c>
    </row>
    <row r="934" hidden="1">
      <c r="A934" s="28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1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9" t="n">
        <v>143021.71</v>
      </c>
      <c r="L934" s="14">
        <f>IFERROR(IF(OR(J934=0,K934=""),"",IF(E934="Positivo",MIN(MAX(K934/J934,0),1.0),MIN(MAX(J934/K934,0),1.0))),"") </f>
        <v/>
      </c>
      <c r="M934" s="14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15" t="n">
        <v>0</v>
      </c>
      <c r="Q934" s="15" t="n">
        <v>1</v>
      </c>
      <c r="R934" s="5" t="inlineStr">
        <is>
          <t>218-2023-08-31</t>
        </is>
      </c>
    </row>
    <row r="935" hidden="1">
      <c r="A935" s="26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1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9" t="n">
        <v>146746.83</v>
      </c>
      <c r="L935" s="14">
        <f>IFERROR(IF(OR(J935=0,K935=""),"",IF(E935="Positivo",MIN(MAX(K935/J935,0),1.0),MIN(MAX(J935/K935,0),1.0))),"") </f>
        <v/>
      </c>
      <c r="M935" s="14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218-2023-09-30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1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10" t="n">
        <v>141458.28</v>
      </c>
      <c r="L936" s="14">
        <f>IFERROR(IF(OR(J936=0,K936=""),"",IF(E936="Positivo",MIN(MAX(K936/J936,0),1.0),MIN(MAX(J936/K936,0),1.0))),"") </f>
        <v/>
      </c>
      <c r="M936" s="14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218-2023-10-31</t>
        </is>
      </c>
    </row>
    <row r="937" hidden="1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1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5" t="n">
        <v>129770</v>
      </c>
      <c r="L937" s="14">
        <f>IFERROR(IF(OR(J937=0,K937=""),"",IF(E937="Positivo",MIN(MAX(K937/J937,0),1.0),MIN(MAX(J937/K937,0),1.0))),"") </f>
        <v/>
      </c>
      <c r="M937" s="14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218-2023-11-30</t>
        </is>
      </c>
    </row>
    <row r="938" hidden="1">
      <c r="A938" s="21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1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0" t="n">
        <v>109170</v>
      </c>
      <c r="L938" s="14">
        <f>IFERROR(IF(OR(J938=0,K938=""),"",IF(E938="Positivo",MIN(MAX(K938/J938,0),1.0),MIN(MAX(J938/K938,0),1.0))),"") </f>
        <v/>
      </c>
      <c r="M938" s="14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15" t="n">
        <v>0</v>
      </c>
      <c r="Q938" s="15" t="n">
        <v>1</v>
      </c>
      <c r="R938" s="5" t="inlineStr">
        <is>
          <t>218-2023-12-31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1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10" t="n">
        <v>122939.06</v>
      </c>
      <c r="L939" s="14">
        <f>IFERROR(IF(OR(J939=0,K939=""),"",IF(E939="Positivo",MIN(MAX(K939/J939,0),1.0),MIN(MAX(J939/K939,0),1.0))),"") </f>
        <v/>
      </c>
      <c r="M939" s="14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218-2024-01-31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0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9" t="n">
        <v>135675.99</v>
      </c>
      <c r="L940" s="14">
        <f>IFERROR(IF(OR(J940=0,K940=""),"",IF(E940="Positivo",MIN(MAX(K940/J940,0),1.0),MIN(MAX(J940/K940,0),1.0))),"") </f>
        <v/>
      </c>
      <c r="M940" s="14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1</v>
      </c>
      <c r="R940" s="5" t="inlineStr">
        <is>
          <t>218-2024-02-29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1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9" t="n">
        <v>153748.73</v>
      </c>
      <c r="L941" s="14">
        <f>IFERROR(IF(OR(J941=0,K941=""),"",IF(E941="Positivo",MIN(MAX(K941/J941,0),1.0),MIN(MAX(J941/K941,0),1.0))),"") </f>
        <v/>
      </c>
      <c r="M941" s="14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1</v>
      </c>
      <c r="R941" s="5" t="inlineStr">
        <is>
          <t>218-2024-03-31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1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5" t="n">
        <v>164779.39</v>
      </c>
      <c r="L942" s="14">
        <f>IFERROR(IF(OR(J942=0,K942=""),"",IF(E942="Positivo",MIN(MAX(K942/J942,0),1.0),MIN(MAX(J942/K942,0),1.0))),"") </f>
        <v/>
      </c>
      <c r="M942" s="14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1</v>
      </c>
      <c r="R942" s="5" t="inlineStr">
        <is>
          <t>218-2024-04-30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1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10" t="n">
        <v>157279.15</v>
      </c>
      <c r="L943" s="14">
        <f>IFERROR(IF(OR(J943=0,K943=""),"",IF(E943="Positivo",MIN(MAX(K943/J943,0),1.0),MIN(MAX(J943/K943,0),1.0))),"") </f>
        <v/>
      </c>
      <c r="M943" s="14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1</v>
      </c>
      <c r="R943" s="5" t="inlineStr">
        <is>
          <t>218-2024-05-31</t>
        </is>
      </c>
    </row>
    <row r="944" hidden="1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0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9" t="n">
        <v>140488.65</v>
      </c>
      <c r="L944" s="14">
        <f>IFERROR(IF(OR(J944=0,K944=""),"",IF(E944="Positivo",MIN(MAX(K944/J944,0),1.0),MIN(MAX(J944/K944,0),1.0))),"") </f>
        <v/>
      </c>
      <c r="M944" s="14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1</v>
      </c>
      <c r="R944" s="5" t="inlineStr">
        <is>
          <t>218-2024-06-30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1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9" t="n">
        <v>131127</v>
      </c>
      <c r="L945" s="14">
        <f>IFERROR(IF(OR(J945=0,K945=""),"",IF(E945="Positivo",MIN(MAX(K945/J945,0),1.0),MIN(MAX(J945/K945,0),1.0))),"") </f>
        <v/>
      </c>
      <c r="M945" s="14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1</v>
      </c>
      <c r="R945" s="5" t="inlineStr">
        <is>
          <t>218-2024-07-31</t>
        </is>
      </c>
    </row>
    <row r="946" hidden="1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1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5" t="n">
        <v>141809.93</v>
      </c>
      <c r="L946" s="14">
        <f>IFERROR(IF(OR(J946=0,K946=""),"",IF(E946="Positivo",MIN(MAX(K946/J946,0),1.0),MIN(MAX(J946/K946,0),1.0))),"") </f>
        <v/>
      </c>
      <c r="M946" s="14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1</v>
      </c>
      <c r="R946" s="5" t="inlineStr">
        <is>
          <t>218-2024-08-31</t>
        </is>
      </c>
    </row>
    <row r="947" hidden="1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1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10" t="n">
        <v>145856.52</v>
      </c>
      <c r="L947" s="14">
        <f>IFERROR(IF(OR(J947=0,K947=""),"",IF(E947="Positivo",MIN(MAX(K947/J947,0),1.0),MIN(MAX(J947/K947,0),1.0))),"") </f>
        <v/>
      </c>
      <c r="M947" s="14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1</v>
      </c>
      <c r="R947" s="5" t="inlineStr">
        <is>
          <t>218-2024-09-30</t>
        </is>
      </c>
    </row>
    <row r="948" hidden="1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01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9" t="n">
        <v>156418.49</v>
      </c>
      <c r="L948" s="14">
        <f>IFERROR(IF(OR(J948=0,K948=""),"",IF(E948="Positivo",MIN(MAX(K948/J948,0),1.0),MIN(MAX(J948/K948,0),1.0))),"") </f>
        <v/>
      </c>
      <c r="M948" s="14">
        <f>IFERROR(IF(OR(J948=0,K948=""),"",IF(E948="Positivo",MAX(K948/J948,0),MAX(J948/K948,0))),"") </f>
        <v/>
      </c>
      <c r="N948" s="5" t="inlineStr">
        <is>
          <t>kWh</t>
        </is>
      </c>
      <c r="O948" s="5" t="inlineStr">
        <is>
          <t>kWh</t>
        </is>
      </c>
      <c r="P948" s="15" t="n">
        <v>0</v>
      </c>
      <c r="Q948" s="15" t="n">
        <v>1</v>
      </c>
      <c r="R948" s="5" t="inlineStr">
        <is>
          <t>218-2024-10-31</t>
        </is>
      </c>
    </row>
    <row r="949" hidden="1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01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5" t="n">
        <v>147205.36</v>
      </c>
      <c r="L949" s="14">
        <f>IFERROR(IF(OR(J949=0,K949=""),"",IF(E949="Positivo",MIN(MAX(K949/J949,0),1.0),MIN(MAX(J949/K949,0),1.0))),"") </f>
        <v/>
      </c>
      <c r="M949" s="14">
        <f>IFERROR(IF(OR(J949=0,K949=""),"",IF(E949="Positivo",MAX(K949/J949,0),MAX(J949/K949,0))),"") </f>
        <v/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218-2024-11-30</t>
        </is>
      </c>
    </row>
    <row r="950" hidden="1">
      <c r="A950" s="21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01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0" t="n">
        <v>126974.55</v>
      </c>
      <c r="L950" s="14">
        <f>IFERROR(IF(OR(J950=0,K950=""),"",IF(E950="Positivo",MIN(MAX(K950/J950,0),1.0),MIN(MAX(J950/K950,0),1.0))),"") </f>
        <v/>
      </c>
      <c r="M950" s="14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1</v>
      </c>
      <c r="R950" s="5" t="inlineStr">
        <is>
          <t>218-2024-12-31</t>
        </is>
      </c>
    </row>
    <row r="951" hidden="1">
      <c r="A951" s="21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00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9" t="n">
        <v>113367.97</v>
      </c>
      <c r="L951" s="14">
        <f>IFERROR(IF(OR(J951=0,K951=""),"",IF(E951="Positivo",MIN(MAX(K951/J951,0),1.0),MIN(MAX(J951/K951,0),1.0))),"") </f>
        <v/>
      </c>
      <c r="M951" s="14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1</v>
      </c>
      <c r="R951" s="5" t="inlineStr">
        <is>
          <t>218-2025-01-31</t>
        </is>
      </c>
    </row>
    <row r="952" hidden="1">
      <c r="A952" s="26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01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9" t="n">
        <v>134763.39</v>
      </c>
      <c r="L952" s="14">
        <f>IFERROR(IF(OR(J952=0,K952=""),"",IF(E952="Positivo",MIN(MAX(K952/J952,0),1.0),MIN(MAX(J952/K952,0),1.0))),"") </f>
        <v/>
      </c>
      <c r="M952" s="14">
        <f>IFERROR(IF(OR(J952=0,K952=""),"",IF(E952="Positivo",MAX(K952/J952,0),MAX(J952/K952,0))),"") </f>
        <v/>
      </c>
      <c r="N952" s="5" t="inlineStr">
        <is>
          <t>kWh</t>
        </is>
      </c>
      <c r="O952" s="5" t="inlineStr">
        <is>
          <t>kWh</t>
        </is>
      </c>
      <c r="P952" s="15" t="n">
        <v>0</v>
      </c>
      <c r="Q952" s="15" t="n">
        <v>1</v>
      </c>
      <c r="R952" s="5" t="inlineStr">
        <is>
          <t>218-2025-02-28</t>
        </is>
      </c>
    </row>
    <row r="953" hidden="1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01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5" t="n">
        <v>156103.54</v>
      </c>
      <c r="L953" s="14">
        <f>IFERROR(IF(OR(J953=0,K953=""),"",IF(E953="Positivo",MIN(MAX(K953/J953,0),1.0),MIN(MAX(J953/K953,0),1.0))),"") </f>
        <v/>
      </c>
      <c r="M953" s="14">
        <f>IFERROR(IF(OR(J953=0,K953=""),"",IF(E953="Positivo",MAX(K953/J953,0),MAX(J953/K953,0))),"") </f>
        <v/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1</v>
      </c>
      <c r="R953" s="5" t="inlineStr">
        <is>
          <t>218-2025-03-31</t>
        </is>
      </c>
    </row>
    <row r="954" hidden="1">
      <c r="A954" s="21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01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14">
        <f>IFERROR(IF(OR(J954=0,K954=""),"",IF(E954="Positivo",MIN(MAX(K954/J954,0),1.0),MIN(MAX(J954/K954,0),1.0))),"") </f>
        <v/>
      </c>
      <c r="M954" s="14">
        <f>IFERROR(IF(OR(J954=0,K954=""),"",IF(E954="Positivo",MAX(K954/J954,0),MAX(J954/K954,0))),"") </f>
        <v/>
      </c>
      <c r="N954" s="5" t="inlineStr">
        <is>
          <t>kWh</t>
        </is>
      </c>
      <c r="O954" s="5" t="inlineStr">
        <is>
          <t>kWh</t>
        </is>
      </c>
      <c r="P954" s="15" t="n">
        <v>0</v>
      </c>
      <c r="Q954" s="15" t="n">
        <v>1</v>
      </c>
      <c r="R954" s="5" t="inlineStr">
        <is>
          <t>218-2025-04-30</t>
        </is>
      </c>
    </row>
    <row r="955" hidden="1">
      <c r="A955" s="21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00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9" t="n">
        <v>146327.63</v>
      </c>
      <c r="L955" s="14">
        <f>IFERROR(IF(OR(J955=0,K955=""),"",IF(E955="Positivo",MIN(MAX(K955/J955,0),1.0),MIN(MAX(J955/K955,0),1.0))),"") </f>
        <v/>
      </c>
      <c r="M955" s="14">
        <f>IFERROR(IF(OR(J955=0,K955=""),"",IF(E955="Positivo",MAX(K955/J955,0),MAX(J955/K955,0))),"") </f>
        <v/>
      </c>
      <c r="N955" s="5" t="inlineStr">
        <is>
          <t>kWh</t>
        </is>
      </c>
      <c r="O955" s="5" t="inlineStr">
        <is>
          <t>kWh</t>
        </is>
      </c>
      <c r="P955" s="15" t="n">
        <v>0</v>
      </c>
      <c r="Q955" s="15" t="n">
        <v>0</v>
      </c>
      <c r="R955" s="5" t="inlineStr">
        <is>
          <t>218-2025-05-31</t>
        </is>
      </c>
    </row>
    <row r="956" hidden="1">
      <c r="A956" s="26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01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9" t="n">
        <v>130528.88</v>
      </c>
      <c r="L956" s="14">
        <f>IFERROR(IF(OR(J956=0,K956=""),"",IF(E956="Positivo",MIN(MAX(K956/J956,0),1.0),MIN(MAX(J956/K956,0),1.0))),"") </f>
        <v/>
      </c>
      <c r="M956" s="14">
        <f>IFERROR(IF(OR(J956=0,K956=""),"",IF(E956="Positivo",MAX(K956/J956,0),MAX(J956/K956,0))),"") </f>
        <v/>
      </c>
      <c r="N956" s="5" t="inlineStr">
        <is>
          <t>kWh</t>
        </is>
      </c>
      <c r="O956" s="5" t="inlineStr">
        <is>
          <t>kWh</t>
        </is>
      </c>
      <c r="P956" s="15" t="n">
        <v>0</v>
      </c>
      <c r="Q956" s="15" t="n">
        <v>0</v>
      </c>
      <c r="R956" s="5" t="inlineStr">
        <is>
          <t>218-2025-06-30</t>
        </is>
      </c>
    </row>
    <row r="957" hidden="1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01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14">
        <f>IFERROR(IF(OR(J957=0,K957=""),"",IF(E957="Positivo",MIN(MAX(K957/J957,0),1.0),MIN(MAX(J957/K957,0),1.0))),"") </f>
        <v/>
      </c>
      <c r="M957" s="14">
        <f>IFERROR(IF(OR(J957=0,K957=""),"",IF(E957="Positivo",MAX(K957/J957,0),MAX(J957/K957,0))),"") </f>
        <v/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</row>
    <row r="958" hidden="1">
      <c r="A958" s="21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01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14">
        <f>IFERROR(IF(OR(J958=0,K958=""),"",IF(E958="Positivo",MIN(MAX(K958/J958,0),1.0),MIN(MAX(J958/K958,0),1.0))),"") </f>
        <v/>
      </c>
      <c r="M958" s="14">
        <f>IFERROR(IF(OR(J958=0,K958=""),"",IF(E958="Positivo",MAX(K958/J958,0),MAX(J958/K958,0))),"") </f>
        <v/>
      </c>
      <c r="N958" s="5" t="inlineStr">
        <is>
          <t>kWh</t>
        </is>
      </c>
      <c r="O958" s="5" t="inlineStr">
        <is>
          <t>kWh</t>
        </is>
      </c>
      <c r="P958" s="15" t="n">
        <v>0</v>
      </c>
      <c r="Q958" s="15" t="n">
        <v>0</v>
      </c>
      <c r="R958" s="5" t="inlineStr">
        <is>
          <t>218-2025-08-31</t>
        </is>
      </c>
    </row>
    <row r="959" hidden="1">
      <c r="A959" s="21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00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9" t="n">
        <v>154601.59</v>
      </c>
      <c r="L959" s="14">
        <f>IFERROR(IF(OR(J959=0,K959=""),"",IF(E959="Positivo",MIN(MAX(K959/J959,0),1.0),MIN(MAX(J959/K959,0),1.0))),"") </f>
        <v/>
      </c>
      <c r="M959" s="14">
        <f>IFERROR(IF(OR(J959=0,K959=""),"",IF(E959="Positivo",MAX(K959/J959,0),MAX(J959/K959,0))),"") </f>
        <v/>
      </c>
      <c r="N959" s="5" t="inlineStr">
        <is>
          <t>kWh</t>
        </is>
      </c>
      <c r="O959" s="5" t="inlineStr">
        <is>
          <t>kWh</t>
        </is>
      </c>
      <c r="P959" s="15" t="n">
        <v>0</v>
      </c>
      <c r="Q959" s="15" t="n">
        <v>0</v>
      </c>
      <c r="R959" s="5" t="inlineStr">
        <is>
          <t>218-2025-09-30</t>
        </is>
      </c>
    </row>
    <row r="960" hidden="1">
      <c r="A960" s="26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01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9" t="n">
        <v>150485.75</v>
      </c>
      <c r="L960" s="14">
        <f>IFERROR(IF(OR(J960=0,K960=""),"",IF(E960="Positivo",MIN(MAX(K960/J960,0),1.0),MIN(MAX(J960/K960,0),1.0))),"") </f>
        <v/>
      </c>
      <c r="M960" s="14">
        <f>IFERROR(IF(OR(J960=0,K960=""),"",IF(E960="Positivo",MAX(K960/J960,0),MAX(J960/K960,0))),"") </f>
        <v/>
      </c>
      <c r="N960" s="5" t="inlineStr">
        <is>
          <t>kWh</t>
        </is>
      </c>
      <c r="O960" s="5" t="inlineStr">
        <is>
          <t>kWh</t>
        </is>
      </c>
      <c r="P960" s="15" t="n">
        <v>0</v>
      </c>
      <c r="Q960" s="15" t="n">
        <v>0</v>
      </c>
      <c r="R960" s="5" t="inlineStr">
        <is>
          <t>218-2025-10-31</t>
        </is>
      </c>
    </row>
    <row r="961" hidden="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01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14">
        <f>IFERROR(IF(OR(J961=0,K961=""),"",IF(E961="Positivo",MIN(MAX(K961/J961,0),1.0),MIN(MAX(J961/K961,0),1.0))),"") </f>
        <v/>
      </c>
      <c r="M961" s="14">
        <f>IFERROR(IF(OR(J961=0,K961=""),"",IF(E961="Positivo",MAX(K961/J961,0),MAX(J961/K961,0))),"") </f>
        <v/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</row>
    <row r="962" hidden="1">
      <c r="A962" s="21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01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14">
        <f>IFERROR(IF(OR(J962=0,K962=""),"",IF(E962="Positivo",MIN(MAX(K962/J962,0),1.0),MIN(MAX(J962/K962,0),1.0))),"") </f>
        <v/>
      </c>
      <c r="M962" s="14">
        <f>IFERROR(IF(OR(J962=0,K962=""),"",IF(E962="Positivo",MAX(K962/J962,0),MAX(J962/K962,0))),"") </f>
        <v/>
      </c>
      <c r="N962" s="5" t="inlineStr">
        <is>
          <t>kWh</t>
        </is>
      </c>
      <c r="O962" s="5" t="inlineStr">
        <is>
          <t>kWh</t>
        </is>
      </c>
      <c r="P962" s="15" t="n">
        <v>0</v>
      </c>
      <c r="Q962" s="15" t="n">
        <v>0</v>
      </c>
      <c r="R962" s="5" t="inlineStr">
        <is>
          <t>218-2025-12-31</t>
        </is>
      </c>
    </row>
    <row r="963" hidden="1">
      <c r="A963" s="21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100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9" t="n">
        <v>88930.98890626431</v>
      </c>
      <c r="L963" s="14">
        <f>IFERROR(IF(OR(J963=0,K963=""),"",IF(E963="Positivo",MIN(MAX(K963/J963,0),1.0),MIN(MAX(J963/K963,0),1.0))),"") </f>
        <v/>
      </c>
      <c r="M963" s="14">
        <f>IFERROR(IF(OR(J963=0,K963=""),"",IF(E963="Positivo",MAX(K963/J963,0),MAX(J963/K963,0))),"") </f>
        <v/>
      </c>
      <c r="N963" s="5" t="inlineStr">
        <is>
          <t>kWh</t>
        </is>
      </c>
      <c r="O963" s="5" t="inlineStr">
        <is>
          <t>kWh</t>
        </is>
      </c>
      <c r="P963" s="15" t="n">
        <v>0</v>
      </c>
      <c r="Q963" s="15" t="n">
        <v>0</v>
      </c>
      <c r="R963" s="5" t="inlineStr">
        <is>
          <t>218-2026-01-31</t>
        </is>
      </c>
      <c r="S963" t="inlineStr"/>
    </row>
    <row r="964" hidden="1">
      <c r="A964" s="26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01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9" t="n">
        <v>16.685183396325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219-2022-06-30</t>
        </is>
      </c>
    </row>
    <row r="965" hidden="1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101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</row>
    <row r="966" hidden="1">
      <c r="A966" s="21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01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kWh</t>
        </is>
      </c>
      <c r="O966" s="5" t="inlineStr">
        <is>
          <t>kWh</t>
        </is>
      </c>
      <c r="P966" s="15" t="n">
        <v>0</v>
      </c>
      <c r="Q966" s="15" t="n">
        <v>0</v>
      </c>
      <c r="R966" s="5" t="inlineStr">
        <is>
          <t>219-2023-06-30</t>
        </is>
      </c>
    </row>
    <row r="967" hidden="1">
      <c r="A967" s="21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00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9" t="n">
        <v>-5.89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kWh</t>
        </is>
      </c>
      <c r="O967" s="5" t="inlineStr">
        <is>
          <t>kWh</t>
        </is>
      </c>
      <c r="P967" s="15" t="n">
        <v>0</v>
      </c>
      <c r="Q967" s="15" t="n">
        <v>0</v>
      </c>
      <c r="R967" s="5" t="inlineStr">
        <is>
          <t>219-2023-12-31</t>
        </is>
      </c>
    </row>
    <row r="968" hidden="1">
      <c r="A968" s="26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01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9" t="n">
        <v>11.94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219-2024-06-30</t>
        </is>
      </c>
    </row>
    <row r="969" hidden="1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101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5" t="n">
        <v>-12.53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219-2024-12-31</t>
        </is>
      </c>
    </row>
    <row r="970" hidden="1">
      <c r="A970" s="21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01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10" t="n">
        <v>18.43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219-2025-06-30</t>
        </is>
      </c>
    </row>
    <row r="971" hidden="1">
      <c r="A971" s="21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00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9" t="n">
        <v>-18.28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219-2025-12-31</t>
        </is>
      </c>
    </row>
    <row r="972" hidden="1">
      <c r="A972" s="21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00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9" t="n">
        <v>-88.60356590106301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220-2022-06-30</t>
        </is>
      </c>
    </row>
    <row r="973" hidden="1">
      <c r="A973" s="26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101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9" t="n">
        <v>-85.889409840455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15" t="n">
        <v>0</v>
      </c>
      <c r="Q973" s="15" t="n">
        <v>0</v>
      </c>
      <c r="R973" s="5" t="inlineStr">
        <is>
          <t>220-2022-12-31</t>
        </is>
      </c>
    </row>
    <row r="974" hidden="1">
      <c r="A974" s="26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101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9" t="n">
        <v>40.67840779343521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15" t="n">
        <v>0</v>
      </c>
      <c r="Q974" s="15" t="n">
        <v>0</v>
      </c>
      <c r="R974" s="5" t="inlineStr">
        <is>
          <t>220-2023-06-30</t>
        </is>
      </c>
    </row>
    <row r="975" hidden="1">
      <c r="A975" s="21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101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10" t="n">
        <v>-38.58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220-2023-12-31</t>
        </is>
      </c>
    </row>
    <row r="976" hidden="1">
      <c r="A976" s="21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00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9" t="n">
        <v>3.58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220-2024-06-30</t>
        </is>
      </c>
    </row>
    <row r="977" hidden="1">
      <c r="A977" s="26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101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9" t="n">
        <v>13.05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220-2024-12-31</t>
        </is>
      </c>
    </row>
    <row r="978" hidden="1">
      <c r="A978" s="21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01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220-2025-06-30</t>
        </is>
      </c>
    </row>
    <row r="979" hidden="1">
      <c r="A979" s="21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100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9" t="n">
        <v>-10.18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220-2025-12-31</t>
        </is>
      </c>
    </row>
    <row r="980" hidden="1">
      <c r="A980" s="26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01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9" t="n">
        <v>200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221-2022-12-31</t>
        </is>
      </c>
    </row>
    <row r="981" hidden="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01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</row>
    <row r="982" hidden="1">
      <c r="A982" s="21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01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n"/>
      <c r="O982" s="5" t="n"/>
      <c r="P982" s="15" t="n">
        <v>0</v>
      </c>
      <c r="Q982" s="15" t="n">
        <v>0</v>
      </c>
      <c r="R982" s="5" t="inlineStr">
        <is>
          <t>221-2024-12-31</t>
        </is>
      </c>
    </row>
    <row r="983" hidden="1">
      <c r="A983" s="21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00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9" t="n">
        <v>27.5</v>
      </c>
      <c r="L983" s="1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221-2025-12-31</t>
        </is>
      </c>
    </row>
    <row r="984" hidden="1">
      <c r="A984" s="26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01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9" t="n">
        <v>93.75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222-2022-12-31</t>
        </is>
      </c>
    </row>
    <row r="985" hidden="1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01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</row>
    <row r="986" hidden="1">
      <c r="A986" s="21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01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222-2024-12-31</t>
        </is>
      </c>
    </row>
    <row r="987" hidden="1">
      <c r="A987" s="21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00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9" t="n">
        <v>68.75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222-2025-12-31</t>
        </is>
      </c>
    </row>
    <row r="988" hidden="1">
      <c r="A988" s="26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01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9" t="n">
        <v>0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223-2022-12-31</t>
        </is>
      </c>
    </row>
    <row r="989" hidden="1">
      <c r="A989" s="5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01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5" t="n">
        <v>100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223-2023-12-31</t>
        </is>
      </c>
    </row>
    <row r="990" hidden="1">
      <c r="A990" s="21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01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10" t="n">
        <v>94.12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n"/>
      <c r="O990" s="5" t="n"/>
      <c r="P990" s="15" t="n">
        <v>0</v>
      </c>
      <c r="Q990" s="15" t="n">
        <v>0</v>
      </c>
      <c r="R990" s="5" t="inlineStr">
        <is>
          <t>223-2024-12-31</t>
        </is>
      </c>
    </row>
    <row r="991" hidden="1">
      <c r="A991" s="28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01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9" t="n">
        <v>91.67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223-2025-12-31</t>
        </is>
      </c>
    </row>
    <row r="992" hidden="1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01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9" t="n">
        <v>71.42857142857143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15" t="n">
        <v>0</v>
      </c>
      <c r="Q992" s="15" t="n">
        <v>0</v>
      </c>
      <c r="R992" s="5" t="inlineStr">
        <is>
          <t>224-2022-12-31</t>
        </is>
      </c>
    </row>
    <row r="993" hidden="1">
      <c r="A993" s="26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01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9" t="n">
        <v>40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15" t="n">
        <v>0</v>
      </c>
      <c r="Q993" s="15" t="n">
        <v>0</v>
      </c>
      <c r="R993" s="5" t="inlineStr">
        <is>
          <t>224-2023-12-31</t>
        </is>
      </c>
    </row>
    <row r="994" hidden="1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01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5" t="n">
        <v>100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15" t="n">
        <v>0</v>
      </c>
      <c r="Q994" s="15" t="n">
        <v>0</v>
      </c>
      <c r="R994" s="5" t="inlineStr">
        <is>
          <t>224-2024-12-31</t>
        </is>
      </c>
    </row>
    <row r="995" hidden="1">
      <c r="A995" s="21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100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9" t="n">
        <v>100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15" t="n">
        <v>0</v>
      </c>
      <c r="Q995" s="15" t="n">
        <v>0</v>
      </c>
      <c r="R995" s="5" t="inlineStr">
        <is>
          <t>224-2025-12-31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1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9" t="n">
        <v>0</v>
      </c>
      <c r="L996" s="1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15" t="n">
        <v>0</v>
      </c>
      <c r="Q996" s="15" t="n">
        <v>0</v>
      </c>
      <c r="R996" s="5" t="inlineStr">
        <is>
          <t>225-2022-01-31</t>
        </is>
      </c>
    </row>
    <row r="997" hidden="1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1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5" t="n">
        <v>0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225-2022-02-28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1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10" t="n">
        <v>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15" t="n">
        <v>0</v>
      </c>
      <c r="Q998" s="15" t="n">
        <v>0</v>
      </c>
      <c r="R998" s="5" t="inlineStr">
        <is>
          <t>225-2022-03-31</t>
        </is>
      </c>
    </row>
    <row r="999" hidden="1">
      <c r="A999" s="28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1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9" t="n">
        <v>0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15" t="n">
        <v>0</v>
      </c>
      <c r="Q999" s="15" t="n">
        <v>0</v>
      </c>
      <c r="R999" s="5" t="inlineStr">
        <is>
          <t>225-2022-04-30</t>
        </is>
      </c>
    </row>
    <row r="1000" hidden="1">
      <c r="A1000" s="26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1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9" t="n">
        <v>0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15" t="n">
        <v>0</v>
      </c>
      <c r="Q1000" s="15" t="n">
        <v>0</v>
      </c>
      <c r="R1000" s="5" t="inlineStr">
        <is>
          <t>225-2022-05-31</t>
        </is>
      </c>
    </row>
    <row r="1001" hidden="1">
      <c r="A1001" s="28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1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9" t="n">
        <v>0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15" t="n">
        <v>0</v>
      </c>
      <c r="Q1001" s="15" t="n">
        <v>0</v>
      </c>
      <c r="R1001" s="5" t="inlineStr">
        <is>
          <t>225-2022-06-30</t>
        </is>
      </c>
    </row>
    <row r="1002" hidden="1">
      <c r="A1002" s="28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1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9" t="n">
        <v>0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15" t="n">
        <v>0</v>
      </c>
      <c r="Q1002" s="15" t="n">
        <v>0</v>
      </c>
      <c r="R1002" s="5" t="inlineStr">
        <is>
          <t>225-2022-07-31</t>
        </is>
      </c>
    </row>
    <row r="1003" hidden="1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1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9" t="n">
        <v>0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15" t="n">
        <v>0</v>
      </c>
      <c r="Q1003" s="15" t="n">
        <v>0</v>
      </c>
      <c r="R1003" s="5" t="inlineStr">
        <is>
          <t>225-2022-08-31</t>
        </is>
      </c>
    </row>
    <row r="1004" hidden="1">
      <c r="A1004" s="21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0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9" t="n">
        <v>0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15" t="n">
        <v>0</v>
      </c>
      <c r="Q1004" s="15" t="n">
        <v>0</v>
      </c>
      <c r="R1004" s="5" t="inlineStr">
        <is>
          <t>225-2022-09-30</t>
        </is>
      </c>
    </row>
    <row r="1005" hidden="1">
      <c r="A1005" s="26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1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9" t="n">
        <v>0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15" t="n">
        <v>0</v>
      </c>
      <c r="Q1005" s="15" t="n">
        <v>0</v>
      </c>
      <c r="R1005" s="5" t="inlineStr">
        <is>
          <t>225-2022-10-31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0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9" t="n">
        <v>0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15" t="n">
        <v>0</v>
      </c>
      <c r="Q1006" s="15" t="n">
        <v>0</v>
      </c>
      <c r="R1006" s="5" t="inlineStr">
        <is>
          <t>225-2022-11-30</t>
        </is>
      </c>
    </row>
    <row r="1007" hidden="1">
      <c r="A1007" s="21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1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0" t="n">
        <v>0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15" t="n">
        <v>0</v>
      </c>
      <c r="Q1007" s="15" t="n">
        <v>0</v>
      </c>
      <c r="R1007" s="5" t="inlineStr">
        <is>
          <t>225-2022-12-31</t>
        </is>
      </c>
    </row>
    <row r="1008" hidden="1">
      <c r="A1008" s="26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1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9" t="n">
        <v>25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5" t="n">
        <v>0</v>
      </c>
      <c r="Q1008" s="15" t="n">
        <v>0</v>
      </c>
      <c r="R1008" s="5" t="inlineStr">
        <is>
          <t>225-2023-01-31</t>
        </is>
      </c>
    </row>
    <row r="1009" hidden="1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1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0" t="n">
        <v>20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225-2023-02-28</t>
        </is>
      </c>
    </row>
    <row r="1010" hidden="1">
      <c r="A1010" s="26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1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9" t="n">
        <v>19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5" t="n">
        <v>0</v>
      </c>
      <c r="Q1010" s="15" t="n">
        <v>0</v>
      </c>
      <c r="R1010" s="5" t="inlineStr">
        <is>
          <t>225-2023-03-31</t>
        </is>
      </c>
    </row>
    <row r="1011" hidden="1">
      <c r="A1011" s="21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1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10" t="n">
        <v>20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225-2023-04-30</t>
        </is>
      </c>
    </row>
    <row r="1012" hidden="1">
      <c r="A1012" s="26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1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9" t="n">
        <v>23</v>
      </c>
      <c r="L1012" s="7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225-2023-05-31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1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10" t="n">
        <v>19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225-2023-06-30</t>
        </is>
      </c>
    </row>
    <row r="1014" hidden="1">
      <c r="A1014" s="21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0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103" t="n">
        <v>20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225-2023-07-31</t>
        </is>
      </c>
    </row>
    <row r="1015" hidden="1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1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03" t="n">
        <v>23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225-2023-08-31</t>
        </is>
      </c>
    </row>
    <row r="1016" hidden="1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0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103" t="n">
        <v>21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15" t="n">
        <v>0</v>
      </c>
      <c r="Q1016" s="15" t="n">
        <v>0</v>
      </c>
      <c r="R1016" s="5" t="inlineStr">
        <is>
          <t>225-2023-09-30</t>
        </is>
      </c>
    </row>
    <row r="1017" hidden="1">
      <c r="A1017" s="21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1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0" t="n">
        <v>19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15" t="n">
        <v>0</v>
      </c>
      <c r="Q1017" s="15" t="n">
        <v>0</v>
      </c>
      <c r="R1017" s="5" t="inlineStr">
        <is>
          <t>225-2023-10-31</t>
        </is>
      </c>
    </row>
    <row r="1018" hidden="1">
      <c r="A1018" s="26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1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9" t="n">
        <v>18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ENT</t>
        </is>
      </c>
      <c r="P1018" s="15" t="n">
        <v>0</v>
      </c>
      <c r="Q1018" s="15" t="n">
        <v>0</v>
      </c>
      <c r="R1018" s="5" t="inlineStr">
        <is>
          <t>225-2023-11-30</t>
        </is>
      </c>
    </row>
    <row r="1019" hidden="1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1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10" t="n">
        <v>18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ENT</t>
        </is>
      </c>
      <c r="P1019" s="15" t="n">
        <v>0</v>
      </c>
      <c r="Q1019" s="15" t="n">
        <v>0</v>
      </c>
      <c r="R1019" s="5" t="inlineStr">
        <is>
          <t>225-2023-12-31</t>
        </is>
      </c>
    </row>
    <row r="1020" hidden="1">
      <c r="A1020" s="26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1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9" t="n">
        <v>20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ENT</t>
        </is>
      </c>
      <c r="P1020" s="15" t="n">
        <v>0</v>
      </c>
      <c r="Q1020" s="15" t="n">
        <v>0</v>
      </c>
      <c r="R1020" s="5" t="inlineStr">
        <is>
          <t>225-2024-01-31</t>
        </is>
      </c>
    </row>
    <row r="1021" hidden="1">
      <c r="A1021" s="21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1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10" t="n">
        <v>19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ENT</t>
        </is>
      </c>
      <c r="O1021" s="5" t="inlineStr">
        <is>
          <t>ENT</t>
        </is>
      </c>
      <c r="P1021" s="15" t="n">
        <v>0</v>
      </c>
      <c r="Q1021" s="15" t="n">
        <v>0</v>
      </c>
      <c r="R1021" s="5" t="inlineStr">
        <is>
          <t>225-2024-02-29</t>
        </is>
      </c>
    </row>
    <row r="1022" hidden="1">
      <c r="A1022" s="21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1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10" t="n">
        <v>23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ENT</t>
        </is>
      </c>
      <c r="P1022" s="15" t="n">
        <v>0</v>
      </c>
      <c r="Q1022" s="15" t="n">
        <v>0</v>
      </c>
      <c r="R1022" s="5" t="inlineStr">
        <is>
          <t>225-2024-03-31</t>
        </is>
      </c>
    </row>
    <row r="1023" hidden="1">
      <c r="A1023" s="26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1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9" t="n">
        <v>20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ENT</t>
        </is>
      </c>
      <c r="O1023" s="5" t="inlineStr">
        <is>
          <t>ENT</t>
        </is>
      </c>
      <c r="P1023" s="15" t="n">
        <v>0</v>
      </c>
      <c r="Q1023" s="15" t="n">
        <v>0</v>
      </c>
      <c r="R1023" s="5" t="inlineStr">
        <is>
          <t>225-2024-04-30</t>
        </is>
      </c>
    </row>
    <row r="1024" hidden="1">
      <c r="A1024" s="5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1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5" t="n">
        <v>20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 t="inlineStr">
        <is>
          <t>225-2024-05-31</t>
        </is>
      </c>
    </row>
    <row r="1025" hidden="1">
      <c r="A1025" s="21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0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9" t="n">
        <v>21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ENT</t>
        </is>
      </c>
      <c r="O1025" s="5" t="inlineStr">
        <is>
          <t>ENT</t>
        </is>
      </c>
      <c r="P1025" s="15" t="n">
        <v>0</v>
      </c>
      <c r="Q1025" s="15" t="n">
        <v>0</v>
      </c>
      <c r="R1025" s="5" t="inlineStr">
        <is>
          <t>225-2024-06-30</t>
        </is>
      </c>
    </row>
    <row r="1026" hidden="1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1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5" t="n">
        <v>20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 t="inlineStr">
        <is>
          <t>225-2024-07-31</t>
        </is>
      </c>
    </row>
    <row r="1027" hidden="1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1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9" t="n">
        <v>21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ENT</t>
        </is>
      </c>
      <c r="O1027" s="5" t="inlineStr">
        <is>
          <t>ENT</t>
        </is>
      </c>
      <c r="P1027" s="15" t="n">
        <v>0</v>
      </c>
      <c r="Q1027" s="15" t="n">
        <v>0</v>
      </c>
      <c r="R1027" s="5" t="inlineStr">
        <is>
          <t>225-2024-08-31</t>
        </is>
      </c>
    </row>
    <row r="1028" hidden="1">
      <c r="A1028" s="21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01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9" t="n">
        <v>22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5" t="n">
        <v>0</v>
      </c>
      <c r="Q1028" s="15" t="n">
        <v>0</v>
      </c>
      <c r="R1028" s="5" t="inlineStr">
        <is>
          <t>225-2024-09-30</t>
        </is>
      </c>
    </row>
    <row r="1029" hidden="1">
      <c r="A1029" s="21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01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9" t="n">
        <v>20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ENT</t>
        </is>
      </c>
      <c r="P1029" s="15" t="n">
        <v>0</v>
      </c>
      <c r="Q1029" s="15" t="n">
        <v>0</v>
      </c>
      <c r="R1029" s="5" t="inlineStr">
        <is>
          <t>225-2024-10-31</t>
        </is>
      </c>
    </row>
    <row r="1030" hidden="1">
      <c r="A1030" s="28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01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9" t="n">
        <v>22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ENT</t>
        </is>
      </c>
      <c r="P1030" s="15" t="n">
        <v>0</v>
      </c>
      <c r="Q1030" s="15" t="n">
        <v>0</v>
      </c>
      <c r="R1030" s="5" t="inlineStr">
        <is>
          <t>225-2024-11-30</t>
        </is>
      </c>
    </row>
    <row r="1031" hidden="1">
      <c r="A1031" s="26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01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9" t="n">
        <v>18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inlineStr">
        <is>
          <t>ENT</t>
        </is>
      </c>
      <c r="O1031" s="5" t="inlineStr">
        <is>
          <t>ENT</t>
        </is>
      </c>
      <c r="P1031" s="15" t="n">
        <v>0</v>
      </c>
      <c r="Q1031" s="15" t="n">
        <v>0</v>
      </c>
      <c r="R1031" s="5" t="inlineStr">
        <is>
          <t>225-2024-12-31</t>
        </is>
      </c>
    </row>
    <row r="1032" hidden="1">
      <c r="A1032" s="21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01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0" t="n">
        <v>22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5" t="n">
        <v>0</v>
      </c>
      <c r="Q1032" s="15" t="n">
        <v>0</v>
      </c>
      <c r="R1032" s="5" t="inlineStr">
        <is>
          <t>225-2025-01-31</t>
        </is>
      </c>
    </row>
    <row r="1033" hidden="1">
      <c r="A1033" s="5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01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5" t="n">
        <v>1</v>
      </c>
      <c r="K1033" s="5" t="n">
        <v>20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225-2025-02-28</t>
        </is>
      </c>
    </row>
    <row r="1034" hidden="1">
      <c r="A1034" s="21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01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5" t="n">
        <v>1</v>
      </c>
      <c r="K1034" s="10" t="n">
        <v>21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15" t="n">
        <v>0</v>
      </c>
      <c r="Q1034" s="15" t="n">
        <v>0</v>
      </c>
      <c r="R1034" s="5" t="inlineStr">
        <is>
          <t>225-2025-03-31</t>
        </is>
      </c>
    </row>
    <row r="1035" hidden="1">
      <c r="A1035" s="21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01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5" t="n">
        <v>1</v>
      </c>
      <c r="K1035" s="10" t="n">
        <v>26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15" t="n">
        <v>0</v>
      </c>
      <c r="Q1035" s="15" t="n">
        <v>0</v>
      </c>
      <c r="R1035" s="5" t="inlineStr">
        <is>
          <t>225-2025-04-30</t>
        </is>
      </c>
    </row>
    <row r="1036" hidden="1">
      <c r="A1036" s="21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00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73" t="n">
        <v>1</v>
      </c>
      <c r="K1036" s="9" t="n">
        <v>28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15" t="n">
        <v>0</v>
      </c>
      <c r="Q1036" s="15" t="n">
        <v>0</v>
      </c>
      <c r="R1036" s="5" t="inlineStr">
        <is>
          <t>225-2025-05-31</t>
        </is>
      </c>
    </row>
    <row r="1037" hidden="1">
      <c r="A1037" s="26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01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73" t="n">
        <v>1</v>
      </c>
      <c r="K1037" s="9" t="n">
        <v>26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15" t="n">
        <v>0</v>
      </c>
      <c r="Q1037" s="15" t="n">
        <v>0</v>
      </c>
      <c r="R1037" s="5" t="inlineStr">
        <is>
          <t>225-2025-06-30</t>
        </is>
      </c>
    </row>
    <row r="1038" hidden="1">
      <c r="A1038" s="5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01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73" t="n">
        <v>1</v>
      </c>
      <c r="K1038" s="9" t="n">
        <v>18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225-2025-07-31</t>
        </is>
      </c>
    </row>
    <row r="1039" hidden="1">
      <c r="A1039" s="21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01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73" t="n">
        <v>1</v>
      </c>
      <c r="K1039" s="9" t="n">
        <v>17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225-2025-08-31</t>
        </is>
      </c>
    </row>
    <row r="1040" hidden="1">
      <c r="A1040" s="21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00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9" t="n">
        <v>19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225-2025-09-30</t>
        </is>
      </c>
    </row>
    <row r="1041" hidden="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01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9" t="n">
        <v>11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225-2025-10-31</t>
        </is>
      </c>
    </row>
    <row r="1042" hidden="1">
      <c r="A1042" s="5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01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5" t="n">
        <v>25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225-2025-11-30</t>
        </is>
      </c>
    </row>
    <row r="1043" hidden="1">
      <c r="A1043" s="21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01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0" t="n">
        <v>0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5" t="n">
        <v>0</v>
      </c>
      <c r="Q1043" s="15" t="n">
        <v>0</v>
      </c>
      <c r="R1043" s="5" t="inlineStr">
        <is>
          <t>225-2025-12-31</t>
        </is>
      </c>
    </row>
    <row r="1044" hidden="1">
      <c r="A1044" s="26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101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9" t="n"/>
      <c r="L1044" s="14" t="n"/>
      <c r="M1044" s="14" t="n"/>
      <c r="N1044" s="5" t="inlineStr">
        <is>
          <t>%</t>
        </is>
      </c>
      <c r="O1044" s="17" t="inlineStr">
        <is>
          <t>No Aplica</t>
        </is>
      </c>
      <c r="P1044" s="15" t="n">
        <v>0</v>
      </c>
      <c r="Q1044" s="15" t="n">
        <v>0</v>
      </c>
      <c r="R1044" s="5" t="inlineStr">
        <is>
          <t>225-2026-01-31</t>
        </is>
      </c>
      <c r="S1044" t="inlineStr">
        <is>
          <t>No Aplica</t>
        </is>
      </c>
    </row>
    <row r="1045" hidden="1">
      <c r="A1045" s="26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01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9" t="n">
        <v>476.4899959564209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ENT</t>
        </is>
      </c>
      <c r="O1045" s="17" t="inlineStr">
        <is>
          <t>ENT</t>
        </is>
      </c>
      <c r="P1045" s="15" t="n">
        <v>0</v>
      </c>
      <c r="Q1045" s="15" t="n">
        <v>0</v>
      </c>
      <c r="R1045" s="5" t="inlineStr">
        <is>
          <t>226-2022-12-31</t>
        </is>
      </c>
    </row>
    <row r="1046" hidden="1">
      <c r="A1046" s="21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01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10" t="n">
        <v>622.6900000000001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226-2023-12-31</t>
        </is>
      </c>
    </row>
    <row r="1047" hidden="1">
      <c r="A1047" s="21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01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9" t="n">
        <v>3531.11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226-2024-12-31</t>
        </is>
      </c>
    </row>
    <row r="1048" hidden="1">
      <c r="A1048" s="21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101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9" t="n"/>
      <c r="L1048" s="14" t="n"/>
      <c r="M1048" s="14" t="n"/>
      <c r="N1048" s="5" t="inlineStr">
        <is>
          <t>%</t>
        </is>
      </c>
      <c r="O1048" s="5" t="inlineStr">
        <is>
          <t>No Aplica</t>
        </is>
      </c>
      <c r="P1048" s="15" t="n">
        <v>0</v>
      </c>
      <c r="Q1048" s="15" t="n">
        <v>0</v>
      </c>
      <c r="R1048" s="5" t="inlineStr">
        <is>
          <t>226-2025-12-31</t>
        </is>
      </c>
      <c r="S1048" t="inlineStr">
        <is>
          <t>No Aplica</t>
        </is>
      </c>
    </row>
    <row r="1049" hidden="1">
      <c r="A1049" s="28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01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9" t="n">
        <v>0.01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ENT</t>
        </is>
      </c>
      <c r="O1049" s="5" t="inlineStr">
        <is>
          <t>ENT</t>
        </is>
      </c>
      <c r="P1049" s="15" t="n">
        <v>0</v>
      </c>
      <c r="Q1049" s="15" t="n">
        <v>0</v>
      </c>
      <c r="R1049" s="5" t="inlineStr">
        <is>
          <t>227-2022-12-31</t>
        </is>
      </c>
    </row>
    <row r="1050" hidden="1">
      <c r="A1050" s="26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01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9" t="n">
        <v>0.01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227-2023-12-31</t>
        </is>
      </c>
    </row>
    <row r="1051" hidden="1">
      <c r="A1051" s="21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01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n"/>
      <c r="O1051" s="5" t="n"/>
      <c r="P1051" s="15" t="n">
        <v>0</v>
      </c>
      <c r="Q1051" s="15" t="n">
        <v>0</v>
      </c>
      <c r="R1051" s="5" t="inlineStr">
        <is>
          <t>227-2024-12-31</t>
        </is>
      </c>
    </row>
    <row r="1052" hidden="1">
      <c r="A1052" s="5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101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5" t="n"/>
      <c r="L1052" s="14" t="n"/>
      <c r="M1052" s="14" t="n"/>
      <c r="N1052" s="5" t="inlineStr">
        <is>
          <t>%</t>
        </is>
      </c>
      <c r="O1052" s="5" t="inlineStr">
        <is>
          <t>No Aplica</t>
        </is>
      </c>
      <c r="P1052" s="5" t="n">
        <v>0</v>
      </c>
      <c r="Q1052" s="5" t="n">
        <v>0</v>
      </c>
      <c r="R1052" s="5" t="inlineStr">
        <is>
          <t>227-2025-12-31</t>
        </is>
      </c>
      <c r="S1052" t="inlineStr">
        <is>
          <t>No Aplica</t>
        </is>
      </c>
    </row>
    <row r="1053" hidden="1">
      <c r="A1053" s="21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01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5" t="n">
        <v>100</v>
      </c>
      <c r="K1053" s="10" t="n">
        <v>100.1070326764465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tCO2e</t>
        </is>
      </c>
      <c r="O1053" s="5" t="inlineStr">
        <is>
          <t>tCO2e</t>
        </is>
      </c>
      <c r="P1053" s="15" t="n">
        <v>0</v>
      </c>
      <c r="Q1053" s="15" t="n">
        <v>0</v>
      </c>
      <c r="R1053" s="5" t="inlineStr">
        <is>
          <t>228-2022-12-31</t>
        </is>
      </c>
    </row>
    <row r="1054" hidden="1">
      <c r="A1054" s="21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01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>
        <v>100</v>
      </c>
      <c r="K1054" s="10" t="n">
        <v>100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tCO2e</t>
        </is>
      </c>
      <c r="O1054" s="5" t="inlineStr">
        <is>
          <t>tCO2e</t>
        </is>
      </c>
      <c r="P1054" s="15" t="n">
        <v>1</v>
      </c>
      <c r="Q1054" s="15" t="n">
        <v>1</v>
      </c>
      <c r="R1054" s="5" t="inlineStr">
        <is>
          <t>228-2023-12-31</t>
        </is>
      </c>
    </row>
    <row r="1055" hidden="1">
      <c r="A1055" s="21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101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5" t="n">
        <v>100</v>
      </c>
      <c r="K1055" s="9" t="n">
        <v>3531.11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tCO2e</t>
        </is>
      </c>
      <c r="O1055" s="5" t="inlineStr">
        <is>
          <t>tCO2e</t>
        </is>
      </c>
      <c r="P1055" s="15" t="n">
        <v>1</v>
      </c>
      <c r="Q1055" s="15" t="n">
        <v>1</v>
      </c>
      <c r="R1055" s="5" t="inlineStr">
        <is>
          <t>228-2024-12-31</t>
        </is>
      </c>
    </row>
    <row r="1056" hidden="1">
      <c r="A1056" s="21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101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90</v>
      </c>
      <c r="K1056" s="9" t="n">
        <v>100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230-2023-06-30</t>
        </is>
      </c>
    </row>
    <row r="1057" hidden="1">
      <c r="A1057" s="28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01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9" t="n">
        <v>100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230-2023-12-31</t>
        </is>
      </c>
    </row>
    <row r="1058" hidden="1">
      <c r="A1058" s="26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01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9" t="n">
        <v>100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230-2024-06-30</t>
        </is>
      </c>
    </row>
    <row r="1059" hidden="1">
      <c r="A1059" s="21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01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10" t="n">
        <v>100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15" t="n">
        <v>0</v>
      </c>
      <c r="R1059" s="5" t="inlineStr">
        <is>
          <t>230-2024-12-31</t>
        </is>
      </c>
    </row>
    <row r="1060" hidden="1">
      <c r="A1060" s="5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01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5" t="n">
        <v>96.77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230-2025-06-30</t>
        </is>
      </c>
    </row>
    <row r="1061" hidden="1">
      <c r="A1061" s="21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01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10" t="n">
        <v>96.72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15" t="n">
        <v>0</v>
      </c>
      <c r="Q1061" s="15" t="n">
        <v>0</v>
      </c>
      <c r="R1061" s="5" t="inlineStr">
        <is>
          <t>230-2025-12-31</t>
        </is>
      </c>
    </row>
    <row r="1062" hidden="1">
      <c r="A1062" s="21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101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10" t="n">
        <v>40.58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15" t="n">
        <v>0</v>
      </c>
      <c r="Q1062" s="15" t="n">
        <v>0</v>
      </c>
      <c r="R1062" s="5" t="inlineStr">
        <is>
          <t>231-2023-06-30</t>
        </is>
      </c>
    </row>
    <row r="1063" hidden="1">
      <c r="A1063" s="21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01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104" t="n">
        <v>96.44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231-2023-12-31</t>
        </is>
      </c>
    </row>
    <row r="1064" hidden="1">
      <c r="A1064" s="21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1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04" t="n">
        <v>96.75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231-2024-06-30</t>
        </is>
      </c>
    </row>
    <row r="1065" hidden="1">
      <c r="A1065" s="28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01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104" t="n">
        <v>104.19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231-2024-12-31</t>
        </is>
      </c>
    </row>
    <row r="1066" hidden="1">
      <c r="A1066" s="26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01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04" t="n">
        <v>570.89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15" t="n">
        <v>0</v>
      </c>
      <c r="Q1066" s="15" t="n">
        <v>0</v>
      </c>
      <c r="R1066" s="5" t="inlineStr">
        <is>
          <t>231-2025-06-30</t>
        </is>
      </c>
    </row>
    <row r="1067" hidden="1">
      <c r="A1067" s="21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01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0" t="n">
        <v>7277.98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15" t="n">
        <v>0</v>
      </c>
      <c r="Q1067" s="15" t="n">
        <v>0</v>
      </c>
      <c r="R1067" s="5" t="inlineStr">
        <is>
          <t>231-2025-12-31</t>
        </is>
      </c>
    </row>
    <row r="1068" hidden="1">
      <c r="A1068" s="5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101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5" t="n">
        <v>100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15" t="n">
        <v>0</v>
      </c>
      <c r="Q1068" s="5" t="n">
        <v>0</v>
      </c>
      <c r="R1068" s="5" t="inlineStr">
        <is>
          <t>232-2023-06-30</t>
        </is>
      </c>
    </row>
    <row r="1069" hidden="1">
      <c r="A1069" s="21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101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10" t="n">
        <v>91.3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15" t="n">
        <v>0</v>
      </c>
      <c r="Q1069" s="15" t="n">
        <v>0</v>
      </c>
      <c r="R1069" s="5" t="inlineStr">
        <is>
          <t>232-2023-12-31</t>
        </is>
      </c>
    </row>
    <row r="1070" hidden="1">
      <c r="A1070" s="21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1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10" t="n">
        <v>95.45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inlineStr">
        <is>
          <t>%</t>
        </is>
      </c>
      <c r="O1070" s="5" t="inlineStr">
        <is>
          <t>%</t>
        </is>
      </c>
      <c r="P1070" s="15" t="n">
        <v>0</v>
      </c>
      <c r="Q1070" s="15" t="n">
        <v>0</v>
      </c>
      <c r="R1070" s="5" t="inlineStr">
        <is>
          <t>232-2024-06-30</t>
        </is>
      </c>
    </row>
    <row r="1071" hidden="1">
      <c r="A1071" s="21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101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103" t="n">
        <v>100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15" t="n">
        <v>0</v>
      </c>
      <c r="Q1071" s="15" t="n">
        <v>0</v>
      </c>
      <c r="R1071" s="5" t="inlineStr">
        <is>
          <t>232-2024-12-31</t>
        </is>
      </c>
    </row>
    <row r="1072" hidden="1">
      <c r="A1072" s="21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1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03" t="n">
        <v>85.70999999999999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15" t="n">
        <v>0</v>
      </c>
      <c r="Q1072" s="15" t="n">
        <v>0</v>
      </c>
      <c r="R1072" s="5" t="inlineStr">
        <is>
          <t>232-2025-06-30</t>
        </is>
      </c>
    </row>
    <row r="1073" hidden="1">
      <c r="A1073" s="28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1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103" t="n">
        <v>80.84999999999999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15" t="n">
        <v>0</v>
      </c>
      <c r="Q1073" s="15" t="n">
        <v>0</v>
      </c>
      <c r="R1073" s="5" t="inlineStr">
        <is>
          <t>232-2025-12-31</t>
        </is>
      </c>
    </row>
    <row r="1074" hidden="1">
      <c r="A1074" s="26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01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03" t="n">
        <v>64.36781609195403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15" t="n">
        <v>0</v>
      </c>
      <c r="Q1074" s="15" t="n">
        <v>0</v>
      </c>
      <c r="R1074" s="5" t="inlineStr">
        <is>
          <t>233-2023-03-31</t>
        </is>
      </c>
    </row>
    <row r="1075" hidden="1">
      <c r="A1075" s="21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101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0" t="n">
        <v>27.60583259715072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15" t="n">
        <v>1</v>
      </c>
      <c r="Q1075" s="15" t="n">
        <v>1</v>
      </c>
      <c r="R1075" s="5" t="inlineStr">
        <is>
          <t>233-2023-06-30</t>
        </is>
      </c>
    </row>
    <row r="1076" hidden="1">
      <c r="A1076" s="5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1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5" t="n">
        <v>27.41037918985376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5" t="n">
        <v>0</v>
      </c>
      <c r="R1076" s="5" t="inlineStr">
        <is>
          <t>233-2023-09-30</t>
        </is>
      </c>
    </row>
    <row r="1077" hidden="1">
      <c r="A1077" s="21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101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10" t="n">
        <v>9.628275441803778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233-2023-12-31</t>
        </is>
      </c>
    </row>
    <row r="1078" hidden="1">
      <c r="A1078" s="21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01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10" t="n">
        <v>48.35069444444444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n"/>
      <c r="O1078" s="5" t="n"/>
      <c r="P1078" s="15" t="n">
        <v>0</v>
      </c>
      <c r="Q1078" s="15" t="n">
        <v>0</v>
      </c>
      <c r="R1078" s="5" t="inlineStr">
        <is>
          <t>233-2024-03-31</t>
        </is>
      </c>
    </row>
    <row r="1079" hidden="1">
      <c r="A1079" s="28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01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9" t="n">
        <v>18.56653706346807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n"/>
      <c r="O1079" s="5" t="n"/>
      <c r="P1079" s="15" t="n">
        <v>0</v>
      </c>
      <c r="Q1079" s="15" t="n">
        <v>0</v>
      </c>
      <c r="R1079" s="5" t="inlineStr">
        <is>
          <t>233-2024-06-30</t>
        </is>
      </c>
    </row>
    <row r="1080" hidden="1">
      <c r="A1080" s="26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101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20</v>
      </c>
      <c r="K1080" s="9" t="n">
        <v>31.82123655913979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n"/>
      <c r="O1080" s="5" t="n"/>
      <c r="P1080" s="15" t="n">
        <v>0</v>
      </c>
      <c r="Q1080" s="15" t="n">
        <v>0</v>
      </c>
      <c r="R1080" s="5" t="inlineStr">
        <is>
          <t>233-2024-12-31</t>
        </is>
      </c>
    </row>
    <row r="1081" hidden="1">
      <c r="A1081" s="21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00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9" t="n">
        <v>32.86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233-2025-03-31</t>
        </is>
      </c>
    </row>
    <row r="1082" hidden="1">
      <c r="A1082" s="26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1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20</v>
      </c>
      <c r="K1082" s="9" t="n">
        <v>11.77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inlineStr">
        <is>
          <t>%</t>
        </is>
      </c>
      <c r="O1082" s="5" t="inlineStr">
        <is>
          <t>%</t>
        </is>
      </c>
      <c r="P1082" s="15" t="n">
        <v>0</v>
      </c>
      <c r="Q1082" s="15" t="n">
        <v>0</v>
      </c>
      <c r="R1082" s="5" t="inlineStr">
        <is>
          <t>233-2025-06-30</t>
        </is>
      </c>
    </row>
    <row r="1083" hidden="1">
      <c r="A1083" s="26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01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11" t="n">
        <v>20</v>
      </c>
      <c r="K1083" s="9" t="n"/>
      <c r="L1083" s="8" t="n"/>
      <c r="M1083" s="14" t="n"/>
      <c r="N1083" s="5" t="inlineStr">
        <is>
          <t>%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233-2025-12-31</t>
        </is>
      </c>
      <c r="S1083" t="inlineStr">
        <is>
          <t>No Aplica</t>
        </is>
      </c>
    </row>
    <row r="1084" hidden="1">
      <c r="A1084" s="21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1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10" t="n">
        <v>3692.25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15" t="n">
        <v>0</v>
      </c>
      <c r="Q1084" s="15" t="n">
        <v>0</v>
      </c>
      <c r="R1084" s="5" t="inlineStr">
        <is>
          <t>234-2023-03-31</t>
        </is>
      </c>
    </row>
    <row r="1085" hidden="1">
      <c r="A1085" s="21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0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11" t="n">
        <v>4000</v>
      </c>
      <c r="K1085" s="9" t="n">
        <v>6843.5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11" t="n"/>
      <c r="O1085" s="11" t="n"/>
      <c r="P1085" s="15" t="n">
        <v>0</v>
      </c>
      <c r="Q1085" s="15" t="n">
        <v>0</v>
      </c>
      <c r="R1085" s="5" t="inlineStr">
        <is>
          <t>234-2023-06-30</t>
        </is>
      </c>
    </row>
    <row r="1086" hidden="1">
      <c r="A1086" s="26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01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9" t="n">
        <v>10713.75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11" t="inlineStr">
        <is>
          <t>ENT</t>
        </is>
      </c>
      <c r="O1086" s="11" t="inlineStr">
        <is>
          <t>ENT</t>
        </is>
      </c>
      <c r="P1086" s="15" t="n">
        <v>0</v>
      </c>
      <c r="Q1086" s="15" t="n">
        <v>0</v>
      </c>
      <c r="R1086" s="5" t="inlineStr">
        <is>
          <t>234-2023-09-30</t>
        </is>
      </c>
    </row>
    <row r="1087" hidden="1">
      <c r="A1087" s="5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01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5" t="n">
        <v>5893.5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11" t="inlineStr">
        <is>
          <t>ENT</t>
        </is>
      </c>
      <c r="O1087" s="11" t="inlineStr">
        <is>
          <t>ENT</t>
        </is>
      </c>
      <c r="P1087" s="5" t="n">
        <v>0</v>
      </c>
      <c r="Q1087" s="5" t="n">
        <v>0</v>
      </c>
      <c r="R1087" s="5" t="inlineStr">
        <is>
          <t>234-2023-12-31</t>
        </is>
      </c>
    </row>
    <row r="1088" hidden="1">
      <c r="A1088" s="21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1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10" t="n">
        <v>3234.25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11" t="n"/>
      <c r="O1088" s="11" t="n"/>
      <c r="P1088" s="15" t="n">
        <v>0</v>
      </c>
      <c r="Q1088" s="15" t="n">
        <v>0</v>
      </c>
      <c r="R1088" s="5" t="inlineStr">
        <is>
          <t>234-2024-03-31</t>
        </is>
      </c>
    </row>
    <row r="1089" hidden="1">
      <c r="A1089" s="21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00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9" t="n">
        <v>5453.333333333333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n"/>
      <c r="O1089" s="17" t="n"/>
      <c r="P1089" s="15" t="n">
        <v>0</v>
      </c>
      <c r="Q1089" s="15" t="n">
        <v>0</v>
      </c>
      <c r="R1089" s="5" t="inlineStr">
        <is>
          <t>234-2024-06-30</t>
        </is>
      </c>
    </row>
    <row r="1090" hidden="1">
      <c r="A1090" s="26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1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9" t="n">
        <v>4218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n"/>
      <c r="O1090" s="17" t="n"/>
      <c r="P1090" s="15" t="n">
        <v>0</v>
      </c>
      <c r="Q1090" s="15" t="n">
        <v>0</v>
      </c>
      <c r="R1090" s="5" t="inlineStr">
        <is>
          <t>234-2024-12-31</t>
        </is>
      </c>
    </row>
    <row r="1091" hidden="1">
      <c r="A1091" s="5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01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5" t="n">
        <v>7112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ENT</t>
        </is>
      </c>
      <c r="O1091" s="17" t="inlineStr">
        <is>
          <t>ENT</t>
        </is>
      </c>
      <c r="P1091" s="5" t="n">
        <v>0</v>
      </c>
      <c r="Q1091" s="5" t="n">
        <v>0</v>
      </c>
      <c r="R1091" s="5" t="inlineStr">
        <is>
          <t>234-2025-03-31</t>
        </is>
      </c>
    </row>
    <row r="1092" hidden="1">
      <c r="A1092" s="21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1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10" t="n">
        <v>14042.5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ENT</t>
        </is>
      </c>
      <c r="O1092" s="17" t="inlineStr">
        <is>
          <t>ENT</t>
        </is>
      </c>
      <c r="P1092" s="15" t="n">
        <v>0</v>
      </c>
      <c r="Q1092" s="15" t="n">
        <v>0</v>
      </c>
      <c r="R1092" s="5" t="inlineStr">
        <is>
          <t>234-2025-06-30</t>
        </is>
      </c>
    </row>
    <row r="1093" hidden="1">
      <c r="A1093" s="21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0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9" t="n"/>
      <c r="L1093" s="14" t="n"/>
      <c r="M1093" s="14" t="n"/>
      <c r="N1093" s="5" t="inlineStr">
        <is>
          <t>ENT</t>
        </is>
      </c>
      <c r="O1093" s="5" t="inlineStr">
        <is>
          <t>No Aplica</t>
        </is>
      </c>
      <c r="P1093" s="15" t="n">
        <v>0</v>
      </c>
      <c r="Q1093" s="15" t="n">
        <v>0</v>
      </c>
      <c r="R1093" s="5" t="inlineStr">
        <is>
          <t>234-2025-12-31</t>
        </is>
      </c>
      <c r="S1093" t="inlineStr">
        <is>
          <t>No Aplica</t>
        </is>
      </c>
    </row>
    <row r="1094" hidden="1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01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9" t="n">
        <v>81.65289256198299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15" t="n">
        <v>0</v>
      </c>
      <c r="Q1094" s="15" t="n">
        <v>0</v>
      </c>
      <c r="R1094" s="5" t="inlineStr">
        <is>
          <t>235-2023-12-31</t>
        </is>
      </c>
    </row>
    <row r="1095" hidden="1">
      <c r="A1095" s="5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101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5" t="n">
        <v>92.012779552716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n"/>
      <c r="O1095" s="5" t="n"/>
      <c r="P1095" s="5" t="n">
        <v>0</v>
      </c>
      <c r="Q1095" s="5" t="n">
        <v>0</v>
      </c>
      <c r="R1095" s="5" t="inlineStr">
        <is>
          <t>235-2024-12-31</t>
        </is>
      </c>
    </row>
    <row r="1096" hidden="1">
      <c r="A1096" s="21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01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10" t="n">
        <v>0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15" t="n">
        <v>0</v>
      </c>
      <c r="Q1096" s="15" t="n">
        <v>0</v>
      </c>
      <c r="R1096" s="5" t="inlineStr">
        <is>
          <t>236-2023-12-31</t>
        </is>
      </c>
    </row>
    <row r="1097" hidden="1">
      <c r="A1097" s="21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01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10" t="n">
        <v>0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n"/>
      <c r="O1097" s="5" t="n"/>
      <c r="P1097" s="15" t="n">
        <v>0</v>
      </c>
      <c r="Q1097" s="15" t="n">
        <v>0</v>
      </c>
      <c r="R1097" s="5" t="inlineStr">
        <is>
          <t>236-2024-12-31</t>
        </is>
      </c>
    </row>
    <row r="1098" hidden="1">
      <c r="A1098" s="21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100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9" t="n">
        <v>0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15" t="n">
        <v>0</v>
      </c>
      <c r="Q1098" s="15" t="n">
        <v>0</v>
      </c>
      <c r="R1098" s="5" t="inlineStr">
        <is>
          <t>236-2025-12-31</t>
        </is>
      </c>
    </row>
    <row r="1099" hidden="1">
      <c r="A1099" s="26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01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9" t="n"/>
      <c r="L1099" s="14" t="n"/>
      <c r="M1099" s="14" t="n"/>
      <c r="N1099" s="5" t="inlineStr">
        <is>
          <t>Sin Reporte</t>
        </is>
      </c>
      <c r="O1099" s="5" t="inlineStr">
        <is>
          <t>No Aplica</t>
        </is>
      </c>
      <c r="P1099" s="15" t="n">
        <v>0</v>
      </c>
      <c r="Q1099" s="15" t="n">
        <v>0</v>
      </c>
      <c r="R1099" s="5" t="inlineStr">
        <is>
          <t>238-2022-06-30</t>
        </is>
      </c>
      <c r="S1099" t="inlineStr">
        <is>
          <t>No Aplica</t>
        </is>
      </c>
    </row>
    <row r="1100" hidden="1">
      <c r="A1100" s="26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101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5" t="n">
        <v>90</v>
      </c>
      <c r="K1100" s="9" t="n"/>
      <c r="L1100" s="14" t="n"/>
      <c r="M1100" s="14" t="n"/>
      <c r="N1100" s="5" t="inlineStr">
        <is>
          <t>Sin Reporte</t>
        </is>
      </c>
      <c r="O1100" s="5" t="inlineStr">
        <is>
          <t>No Aplica</t>
        </is>
      </c>
      <c r="P1100" s="15" t="n">
        <v>0</v>
      </c>
      <c r="Q1100" s="15" t="n">
        <v>0</v>
      </c>
      <c r="R1100" s="5" t="inlineStr">
        <is>
          <t>238-2022-12-31</t>
        </is>
      </c>
      <c r="S1100" t="inlineStr">
        <is>
          <t>No Aplica</t>
        </is>
      </c>
    </row>
    <row r="1101" hidden="1">
      <c r="A1101" s="26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01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9" t="n">
        <v>94.44444444444444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n"/>
      <c r="O1101" s="5" t="n"/>
      <c r="P1101" s="15" t="n">
        <v>0</v>
      </c>
      <c r="Q1101" s="15" t="n">
        <v>0</v>
      </c>
      <c r="R1101" s="5" t="inlineStr">
        <is>
          <t>238-2023-03-31</t>
        </is>
      </c>
    </row>
    <row r="1102" hidden="1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01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5" t="n">
        <v>90</v>
      </c>
      <c r="K1102" s="5" t="n">
        <v>96.42857142857144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n"/>
      <c r="O1102" s="5" t="n"/>
      <c r="P1102" s="15" t="n">
        <v>0</v>
      </c>
      <c r="Q1102" s="5" t="n">
        <v>0</v>
      </c>
      <c r="R1102" s="5" t="inlineStr">
        <is>
          <t>238-2023-06-30</t>
        </is>
      </c>
    </row>
    <row r="1103" hidden="1">
      <c r="A1103" s="21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101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0" t="n">
        <v>84.21052631578947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n"/>
      <c r="O1103" s="5" t="n"/>
      <c r="P1103" s="15" t="n">
        <v>0</v>
      </c>
      <c r="Q1103" s="15" t="n">
        <v>0</v>
      </c>
      <c r="R1103" s="5" t="inlineStr">
        <is>
          <t>238-2023-09-30</t>
        </is>
      </c>
    </row>
    <row r="1104" hidden="1">
      <c r="A1104" s="26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101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9" t="n">
        <v>75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Sin Reporte</t>
        </is>
      </c>
      <c r="O1104" s="5" t="inlineStr">
        <is>
          <t>Sin Reporte</t>
        </is>
      </c>
      <c r="P1104" s="15" t="n">
        <v>0</v>
      </c>
      <c r="Q1104" s="15" t="n">
        <v>0</v>
      </c>
      <c r="R1104" s="5" t="inlineStr">
        <is>
          <t>238-2023-12-31</t>
        </is>
      </c>
    </row>
    <row r="1105" hidden="1">
      <c r="A1105" s="5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101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5" t="n">
        <v>76.19047619047619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Sin Reporte</t>
        </is>
      </c>
      <c r="O1105" s="5" t="inlineStr">
        <is>
          <t>Sin Reporte</t>
        </is>
      </c>
      <c r="P1105" s="15" t="n">
        <v>0</v>
      </c>
      <c r="Q1105" s="5" t="n">
        <v>0</v>
      </c>
      <c r="R1105" s="5" t="inlineStr">
        <is>
          <t>238-2024-03-31</t>
        </is>
      </c>
    </row>
    <row r="1106" hidden="1">
      <c r="A1106" s="21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101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10" t="n">
        <v>78.125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inlineStr">
        <is>
          <t>Sin Reporte</t>
        </is>
      </c>
      <c r="O1106" s="5" t="inlineStr">
        <is>
          <t>Sin Reporte</t>
        </is>
      </c>
      <c r="P1106" s="15" t="n">
        <v>0</v>
      </c>
      <c r="Q1106" s="15" t="n">
        <v>0</v>
      </c>
      <c r="R1106" s="5" t="inlineStr">
        <is>
          <t>238-2024-06-30</t>
        </is>
      </c>
    </row>
    <row r="1107" hidden="1">
      <c r="A1107" s="28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01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9" t="n">
        <v>84.21052631578947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Sin Reporte</t>
        </is>
      </c>
      <c r="O1107" s="5" t="inlineStr">
        <is>
          <t>Sin Reporte</t>
        </is>
      </c>
      <c r="P1107" s="15" t="n">
        <v>0</v>
      </c>
      <c r="Q1107" s="15" t="n">
        <v>0</v>
      </c>
      <c r="R1107" s="5" t="inlineStr">
        <is>
          <t>238-2024-09-30</t>
        </is>
      </c>
    </row>
    <row r="1108" hidden="1">
      <c r="A1108" s="26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101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9" t="n">
        <v>80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Sin Reporte</t>
        </is>
      </c>
      <c r="O1108" s="5" t="inlineStr">
        <is>
          <t>Sin Reporte</t>
        </is>
      </c>
      <c r="P1108" s="15" t="n">
        <v>0</v>
      </c>
      <c r="Q1108" s="15" t="n">
        <v>0</v>
      </c>
      <c r="R1108" s="5" t="inlineStr">
        <is>
          <t>238-2024-12-31</t>
        </is>
      </c>
    </row>
    <row r="1109" hidden="1">
      <c r="A1109" s="28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01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9" t="n">
        <v>95.12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Sin Reporte</t>
        </is>
      </c>
      <c r="O1109" s="5" t="inlineStr">
        <is>
          <t>Sin Reporte</t>
        </is>
      </c>
      <c r="P1109" s="15" t="n">
        <v>0</v>
      </c>
      <c r="Q1109" s="15" t="n">
        <v>0</v>
      </c>
      <c r="R1109" s="5" t="inlineStr">
        <is>
          <t>238-2025-03-31</t>
        </is>
      </c>
    </row>
    <row r="1110" hidden="1">
      <c r="A1110" s="21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01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0" t="n">
        <v>90.48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Sin Reporte</t>
        </is>
      </c>
      <c r="O1110" s="5" t="inlineStr">
        <is>
          <t>Sin Reporte</t>
        </is>
      </c>
      <c r="P1110" s="15" t="n">
        <v>0</v>
      </c>
      <c r="Q1110" s="15" t="n">
        <v>0</v>
      </c>
      <c r="R1110" s="5" t="inlineStr">
        <is>
          <t>238-2025-06-30</t>
        </is>
      </c>
    </row>
    <row r="1111" hidden="1">
      <c r="A1111" s="26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101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9" t="n">
        <v>68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inlineStr">
        <is>
          <t>Sin Reporte</t>
        </is>
      </c>
      <c r="O1111" s="5" t="inlineStr">
        <is>
          <t>Sin Reporte</t>
        </is>
      </c>
      <c r="P1111" s="15" t="n">
        <v>0</v>
      </c>
      <c r="Q1111" s="15" t="n">
        <v>0</v>
      </c>
      <c r="R1111" s="5" t="inlineStr">
        <is>
          <t>238-2025-12-31</t>
        </is>
      </c>
    </row>
    <row r="1112" hidden="1">
      <c r="A1112" s="26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1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9" t="n">
        <v>0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15" t="n">
        <v>0</v>
      </c>
      <c r="Q1112" s="15" t="n">
        <v>0</v>
      </c>
      <c r="R1112" s="5" t="inlineStr">
        <is>
          <t>239-2022-01-31</t>
        </is>
      </c>
      <c r="S1112" t="inlineStr">
        <is>
          <t>Metrica</t>
        </is>
      </c>
    </row>
    <row r="1113" hidden="1">
      <c r="A1113" s="21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1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10" t="n">
        <v>0</v>
      </c>
      <c r="L1113" s="14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239-2022-02-28</t>
        </is>
      </c>
      <c r="S1113" t="inlineStr">
        <is>
          <t>Metrica</t>
        </is>
      </c>
    </row>
    <row r="1114" hidden="1">
      <c r="A1114" s="26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1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239-2022-03-31</t>
        </is>
      </c>
      <c r="S1114" t="inlineStr">
        <is>
          <t>Metrica</t>
        </is>
      </c>
    </row>
    <row r="1115" hidden="1">
      <c r="A1115" s="21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1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0" t="n">
        <v>0</v>
      </c>
      <c r="L1115" s="14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239-2022-04-30</t>
        </is>
      </c>
      <c r="S1115" t="inlineStr">
        <is>
          <t>Metrica</t>
        </is>
      </c>
    </row>
    <row r="1116" hidden="1">
      <c r="A1116" s="28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1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9" t="n">
        <v>0</v>
      </c>
      <c r="L1116" s="8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239-2022-05-31</t>
        </is>
      </c>
      <c r="S1116" t="inlineStr">
        <is>
          <t>Metrica</t>
        </is>
      </c>
    </row>
    <row r="1117" hidden="1">
      <c r="A1117" s="26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1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9" t="n">
        <v>0</v>
      </c>
      <c r="L1117" s="8" t="n"/>
      <c r="M1117" s="14" t="n"/>
      <c r="N1117" s="5" t="inlineStr">
        <is>
          <t>Metrica</t>
        </is>
      </c>
      <c r="O1117" s="5" t="inlineStr">
        <is>
          <t>ENT</t>
        </is>
      </c>
      <c r="P1117" s="15" t="n">
        <v>0</v>
      </c>
      <c r="Q1117" s="15" t="n">
        <v>0</v>
      </c>
      <c r="R1117" s="5" t="inlineStr">
        <is>
          <t>239-2022-06-30</t>
        </is>
      </c>
      <c r="S1117" t="inlineStr">
        <is>
          <t>Metrica</t>
        </is>
      </c>
    </row>
    <row r="1118" hidden="1">
      <c r="A1118" s="21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1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239-2022-07-31</t>
        </is>
      </c>
      <c r="S1118" t="inlineStr">
        <is>
          <t>Metrica</t>
        </is>
      </c>
    </row>
    <row r="1119" hidden="1">
      <c r="A1119" s="5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1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5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239-2022-08-31</t>
        </is>
      </c>
      <c r="S1119" t="inlineStr">
        <is>
          <t>Metrica</t>
        </is>
      </c>
    </row>
    <row r="1120" hidden="1">
      <c r="A1120" s="21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1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10" t="n">
        <v>0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239-2022-09-30</t>
        </is>
      </c>
      <c r="S1120" t="inlineStr">
        <is>
          <t>Metrica</t>
        </is>
      </c>
    </row>
    <row r="1121" hidden="1">
      <c r="A1121" s="21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1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10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239-2022-10-31</t>
        </is>
      </c>
      <c r="S1121" t="inlineStr">
        <is>
          <t>Metrica</t>
        </is>
      </c>
    </row>
    <row r="1122" hidden="1">
      <c r="A1122" s="28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1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9" t="n">
        <v>0</v>
      </c>
      <c r="L1122" s="14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239-2022-11-30</t>
        </is>
      </c>
      <c r="S1122" t="inlineStr">
        <is>
          <t>Metrica</t>
        </is>
      </c>
    </row>
    <row r="1123" hidden="1">
      <c r="A1123" s="26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1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9" t="n">
        <v>0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239-2022-12-31</t>
        </is>
      </c>
      <c r="S1123" t="inlineStr">
        <is>
          <t>Metrica</t>
        </is>
      </c>
    </row>
    <row r="1124" hidden="1">
      <c r="A1124" s="28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1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9" t="n">
        <v>12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15" t="n">
        <v>0</v>
      </c>
      <c r="Q1124" s="15" t="n">
        <v>0</v>
      </c>
      <c r="R1124" s="5" t="inlineStr">
        <is>
          <t>239-2023-01-31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1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10" t="n">
        <v>18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239-2023-02-28</t>
        </is>
      </c>
    </row>
    <row r="1126" hidden="1">
      <c r="A1126" s="21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0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9" t="n">
        <v>18</v>
      </c>
      <c r="L1126" s="8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239-2023-03-31</t>
        </is>
      </c>
    </row>
    <row r="1127" hidden="1">
      <c r="A1127" s="21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0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9" t="n">
        <v>18</v>
      </c>
      <c r="L1127" s="8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15" t="n">
        <v>0</v>
      </c>
      <c r="R1127" s="5" t="inlineStr">
        <is>
          <t>239-2023-04-30</t>
        </is>
      </c>
    </row>
    <row r="1128" hidden="1">
      <c r="A1128" s="26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1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9" t="n">
        <v>19</v>
      </c>
      <c r="L1128" s="8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239-2023-05-31</t>
        </is>
      </c>
    </row>
    <row r="1129" hidden="1">
      <c r="A1129" s="5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1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11" t="n">
        <v>19</v>
      </c>
      <c r="L1129" s="8" t="n"/>
      <c r="M1129" s="14" t="n"/>
      <c r="N1129" s="5" t="inlineStr">
        <is>
          <t>Metrica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239-2023-06-30</t>
        </is>
      </c>
    </row>
    <row r="1130" hidden="1">
      <c r="A1130" s="21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1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8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239-2023-07-31</t>
        </is>
      </c>
    </row>
    <row r="1131" hidden="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1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9" t="n">
        <v>0</v>
      </c>
      <c r="L1131" s="8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239-2023-08-31</t>
        </is>
      </c>
    </row>
    <row r="1132" hidden="1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1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9" t="n">
        <v>0</v>
      </c>
      <c r="L1132" s="8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239-2023-09-30</t>
        </is>
      </c>
    </row>
    <row r="1133" hidden="1">
      <c r="A1133" s="21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1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0" t="n">
        <v>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239-2023-10-31</t>
        </is>
      </c>
    </row>
    <row r="1134" hidden="1">
      <c r="A1134" s="5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1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5" t="n">
        <v>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239-2023-11-30</t>
        </is>
      </c>
    </row>
    <row r="1135" hidden="1">
      <c r="A1135" s="21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1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10" t="n">
        <v>0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239-2023-12-31</t>
        </is>
      </c>
    </row>
    <row r="1136" hidden="1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1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10" t="n">
        <v>0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239-2024-01-31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1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9" t="n">
        <v>29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239-2024-02-29</t>
        </is>
      </c>
    </row>
    <row r="1138" hidden="1">
      <c r="A1138" s="28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1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9" t="n">
        <v>0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239-2024-03-31</t>
        </is>
      </c>
    </row>
    <row r="1139" hidden="1">
      <c r="A1139" s="26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1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9" t="n">
        <v>28</v>
      </c>
      <c r="L1139" s="8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239-2024-04-30</t>
        </is>
      </c>
    </row>
    <row r="1140" hidden="1">
      <c r="A1140" s="21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1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0" t="n">
        <v>29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239-2024-05-31</t>
        </is>
      </c>
    </row>
    <row r="1141" hidden="1">
      <c r="A1141" s="5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1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5" t="n">
        <v>29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239-2024-06-30</t>
        </is>
      </c>
    </row>
    <row r="1142" hidden="1">
      <c r="A1142" s="21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1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10" t="n">
        <v>0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239-2024-07-31</t>
        </is>
      </c>
    </row>
    <row r="1143" hidden="1">
      <c r="A1143" s="26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01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9" t="n">
        <v>0</v>
      </c>
      <c r="L1143" s="14" t="n"/>
      <c r="M1143" s="14" t="n"/>
      <c r="N1143" s="5" t="inlineStr">
        <is>
          <t>Metrica</t>
        </is>
      </c>
      <c r="O1143" s="5" t="inlineStr">
        <is>
          <t>ENT</t>
        </is>
      </c>
      <c r="P1143" s="15" t="n">
        <v>0</v>
      </c>
      <c r="Q1143" s="15" t="n">
        <v>0</v>
      </c>
      <c r="R1143" s="5" t="inlineStr">
        <is>
          <t>239-2024-08-31</t>
        </is>
      </c>
    </row>
    <row r="1144" hidden="1">
      <c r="A1144" s="5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01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5" t="n">
        <v>0</v>
      </c>
      <c r="L1144" s="14" t="n"/>
      <c r="M1144" s="14" t="n"/>
      <c r="N1144" s="5" t="inlineStr">
        <is>
          <t>Metrica</t>
        </is>
      </c>
      <c r="O1144" s="5" t="inlineStr">
        <is>
          <t>ENT</t>
        </is>
      </c>
      <c r="P1144" s="15" t="n">
        <v>0</v>
      </c>
      <c r="Q1144" s="5" t="n">
        <v>0</v>
      </c>
      <c r="R1144" s="5" t="inlineStr">
        <is>
          <t>239-2024-09-30</t>
        </is>
      </c>
    </row>
    <row r="1145" hidden="1">
      <c r="A1145" s="21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01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10" t="n">
        <v>0</v>
      </c>
      <c r="L1145" s="14" t="n"/>
      <c r="M1145" s="14" t="n"/>
      <c r="N1145" s="5" t="inlineStr">
        <is>
          <t>Metrica</t>
        </is>
      </c>
      <c r="O1145" s="5" t="inlineStr">
        <is>
          <t>ENT</t>
        </is>
      </c>
      <c r="P1145" s="15" t="n">
        <v>0</v>
      </c>
      <c r="Q1145" s="15" t="n">
        <v>0</v>
      </c>
      <c r="R1145" s="5" t="inlineStr">
        <is>
          <t>239-2024-10-31</t>
        </is>
      </c>
    </row>
    <row r="1146" hidden="1">
      <c r="A1146" s="28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01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9" t="n">
        <v>0</v>
      </c>
      <c r="L1146" s="14" t="n"/>
      <c r="M1146" s="14" t="n"/>
      <c r="N1146" s="5" t="inlineStr">
        <is>
          <t>Metrica</t>
        </is>
      </c>
      <c r="O1146" s="5" t="inlineStr">
        <is>
          <t>ENT</t>
        </is>
      </c>
      <c r="P1146" s="15" t="n">
        <v>0</v>
      </c>
      <c r="Q1146" s="15" t="n">
        <v>0</v>
      </c>
      <c r="R1146" s="5" t="inlineStr">
        <is>
          <t>239-2024-11-30</t>
        </is>
      </c>
    </row>
    <row r="1147" hidden="1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01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9" t="n">
        <v>0</v>
      </c>
      <c r="L1147" s="14" t="n"/>
      <c r="M1147" s="14" t="n"/>
      <c r="N1147" s="5" t="inlineStr">
        <is>
          <t>Metrica</t>
        </is>
      </c>
      <c r="O1147" s="5" t="inlineStr">
        <is>
          <t>ENT</t>
        </is>
      </c>
      <c r="P1147" s="15" t="n">
        <v>0</v>
      </c>
      <c r="Q1147" s="15" t="n">
        <v>0</v>
      </c>
      <c r="R1147" s="5" t="inlineStr">
        <is>
          <t>239-2024-12-31</t>
        </is>
      </c>
    </row>
    <row r="1148" hidden="1">
      <c r="A1148" s="28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01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5" t="n"/>
      <c r="K1148" s="9" t="n">
        <v>33</v>
      </c>
      <c r="L1148" s="14" t="n"/>
      <c r="M1148" s="14" t="n"/>
      <c r="N1148" s="5" t="inlineStr">
        <is>
          <t>Metrica</t>
        </is>
      </c>
      <c r="O1148" s="5" t="inlineStr">
        <is>
          <t>ENT</t>
        </is>
      </c>
      <c r="P1148" s="15" t="n">
        <v>0</v>
      </c>
      <c r="Q1148" s="15" t="n">
        <v>0</v>
      </c>
      <c r="R1148" s="5" t="inlineStr">
        <is>
          <t>239-2025-01-31</t>
        </is>
      </c>
    </row>
    <row r="1149" hidden="1">
      <c r="A1149" s="21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01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73" t="n"/>
      <c r="K1149" s="9" t="n">
        <v>0</v>
      </c>
      <c r="L1149" s="14" t="n"/>
      <c r="M1149" s="14" t="n"/>
      <c r="N1149" s="5" t="inlineStr">
        <is>
          <t>Metrica</t>
        </is>
      </c>
      <c r="O1149" s="5" t="inlineStr">
        <is>
          <t>ENT</t>
        </is>
      </c>
      <c r="P1149" s="15" t="n">
        <v>0</v>
      </c>
      <c r="Q1149" s="15" t="n">
        <v>0</v>
      </c>
      <c r="R1149" s="5" t="inlineStr">
        <is>
          <t>239-2025-02-28</t>
        </is>
      </c>
    </row>
    <row r="1150" hidden="1">
      <c r="A1150" s="28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01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9" t="n">
        <v>42</v>
      </c>
      <c r="L1150" s="14" t="n"/>
      <c r="M1150" s="14" t="n"/>
      <c r="N1150" s="5" t="inlineStr">
        <is>
          <t>Metrica</t>
        </is>
      </c>
      <c r="O1150" s="5" t="inlineStr">
        <is>
          <t>ENT</t>
        </is>
      </c>
      <c r="P1150" s="15" t="n">
        <v>0</v>
      </c>
      <c r="Q1150" s="15" t="n">
        <v>0</v>
      </c>
      <c r="R1150" s="5" t="inlineStr">
        <is>
          <t>239-2025-03-31</t>
        </is>
      </c>
    </row>
    <row r="1151" hidden="1">
      <c r="A1151" s="26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01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9" t="n">
        <v>40</v>
      </c>
      <c r="L1151" s="14" t="n"/>
      <c r="M1151" s="14" t="n"/>
      <c r="N1151" s="5" t="inlineStr">
        <is>
          <t>Metrica</t>
        </is>
      </c>
      <c r="O1151" s="5" t="inlineStr">
        <is>
          <t>ENT</t>
        </is>
      </c>
      <c r="P1151" s="15" t="n">
        <v>0</v>
      </c>
      <c r="Q1151" s="15" t="n">
        <v>0</v>
      </c>
      <c r="R1151" s="5" t="inlineStr">
        <is>
          <t>239-2025-04-30</t>
        </is>
      </c>
    </row>
    <row r="1152" hidden="1">
      <c r="A1152" s="28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01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9" t="n">
        <v>42</v>
      </c>
      <c r="L1152" s="14" t="n"/>
      <c r="M1152" s="14" t="n"/>
      <c r="N1152" s="5" t="inlineStr">
        <is>
          <t>Metrica</t>
        </is>
      </c>
      <c r="O1152" s="5" t="inlineStr">
        <is>
          <t>ENT</t>
        </is>
      </c>
      <c r="P1152" s="15" t="n">
        <v>0</v>
      </c>
      <c r="Q1152" s="15" t="n">
        <v>0</v>
      </c>
      <c r="R1152" s="5" t="inlineStr">
        <is>
          <t>239-2025-05-31</t>
        </is>
      </c>
    </row>
    <row r="1153" hidden="1">
      <c r="A1153" s="21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01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10" t="n">
        <v>41</v>
      </c>
      <c r="L1153" s="14" t="n"/>
      <c r="M1153" s="14" t="n"/>
      <c r="N1153" s="5" t="inlineStr">
        <is>
          <t>Metrica</t>
        </is>
      </c>
      <c r="O1153" s="5" t="inlineStr">
        <is>
          <t>ENT</t>
        </is>
      </c>
      <c r="P1153" s="15" t="n">
        <v>0</v>
      </c>
      <c r="Q1153" s="15" t="n">
        <v>0</v>
      </c>
      <c r="R1153" s="5" t="inlineStr">
        <is>
          <t>239-2025-06-30</t>
        </is>
      </c>
    </row>
    <row r="1154" hidden="1">
      <c r="A1154" s="21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01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9" t="n">
        <v>42</v>
      </c>
      <c r="L1154" s="14" t="n"/>
      <c r="M1154" s="14" t="n"/>
      <c r="N1154" s="5" t="inlineStr">
        <is>
          <t>Metrica</t>
        </is>
      </c>
      <c r="O1154" s="5" t="inlineStr">
        <is>
          <t>ENT</t>
        </is>
      </c>
      <c r="P1154" s="15" t="n">
        <v>0</v>
      </c>
      <c r="Q1154" s="15" t="n">
        <v>0</v>
      </c>
      <c r="R1154" s="5" t="inlineStr">
        <is>
          <t>239-2025-07-31</t>
        </is>
      </c>
    </row>
    <row r="1155" hidden="1">
      <c r="A1155" s="21" t="n">
        <v>239</v>
      </c>
      <c r="B1155" s="5" t="inlineStr">
        <is>
          <t>Portafolio de Proyectos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0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9" t="n">
        <v>41</v>
      </c>
      <c r="L1155" s="14" t="n"/>
      <c r="M1155" s="14" t="n"/>
      <c r="N1155" s="5" t="inlineStr">
        <is>
          <t>Metrica</t>
        </is>
      </c>
      <c r="O1155" s="5" t="inlineStr">
        <is>
          <t>ENT</t>
        </is>
      </c>
      <c r="P1155" s="15" t="n">
        <v>0</v>
      </c>
      <c r="Q1155" s="15" t="n">
        <v>0</v>
      </c>
      <c r="R1155" s="5" t="inlineStr">
        <is>
          <t>239-2025-08-31</t>
        </is>
      </c>
    </row>
    <row r="1156" hidden="1">
      <c r="A1156" s="21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1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9" t="n">
        <v>43</v>
      </c>
      <c r="L1156" s="14" t="n"/>
      <c r="M1156" s="14" t="n"/>
      <c r="N1156" s="5" t="inlineStr">
        <is>
          <t>Metrica</t>
        </is>
      </c>
      <c r="O1156" s="5" t="inlineStr">
        <is>
          <t>ENT</t>
        </is>
      </c>
      <c r="P1156" s="15" t="n">
        <v>0</v>
      </c>
      <c r="Q1156" s="15" t="n">
        <v>0</v>
      </c>
      <c r="R1156" s="5" t="inlineStr">
        <is>
          <t>239-2025-09-30</t>
        </is>
      </c>
      <c r="S1156" t="inlineStr">
        <is>
          <t>Metrica</t>
        </is>
      </c>
    </row>
    <row r="1157" hidden="1">
      <c r="A1157" s="21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1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9" t="n">
        <v>43</v>
      </c>
      <c r="L1157" s="14" t="n"/>
      <c r="M1157" s="14" t="n"/>
      <c r="N1157" s="5" t="inlineStr">
        <is>
          <t>Metrica</t>
        </is>
      </c>
      <c r="O1157" s="5" t="inlineStr">
        <is>
          <t>ENT</t>
        </is>
      </c>
      <c r="P1157" s="15" t="n">
        <v>0</v>
      </c>
      <c r="Q1157" s="15" t="n">
        <v>0</v>
      </c>
      <c r="R1157" s="5" t="inlineStr">
        <is>
          <t>239-2025-10-31</t>
        </is>
      </c>
      <c r="S1157" t="inlineStr">
        <is>
          <t>Metrica</t>
        </is>
      </c>
    </row>
    <row r="1158" hidden="1">
      <c r="A1158" s="21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1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9" t="n">
        <v>43</v>
      </c>
      <c r="L1158" s="14" t="n"/>
      <c r="M1158" s="14" t="n"/>
      <c r="N1158" s="5" t="inlineStr">
        <is>
          <t>Metrica</t>
        </is>
      </c>
      <c r="O1158" s="5" t="inlineStr">
        <is>
          <t>ENT</t>
        </is>
      </c>
      <c r="P1158" s="15" t="n">
        <v>0</v>
      </c>
      <c r="Q1158" s="15" t="n">
        <v>0</v>
      </c>
      <c r="R1158" s="5" t="inlineStr">
        <is>
          <t>239-2025-11-30</t>
        </is>
      </c>
      <c r="S1158" t="inlineStr">
        <is>
          <t>Metrica</t>
        </is>
      </c>
    </row>
    <row r="1159" hidden="1">
      <c r="A1159" s="21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1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9" t="n">
        <v>44</v>
      </c>
      <c r="L1159" s="14" t="n"/>
      <c r="M1159" s="14" t="n"/>
      <c r="N1159" s="5" t="inlineStr">
        <is>
          <t>Metrica</t>
        </is>
      </c>
      <c r="O1159" s="5" t="inlineStr">
        <is>
          <t>ENT</t>
        </is>
      </c>
      <c r="P1159" s="15" t="n">
        <v>0</v>
      </c>
      <c r="Q1159" s="15" t="n">
        <v>0</v>
      </c>
      <c r="R1159" s="5" t="inlineStr">
        <is>
          <t>239-2025-12-31</t>
        </is>
      </c>
      <c r="S1159" t="inlineStr">
        <is>
          <t>Metrica</t>
        </is>
      </c>
    </row>
    <row r="1160" hidden="1">
      <c r="A1160" s="21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1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9" t="n">
        <v>45</v>
      </c>
      <c r="L1160" s="14" t="n"/>
      <c r="M1160" s="14" t="n"/>
      <c r="N1160" s="5" t="inlineStr">
        <is>
          <t>Metrica</t>
        </is>
      </c>
      <c r="O1160" s="5" t="inlineStr">
        <is>
          <t>ENT</t>
        </is>
      </c>
      <c r="P1160" s="15" t="n">
        <v>0</v>
      </c>
      <c r="Q1160" s="15" t="n">
        <v>0</v>
      </c>
      <c r="R1160" s="5" t="inlineStr">
        <is>
          <t>239-2026-01-31</t>
        </is>
      </c>
      <c r="S1160" t="inlineStr"/>
    </row>
    <row r="1161" hidden="1">
      <c r="A1161" s="21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1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9" t="n">
        <v>44</v>
      </c>
      <c r="L1161" s="14" t="n"/>
      <c r="M1161" s="14" t="n"/>
      <c r="N1161" s="5" t="inlineStr">
        <is>
          <t>Metrica</t>
        </is>
      </c>
      <c r="O1161" s="5" t="inlineStr">
        <is>
          <t>ENT</t>
        </is>
      </c>
      <c r="P1161" s="15" t="n">
        <v>0</v>
      </c>
      <c r="Q1161" s="15" t="n">
        <v>0</v>
      </c>
      <c r="R1161" s="5" t="inlineStr">
        <is>
          <t>239-2026-02-28</t>
        </is>
      </c>
      <c r="S1161" t="inlineStr"/>
    </row>
    <row r="1162" hidden="1">
      <c r="A1162" s="21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01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9" t="n">
        <v>40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240-2023-03-31</t>
        </is>
      </c>
    </row>
    <row r="1163" hidden="1">
      <c r="A1163" s="26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01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9" t="n">
        <v>60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240-2023-06-30</t>
        </is>
      </c>
    </row>
    <row r="1164" hidden="1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01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9" t="n">
        <v>80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240-2023-09-30</t>
        </is>
      </c>
    </row>
    <row r="1165" hidden="1">
      <c r="A1165" s="26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01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9" t="n">
        <v>80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240-2023-12-31</t>
        </is>
      </c>
    </row>
    <row r="1166" hidden="1">
      <c r="A1166" s="21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01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0" t="n">
        <v>91.66666666666666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240-2024-03-31</t>
        </is>
      </c>
    </row>
    <row r="1167" hidden="1">
      <c r="A1167" s="21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01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100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240-2024-06-30</t>
        </is>
      </c>
    </row>
    <row r="1168" hidden="1">
      <c r="A1168" s="21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01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5" t="n">
        <v>100</v>
      </c>
      <c r="K1168" s="10" t="n">
        <v>100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240-2024-09-30</t>
        </is>
      </c>
    </row>
    <row r="1169" hidden="1">
      <c r="A1169" s="21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01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0" t="n">
        <v>100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240-2024-12-31</t>
        </is>
      </c>
    </row>
    <row r="1170" hidden="1">
      <c r="A1170" s="21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01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10" t="n">
        <v>100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240-2025-03-31</t>
        </is>
      </c>
    </row>
    <row r="1171" hidden="1">
      <c r="A1171" s="5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Trimestral</t>
        </is>
      </c>
      <c r="E1171" s="5" t="inlineStr">
        <is>
          <t>Positivo</t>
        </is>
      </c>
      <c r="F1171" s="101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5" t="n">
        <v>100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240-2025-06-30</t>
        </is>
      </c>
    </row>
    <row r="1172" hidden="1">
      <c r="A1172" s="21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01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240-2025-09-30</t>
        </is>
      </c>
    </row>
    <row r="1173" hidden="1">
      <c r="A1173" s="21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101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240-2025-12-31</t>
        </is>
      </c>
    </row>
    <row r="1174" hidden="1">
      <c r="A1174" s="21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1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0" t="n">
        <v>100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241-2023-01-31</t>
        </is>
      </c>
    </row>
    <row r="1175" hidden="1">
      <c r="A1175" s="21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1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0" t="n">
        <v>100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241-2023-02-28</t>
        </is>
      </c>
    </row>
    <row r="1176" hidden="1">
      <c r="A1176" s="21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1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0" t="n">
        <v>100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241-2023-03-31</t>
        </is>
      </c>
    </row>
    <row r="1177" hidden="1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1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5" t="n">
        <v>80</v>
      </c>
      <c r="K1177" s="10" t="n">
        <v>81.818181818182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241-2023-04-30</t>
        </is>
      </c>
    </row>
    <row r="1178" hidden="1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1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73" t="n">
        <v>80</v>
      </c>
      <c r="K1178" s="9" t="n">
        <v>83.333333333333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241-2023-05-31</t>
        </is>
      </c>
    </row>
    <row r="1179" hidden="1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1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73" t="n">
        <v>80</v>
      </c>
      <c r="K1179" s="9" t="n">
        <v>100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241-2023-06-30</t>
        </is>
      </c>
    </row>
    <row r="1180" hidden="1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1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73" t="n">
        <v>80</v>
      </c>
      <c r="K1180" s="9" t="n">
        <v>100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241-2023-07-31</t>
        </is>
      </c>
    </row>
    <row r="1181" hidden="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1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73" t="n">
        <v>80</v>
      </c>
      <c r="K1181" s="9" t="n">
        <v>91.67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241-2023-08-31</t>
        </is>
      </c>
    </row>
    <row r="1182" hidden="1">
      <c r="A1182" s="21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0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103" t="n">
        <v>80</v>
      </c>
      <c r="K1182" s="9" t="n">
        <v>91.67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241-2023-09-30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1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103" t="n">
        <v>80</v>
      </c>
      <c r="K1183" s="9" t="n">
        <v>88.89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241-2023-10-31</t>
        </is>
      </c>
    </row>
    <row r="1184" hidden="1">
      <c r="A1184" s="26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1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103" t="n">
        <v>80</v>
      </c>
      <c r="K1184" s="9" t="n">
        <v>87.5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241-2023-11-30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1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10" t="n">
        <v>85.70999999999999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241-2023-12-31</t>
        </is>
      </c>
    </row>
    <row r="1186" hidden="1">
      <c r="A1186" s="28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1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9" t="n">
        <v>88.88888888888889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241-2024-01-31</t>
        </is>
      </c>
    </row>
    <row r="1187" hidden="1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1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9" t="n">
        <v>90.90909090909091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241-2024-02-29</t>
        </is>
      </c>
    </row>
    <row r="1188" hidden="1">
      <c r="A1188" s="28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0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9" t="n">
        <v>80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241-2024-03-31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1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5" t="n">
        <v>100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241-2024-04-30</t>
        </is>
      </c>
    </row>
    <row r="1190" hidden="1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1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241-2024-05-31</t>
        </is>
      </c>
    </row>
    <row r="1191" hidden="1">
      <c r="A1191" s="5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0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9" t="n">
        <v>85.71428571428571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241-2024-06-30</t>
        </is>
      </c>
    </row>
    <row r="1192" hidden="1">
      <c r="A1192" s="21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1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5" t="n">
        <v>85.71428571428571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241-2024-07-31</t>
        </is>
      </c>
    </row>
    <row r="1193" hidden="1">
      <c r="A1193" s="28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1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3" t="n">
        <v>80</v>
      </c>
      <c r="K1193" s="9" t="n">
        <v>80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241-2024-08-31</t>
        </is>
      </c>
    </row>
    <row r="1194" hidden="1">
      <c r="A1194" s="26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1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3" t="n">
        <v>80</v>
      </c>
      <c r="K1194" s="9" t="n">
        <v>84.61538461538461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5" t="n">
        <v>0</v>
      </c>
      <c r="Q1194" s="15" t="n">
        <v>0</v>
      </c>
      <c r="R1194" s="5" t="inlineStr">
        <is>
          <t>241-2024-09-30</t>
        </is>
      </c>
    </row>
    <row r="1195" hidden="1">
      <c r="A1195" s="28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0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3" t="n">
        <v>80</v>
      </c>
      <c r="K1195" s="9" t="n">
        <v>85.71428571428571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241-2024-10-31</t>
        </is>
      </c>
    </row>
    <row r="1196" hidden="1">
      <c r="A1196" s="21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1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3" t="n">
        <v>80</v>
      </c>
      <c r="K1196" s="10" t="n">
        <v>100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241-2024-11-30</t>
        </is>
      </c>
    </row>
    <row r="1197" hidden="1">
      <c r="A1197" s="28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1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5" t="n">
        <v>80</v>
      </c>
      <c r="K1197" s="9" t="n">
        <v>100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241-2024-12-31</t>
        </is>
      </c>
    </row>
    <row r="1198" hidden="1">
      <c r="A1198" s="26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1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241-2025-01-31</t>
        </is>
      </c>
    </row>
    <row r="1199" hidden="1">
      <c r="A1199" s="28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0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5" t="n">
        <v>80</v>
      </c>
      <c r="K1199" s="9" t="n">
        <v>100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241-2025-02-28</t>
        </is>
      </c>
    </row>
    <row r="1200" hidden="1">
      <c r="A1200" s="21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1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5" t="n">
        <v>80</v>
      </c>
      <c r="K1200" s="10" t="n">
        <v>100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5" t="n">
        <v>0</v>
      </c>
      <c r="Q1200" s="15" t="n">
        <v>0</v>
      </c>
      <c r="R1200" s="5" t="inlineStr">
        <is>
          <t>241-2025-03-31</t>
        </is>
      </c>
    </row>
    <row r="1201" hidden="1">
      <c r="A1201" s="28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1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5" t="n">
        <v>80</v>
      </c>
      <c r="K1201" s="9" t="n">
        <v>100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241-2025-04-30</t>
        </is>
      </c>
    </row>
    <row r="1202" hidden="1">
      <c r="A1202" s="26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1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5" t="n">
        <v>80</v>
      </c>
      <c r="K1202" s="9" t="n">
        <v>100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241-2025-05-31</t>
        </is>
      </c>
    </row>
    <row r="1203" hidden="1">
      <c r="A1203" s="28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01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5" t="n">
        <v>80</v>
      </c>
      <c r="K1203" s="9" t="n">
        <v>100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241-2025-06-30</t>
        </is>
      </c>
    </row>
    <row r="1204" hidden="1">
      <c r="A1204" s="21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01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103" t="n">
        <v>100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241-2025-07-31</t>
        </is>
      </c>
    </row>
    <row r="1205" hidden="1">
      <c r="A1205" s="21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01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73" t="n">
        <v>80</v>
      </c>
      <c r="K1205" s="9" t="n">
        <v>100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5" t="n">
        <v>0</v>
      </c>
      <c r="Q1205" s="15" t="n">
        <v>0</v>
      </c>
      <c r="R1205" s="5" t="inlineStr">
        <is>
          <t>241-2025-08-31</t>
        </is>
      </c>
    </row>
    <row r="1206" hidden="1">
      <c r="A1206" s="21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01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73" t="n">
        <v>80</v>
      </c>
      <c r="K1206" s="9" t="n">
        <v>100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241-2025-09-30</t>
        </is>
      </c>
    </row>
    <row r="1207" hidden="1">
      <c r="A1207" s="21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01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73" t="n">
        <v>80</v>
      </c>
      <c r="K1207" s="9" t="n">
        <v>100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5" t="n">
        <v>0</v>
      </c>
      <c r="Q1207" s="15" t="n">
        <v>0</v>
      </c>
      <c r="R1207" s="5" t="inlineStr">
        <is>
          <t>241-2025-10-31</t>
        </is>
      </c>
    </row>
    <row r="1208" hidden="1">
      <c r="A1208" s="21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00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9" t="n">
        <v>100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241-2025-11-30</t>
        </is>
      </c>
    </row>
    <row r="1209" hidden="1">
      <c r="A1209" s="26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01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9" t="n">
        <v>91.67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5" t="n">
        <v>0</v>
      </c>
      <c r="Q1209" s="15" t="n">
        <v>0</v>
      </c>
      <c r="R1209" s="5" t="inlineStr">
        <is>
          <t>241-2025-12-31</t>
        </is>
      </c>
    </row>
    <row r="1210" hidden="1">
      <c r="A1210" s="21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00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9" t="n">
        <v>90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241-2026-01-31</t>
        </is>
      </c>
      <c r="S1210" t="inlineStr"/>
    </row>
    <row r="1211" hidden="1">
      <c r="A1211" s="26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01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9" t="n">
        <v>100.966183574879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242-2023-01-31</t>
        </is>
      </c>
    </row>
    <row r="1212" hidden="1">
      <c r="A1212" s="21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00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9" t="n">
        <v>88.27586206896549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242-2023-02-28</t>
        </is>
      </c>
    </row>
    <row r="1213" hidden="1">
      <c r="A1213" s="26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01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5" t="n">
        <v>95</v>
      </c>
      <c r="K1213" s="9" t="n">
        <v>112.671232876712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242-2023-03-31</t>
        </is>
      </c>
    </row>
    <row r="1214" hidden="1">
      <c r="A1214" s="5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01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5" t="n">
        <v>95</v>
      </c>
      <c r="K1214" s="5" t="n">
        <v>94.90445859872609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242-2023-04-30</t>
        </is>
      </c>
    </row>
    <row r="1215" hidden="1">
      <c r="A1215" s="21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01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5" t="n">
        <v>95</v>
      </c>
      <c r="K1215" s="10" t="n">
        <v>94.39102564102561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inlineStr">
        <is>
          <t>%</t>
        </is>
      </c>
      <c r="O1215" s="5" t="inlineStr">
        <is>
          <t>%</t>
        </is>
      </c>
      <c r="P1215" s="15" t="n">
        <v>0</v>
      </c>
      <c r="Q1215" s="15" t="n">
        <v>0</v>
      </c>
      <c r="R1215" s="5" t="inlineStr">
        <is>
          <t>242-2023-05-31</t>
        </is>
      </c>
    </row>
    <row r="1216" hidden="1">
      <c r="A1216" s="21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01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5" t="n">
        <v>95</v>
      </c>
      <c r="K1216" s="9" t="n">
        <v>94.85488126649081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inlineStr">
        <is>
          <t>%</t>
        </is>
      </c>
      <c r="O1216" s="5" t="inlineStr">
        <is>
          <t>%</t>
        </is>
      </c>
      <c r="P1216" s="15" t="n">
        <v>0</v>
      </c>
      <c r="Q1216" s="15" t="n">
        <v>0</v>
      </c>
      <c r="R1216" s="5" t="inlineStr">
        <is>
          <t>242-2023-06-30</t>
        </is>
      </c>
    </row>
    <row r="1217" hidden="1">
      <c r="A1217" s="21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01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9" t="n">
        <v>91.89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242-2023-07-31</t>
        </is>
      </c>
    </row>
    <row r="1218" hidden="1">
      <c r="A1218" s="21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01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9" t="n">
        <v>95.48999999999999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242-2023-08-31</t>
        </is>
      </c>
    </row>
    <row r="1219" hidden="1">
      <c r="A1219" s="21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01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0" t="n">
        <v>97.20999999999999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5" t="n">
        <v>0</v>
      </c>
      <c r="Q1219" s="15" t="n">
        <v>0</v>
      </c>
      <c r="R1219" s="5" t="inlineStr">
        <is>
          <t>242-2023-09-30</t>
        </is>
      </c>
    </row>
    <row r="1220" hidden="1">
      <c r="A1220" s="5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01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5" t="n">
        <v>94.14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242-2023-10-31</t>
        </is>
      </c>
    </row>
    <row r="1221" hidden="1">
      <c r="A1221" s="21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01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0" t="n">
        <v>92.75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242-2023-11-30</t>
        </is>
      </c>
    </row>
    <row r="1222" hidden="1">
      <c r="A1222" s="21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101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0" t="n">
        <v>95.36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15" t="n">
        <v>0</v>
      </c>
      <c r="Q1222" s="15" t="n">
        <v>0</v>
      </c>
      <c r="R1222" s="5" t="inlineStr">
        <is>
          <t>242-2023-12-31</t>
        </is>
      </c>
    </row>
    <row r="1223" hidden="1">
      <c r="A1223" s="21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00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9" t="n">
        <v>0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243-2023-01-31</t>
        </is>
      </c>
    </row>
    <row r="1224" hidden="1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01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9" t="n">
        <v>0</v>
      </c>
      <c r="L1224" s="14">
        <f>IFERROR(IF(OR(J1224=0,K1224=""),"",IF(E1224="Positivo",MIN(MAX(K1224/J1224,0),1.3),MIN(MAX(J1224/K1224,0),1.3))),"") </f>
        <v/>
      </c>
      <c r="M1224" s="14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243-2023-02-28</t>
        </is>
      </c>
    </row>
    <row r="1225" hidden="1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01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5" t="n">
        <v>0</v>
      </c>
      <c r="K1225" s="5" t="n">
        <v>0</v>
      </c>
      <c r="L1225" s="14">
        <f>IFERROR(IF(OR(J1225=0,K1225=""),"",IF(E1225="Positivo",MIN(MAX(K1225/J1225,0),1.3),MIN(MAX(J1225/K1225,0),1.3))),"") </f>
        <v/>
      </c>
      <c r="M1225" s="14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243-2023-03-31</t>
        </is>
      </c>
    </row>
    <row r="1226" hidden="1">
      <c r="A1226" s="21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01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5" t="n">
        <v>0</v>
      </c>
      <c r="K1226" s="10" t="n">
        <v>0</v>
      </c>
      <c r="L1226" s="14">
        <f>IFERROR(IF(OR(J1226=0,K1226=""),"",IF(E1226="Positivo",MIN(MAX(K1226/J1226,0),1.3),MIN(MAX(J1226/K1226,0),1.3))),"") </f>
        <v/>
      </c>
      <c r="M1226" s="14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243-2023-04-30</t>
        </is>
      </c>
    </row>
    <row r="1227" hidden="1">
      <c r="A1227" s="21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00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5" t="n">
        <v>0</v>
      </c>
      <c r="K1227" s="9" t="n">
        <v>0</v>
      </c>
      <c r="L1227" s="14">
        <f>IFERROR(IF(OR(J1227=0,K1227=""),"",IF(E1227="Positivo",MIN(MAX(K1227/J1227,0),1.3),MIN(MAX(J1227/K1227,0),1.3))),"") </f>
        <v/>
      </c>
      <c r="M1227" s="14">
        <f>IFERROR(IF(OR(J1227=0,K1227=""),"",IF(E1227="Positivo",MAX(K1227/J1227,0),MAX(J1227/K1227,0))),"") </f>
        <v/>
      </c>
      <c r="N1227" s="11" t="inlineStr">
        <is>
          <t>%</t>
        </is>
      </c>
      <c r="O1227" s="11" t="inlineStr">
        <is>
          <t>%</t>
        </is>
      </c>
      <c r="P1227" s="15" t="n">
        <v>0</v>
      </c>
      <c r="Q1227" s="15" t="n">
        <v>0</v>
      </c>
      <c r="R1227" s="5" t="inlineStr">
        <is>
          <t>243-2023-05-31</t>
        </is>
      </c>
    </row>
    <row r="1228" hidden="1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01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9" t="n">
        <v>8.33333333333333</v>
      </c>
      <c r="L1228" s="14">
        <f>IFERROR(IF(OR(J1228=0,K1228=""),"",IF(E1228="Positivo",MIN(MAX(K1228/J1228,0),1.3),MIN(MAX(J1228/K1228,0),1.3))),"") </f>
        <v/>
      </c>
      <c r="M1228" s="14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243-2023-06-30</t>
        </is>
      </c>
    </row>
    <row r="1229" hidden="1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01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23" t="n">
        <v>16.666666666667</v>
      </c>
      <c r="L1229" s="14">
        <f>IFERROR(IF(OR(J1229=0,K1229=""),"",IF(E1229="Positivo",MIN(MAX(K1229/J1229,0),1.3),MIN(MAX(J1229/K1229,0),1.3))),"") </f>
        <v/>
      </c>
      <c r="M1229" s="14">
        <f>IFERROR(IF(OR(J1229=0,K1229=""),"",IF(E1229="Positivo",MAX(K1229/J1229,0),MAX(J1229/K1229,0))),"") </f>
        <v/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243-2023-07-31</t>
        </is>
      </c>
    </row>
    <row r="1230" hidden="1">
      <c r="A1230" s="21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01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0" t="n">
        <v>9.09</v>
      </c>
      <c r="L1230" s="14">
        <f>IFERROR(IF(OR(J1230=0,K1230=""),"",IF(E1230="Positivo",MIN(MAX(K1230/J1230,0),1.3),MIN(MAX(J1230/K1230,0),1.3))),"") </f>
        <v/>
      </c>
      <c r="M1230" s="14">
        <f>IFERROR(IF(OR(J1230=0,K1230=""),"",IF(E1230="Positivo",MAX(K1230/J1230,0),MAX(J1230/K1230,0))),"") </f>
        <v/>
      </c>
      <c r="N1230" s="5" t="inlineStr">
        <is>
          <t>%</t>
        </is>
      </c>
      <c r="O1230" s="5" t="inlineStr">
        <is>
          <t>%</t>
        </is>
      </c>
      <c r="P1230" s="15" t="n">
        <v>1</v>
      </c>
      <c r="Q1230" s="15" t="n">
        <v>1</v>
      </c>
      <c r="R1230" s="5" t="inlineStr">
        <is>
          <t>243-2023-08-31</t>
        </is>
      </c>
    </row>
    <row r="1231" hidden="1">
      <c r="A1231" s="26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01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9" t="n">
        <v>0</v>
      </c>
      <c r="L1231" s="14">
        <f>IFERROR(IF(OR(J1231=0,K1231=""),"",IF(E1231="Positivo",MIN(MAX(K1231/J1231,0),1.3),MIN(MAX(J1231/K1231,0),1.3))),"") </f>
        <v/>
      </c>
      <c r="M1231" s="14">
        <f>IFERROR(IF(OR(J1231=0,K1231=""),"",IF(E1231="Positivo",MAX(K1231/J1231,0),MAX(J1231/K1231,0))),"") </f>
        <v/>
      </c>
      <c r="N1231" s="5" t="inlineStr">
        <is>
          <t>%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243-2023-09-30</t>
        </is>
      </c>
    </row>
    <row r="1232" hidden="1">
      <c r="A1232" s="21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01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0" t="n">
        <v>11.11</v>
      </c>
      <c r="L1232" s="14">
        <f>IFERROR(IF(OR(J1232=0,K1232=""),"",IF(E1232="Positivo",MIN(MAX(K1232/J1232,0),1.3),MIN(MAX(J1232/K1232,0),1.3))),"") </f>
        <v/>
      </c>
      <c r="M1232" s="14">
        <f>IFERROR(IF(OR(J1232=0,K1232=""),"",IF(E1232="Positivo",MAX(K1232/J1232,0),MAX(J1232/K1232,0))),"") </f>
        <v/>
      </c>
      <c r="N1232" s="5" t="inlineStr">
        <is>
          <t>%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243-2023-10-31</t>
        </is>
      </c>
    </row>
    <row r="1233" hidden="1">
      <c r="A1233" s="21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00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9" t="n">
        <v>0</v>
      </c>
      <c r="L1233" s="14">
        <f>IFERROR(IF(OR(J1233=0,K1233=""),"",IF(E1233="Positivo",MIN(MAX(K1233/J1233,0),1.3),MIN(MAX(J1233/K1233,0),1.3))),"") </f>
        <v/>
      </c>
      <c r="M1233" s="14">
        <f>IFERROR(IF(OR(J1233=0,K1233=""),"",IF(E1233="Positivo",MAX(K1233/J1233,0),MAX(J1233/K1233,0))),"") </f>
        <v/>
      </c>
      <c r="N1233" s="5" t="inlineStr">
        <is>
          <t>%</t>
        </is>
      </c>
      <c r="O1233" s="5" t="inlineStr">
        <is>
          <t>%</t>
        </is>
      </c>
      <c r="P1233" s="15" t="n">
        <v>0</v>
      </c>
      <c r="Q1233" s="15" t="n">
        <v>0</v>
      </c>
      <c r="R1233" s="5" t="inlineStr">
        <is>
          <t>243-2023-11-30</t>
        </is>
      </c>
    </row>
    <row r="1234" hidden="1">
      <c r="A1234" s="26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101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9" t="n">
        <v>14.29</v>
      </c>
      <c r="L1234" s="14">
        <f>IFERROR(IF(OR(J1234=0,K1234=""),"",IF(E1234="Positivo",MIN(MAX(K1234/J1234,0),1.3),MIN(MAX(J1234/K1234,0),1.3))),"") </f>
        <v/>
      </c>
      <c r="M1234" s="14">
        <f>IFERROR(IF(OR(J1234=0,K1234=""),"",IF(E1234="Positivo",MAX(K1234/J1234,0),MAX(J1234/K1234,0))),"") </f>
        <v/>
      </c>
      <c r="N1234" s="5" t="inlineStr">
        <is>
          <t>%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243-2023-12-31</t>
        </is>
      </c>
    </row>
    <row r="1235" hidden="1">
      <c r="A1235" s="5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101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5" t="n">
        <v>24</v>
      </c>
      <c r="L1235" s="14">
        <f>IFERROR(IF(OR(J1235=0,K1235=""),"",IF(E1235="Positivo",MIN(MAX(K1235/J1235,0),1.3),MIN(MAX(J1235/K1235,0),1.3))),"") </f>
        <v/>
      </c>
      <c r="M1235" s="14">
        <f>IFERROR(IF(OR(J1235=0,K1235=""),"",IF(E1235="Positivo",MAX(K1235/J1235,0),MAX(J1235/K1235,0))),"") </f>
        <v/>
      </c>
      <c r="N1235" s="5" t="inlineStr">
        <is>
          <t>ENT</t>
        </is>
      </c>
      <c r="O1235" s="5" t="inlineStr">
        <is>
          <t>ENT</t>
        </is>
      </c>
      <c r="P1235" s="5" t="n">
        <v>0</v>
      </c>
      <c r="Q1235" s="5" t="n">
        <v>0</v>
      </c>
      <c r="R1235" s="5" t="inlineStr">
        <is>
          <t>244-2023-12-31</t>
        </is>
      </c>
    </row>
    <row r="1236" hidden="1">
      <c r="A1236" s="21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01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0" t="n">
        <v>25</v>
      </c>
      <c r="L1236" s="14">
        <f>IFERROR(IF(OR(J1236=0,K1236=""),"",IF(E1236="Positivo",MIN(MAX(K1236/J1236,0),1.3),MIN(MAX(J1236/K1236,0),1.3))),"") </f>
        <v/>
      </c>
      <c r="M1236" s="14">
        <f>IFERROR(IF(OR(J1236=0,K1236=""),"",IF(E1236="Positivo",MAX(K1236/J1236,0),MAX(J1236/K1236,0))),"") </f>
        <v/>
      </c>
      <c r="N1236" s="5" t="n"/>
      <c r="O1236" s="5" t="n"/>
      <c r="P1236" s="15" t="n">
        <v>0</v>
      </c>
      <c r="Q1236" s="15" t="n">
        <v>0</v>
      </c>
      <c r="R1236" s="5" t="inlineStr">
        <is>
          <t>244-2024-12-31</t>
        </is>
      </c>
    </row>
    <row r="1237" hidden="1">
      <c r="A1237" s="21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100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9" t="n">
        <v>13</v>
      </c>
      <c r="L1237" s="14">
        <f>IFERROR(IF(OR(J1237=0,K1237=""),"",IF(E1237="Positivo",MIN(MAX(K1237/J1237,0),1.3),MIN(MAX(J1237/K1237,0),1.3))),"") </f>
        <v/>
      </c>
      <c r="M1237" s="14">
        <f>IFERROR(IF(OR(J1237=0,K1237=""),"",IF(E1237="Positivo",MAX(K1237/J1237,0),MAX(J1237/K1237,0))),"") </f>
        <v/>
      </c>
      <c r="N1237" s="5" t="inlineStr">
        <is>
          <t>ENT</t>
        </is>
      </c>
      <c r="O1237" s="5" t="inlineStr">
        <is>
          <t>ENT</t>
        </is>
      </c>
      <c r="P1237" s="15" t="n">
        <v>0</v>
      </c>
      <c r="Q1237" s="15" t="n">
        <v>0</v>
      </c>
      <c r="R1237" s="5" t="inlineStr">
        <is>
          <t>244-2025-12-31</t>
        </is>
      </c>
    </row>
    <row r="1238" hidden="1">
      <c r="A1238" s="26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01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9" t="n">
        <v>97.84</v>
      </c>
      <c r="L1238" s="14">
        <f>IFERROR(IF(OR(J1238=0,K1238=""),"",IF(E1238="Positivo",MIN(MAX(K1238/J1238,0),1.3),MIN(MAX(J1238/K1238,0),1.3))),"") </f>
        <v/>
      </c>
      <c r="M1238" s="14">
        <f>IFERROR(IF(OR(J1238=0,K1238=""),"",IF(E1238="Positivo",MAX(K1238/J1238,0),MAX(J1238/K1238,0))),"") </f>
        <v/>
      </c>
      <c r="N1238" s="5" t="inlineStr">
        <is>
          <t>%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245-2023-06-30</t>
        </is>
      </c>
    </row>
    <row r="1239" hidden="1">
      <c r="A1239" s="5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01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5" t="n">
        <v>98.14</v>
      </c>
      <c r="L1239" s="14">
        <f>IFERROR(IF(OR(J1239=0,K1239=""),"",IF(E1239="Positivo",MIN(MAX(K1239/J1239,0),1.3),MIN(MAX(J1239/K1239,0),1.3))),"") </f>
        <v/>
      </c>
      <c r="M1239" s="14">
        <f>IFERROR(IF(OR(J1239=0,K1239=""),"",IF(E1239="Positivo",MAX(K1239/J1239,0),MAX(J1239/K1239,0))),"") </f>
        <v/>
      </c>
      <c r="N1239" s="5" t="inlineStr">
        <is>
          <t>%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245-2023-12-31</t>
        </is>
      </c>
    </row>
    <row r="1240" hidden="1">
      <c r="A1240" s="21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01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10" t="n">
        <v>100.15</v>
      </c>
      <c r="L1240" s="14">
        <f>IFERROR(IF(OR(J1240=0,K1240=""),"",IF(E1240="Positivo",MIN(MAX(K1240/J1240,0),1.3),MIN(MAX(J1240/K1240,0),1.3))),"") </f>
        <v/>
      </c>
      <c r="M1240" s="14">
        <f>IFERROR(IF(OR(J1240=0,K1240=""),"",IF(E1240="Positivo",MAX(K1240/J1240,0),MAX(J1240/K1240,0))),"") </f>
        <v/>
      </c>
      <c r="N1240" s="5" t="inlineStr">
        <is>
          <t>%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245-2024-06-30</t>
        </is>
      </c>
    </row>
    <row r="1241" hidden="1">
      <c r="A1241" s="26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01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9" t="n">
        <v>100.22</v>
      </c>
      <c r="L1241" s="14">
        <f>IFERROR(IF(OR(J1241=0,K1241=""),"",IF(E1241="Positivo",MIN(MAX(K1241/J1241,0),1.3),MIN(MAX(J1241/K1241,0),1.3))),"") </f>
        <v/>
      </c>
      <c r="M1241" s="14">
        <f>IFERROR(IF(OR(J1241=0,K1241=""),"",IF(E1241="Positivo",MAX(K1241/J1241,0),MAX(J1241/K1241,0))),"") </f>
        <v/>
      </c>
      <c r="N1241" s="5" t="inlineStr">
        <is>
          <t>%</t>
        </is>
      </c>
      <c r="O1241" s="5" t="inlineStr">
        <is>
          <t>%</t>
        </is>
      </c>
      <c r="P1241" s="15" t="n">
        <v>0</v>
      </c>
      <c r="Q1241" s="15" t="n">
        <v>0</v>
      </c>
      <c r="R1241" s="5" t="inlineStr">
        <is>
          <t>245-2024-12-31</t>
        </is>
      </c>
    </row>
    <row r="1242" hidden="1">
      <c r="A1242" s="5" t="n">
        <v>245</v>
      </c>
      <c r="B1242" s="5" t="inlineStr">
        <is>
          <t>Permanencia Intersemestral</t>
        </is>
      </c>
      <c r="C1242" s="5" t="inlineStr">
        <is>
          <t>Permanencia</t>
        </is>
      </c>
      <c r="D1242" s="5" t="inlineStr">
        <is>
          <t>Semestral</t>
        </is>
      </c>
      <c r="E1242" s="5" t="inlineStr">
        <is>
          <t>Positivo</t>
        </is>
      </c>
      <c r="F1242" s="101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5" t="n">
        <v>100.93</v>
      </c>
      <c r="L1242" s="14">
        <f>IFERROR(IF(OR(J1242=0,K1242=""),"",IF(E1242="Positivo",MIN(MAX(K1242/J1242,0),1.3),MIN(MAX(J1242/K1242,0),1.3))),"") </f>
        <v/>
      </c>
      <c r="M1242" s="14">
        <f>IFERROR(IF(OR(J1242=0,K1242=""),"",IF(E1242="Positivo",MAX(K1242/J1242,0),MAX(J1242/K1242,0))),"") </f>
        <v/>
      </c>
      <c r="N1242" s="5" t="inlineStr">
        <is>
          <t>%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245-2025-06-30</t>
        </is>
      </c>
    </row>
    <row r="1243" hidden="1">
      <c r="A1243" s="21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100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9" t="n">
        <v>100.12</v>
      </c>
      <c r="L1243" s="14">
        <f>IFERROR(IF(OR(J1243=0,K1243=""),"",IF(E1243="Positivo",MIN(MAX(K1243/J1243,0),1.3),MIN(MAX(J1243/K1243,0),1.3))),"") </f>
        <v/>
      </c>
      <c r="M1243" s="14">
        <f>IFERROR(IF(OR(J1243=0,K1243=""),"",IF(E1243="Positivo",MAX(K1243/J1243,0),MAX(J1243/K1243,0))),"") </f>
        <v/>
      </c>
      <c r="N1243" s="5" t="inlineStr">
        <is>
          <t>%</t>
        </is>
      </c>
      <c r="O1243" s="5" t="inlineStr">
        <is>
          <t>%</t>
        </is>
      </c>
      <c r="P1243" s="15" t="n">
        <v>1</v>
      </c>
      <c r="Q1243" s="15" t="n">
        <v>1</v>
      </c>
      <c r="R1243" s="5" t="inlineStr">
        <is>
          <t>245-2025-12-31</t>
        </is>
      </c>
    </row>
    <row r="1244" hidden="1">
      <c r="A1244" s="26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01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9" t="n">
        <v>61.4</v>
      </c>
      <c r="L1244" s="14">
        <f>IFERROR(IF(OR(J1244=0,K1244=""),"",IF(E1244="Positivo",MIN(MAX(K1244/J1244,0),1.3),MIN(MAX(J1244/K1244,0),1.3))),"") </f>
        <v/>
      </c>
      <c r="M1244" s="14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246-2023-12-31</t>
        </is>
      </c>
    </row>
    <row r="1245" hidden="1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01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14">
        <f>IFERROR(IF(OR(J1245=0,K1245=""),"",IF(E1245="Positivo",MIN(MAX(K1245/J1245,0),1.3),MIN(MAX(J1245/K1245,0),1.3))),"") </f>
        <v/>
      </c>
      <c r="M1245" s="14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 hidden="1">
      <c r="A1246" s="21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01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14">
        <f>IFERROR(IF(OR(J1246=0,K1246=""),"",IF(E1246="Positivo",MIN(MAX(K1246/J1246,0),1.3),MIN(MAX(J1246/K1246,0),1.3))),"") </f>
        <v/>
      </c>
      <c r="M1246" s="14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246-2024-12-31</t>
        </is>
      </c>
    </row>
    <row r="1247" hidden="1">
      <c r="A1247" s="21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Semestral</t>
        </is>
      </c>
      <c r="E1247" s="5" t="inlineStr">
        <is>
          <t>Positivo</t>
        </is>
      </c>
      <c r="F1247" s="100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9" t="n">
        <v>90.09999999999999</v>
      </c>
      <c r="L1247" s="14">
        <f>IFERROR(IF(OR(J1247=0,K1247=""),"",IF(E1247="Positivo",MIN(MAX(K1247/J1247,0),1.3),MIN(MAX(J1247/K1247,0),1.3))),"") </f>
        <v/>
      </c>
      <c r="M1247" s="14">
        <f>IFERROR(IF(OR(J1247=0,K1247=""),"",IF(E1247="Positivo",MAX(K1247/J1247,0),MAX(J1247/K1247,0))),"") </f>
        <v/>
      </c>
      <c r="N1247" s="11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246-2025-06-30</t>
        </is>
      </c>
    </row>
    <row r="1248" hidden="1">
      <c r="A1248" s="26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101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9" t="n">
        <v>92.7</v>
      </c>
      <c r="L1248" s="14">
        <f>IFERROR(IF(OR(J1248=0,K1248=""),"",IF(E1248="Positivo",MIN(MAX(K1248/J1248,0),1.3),MIN(MAX(J1248/K1248,0),1.3))),"") </f>
        <v/>
      </c>
      <c r="M1248" s="14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246-2025-12-31</t>
        </is>
      </c>
      <c r="S1248" s="93" t="n"/>
    </row>
    <row r="1249" hidden="1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01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5" t="n">
        <v>75.64023765621801</v>
      </c>
      <c r="L1249" s="14" t="n"/>
      <c r="M1249" s="14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 hidden="1">
      <c r="A1250" s="21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01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14" t="n"/>
      <c r="M1250" s="14" t="n"/>
      <c r="N1250" s="5" t="inlineStr">
        <is>
          <t>Linea Base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247-2023-02-28</t>
        </is>
      </c>
    </row>
    <row r="1251" hidden="1">
      <c r="A1251" s="21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00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9" t="n">
        <v>71.01731601731601</v>
      </c>
      <c r="L1251" s="14" t="n"/>
      <c r="M1251" s="14" t="n"/>
      <c r="N1251" s="5" t="inlineStr">
        <is>
          <t>Linea Base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247-2023-03-31</t>
        </is>
      </c>
    </row>
    <row r="1252" hidden="1">
      <c r="A1252" s="5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01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9" t="n">
        <v>74.075723830735</v>
      </c>
      <c r="L1252" s="14" t="n"/>
      <c r="M1252" s="14" t="n"/>
      <c r="N1252" s="5" t="inlineStr">
        <is>
          <t>Linea Base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247-2023-04-30</t>
        </is>
      </c>
      <c r="S1252" s="93" t="n"/>
    </row>
    <row r="1253" hidden="1">
      <c r="A1253" s="5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01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5" t="n">
        <v>70.167903162827</v>
      </c>
      <c r="L1253" s="14" t="n"/>
      <c r="M1253" s="14" t="n"/>
      <c r="N1253" s="5" t="inlineStr">
        <is>
          <t>Linea Base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247-2023-05-31</t>
        </is>
      </c>
    </row>
    <row r="1254" hidden="1">
      <c r="A1254" s="21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01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0" t="n">
        <v>61.0823853843502</v>
      </c>
      <c r="L1254" s="14" t="n"/>
      <c r="M1254" s="14" t="n"/>
      <c r="N1254" s="5" t="inlineStr">
        <is>
          <t>Linea Base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247-2023-06-30</t>
        </is>
      </c>
    </row>
    <row r="1255" hidden="1">
      <c r="A1255" s="58" t="n">
        <v>247</v>
      </c>
      <c r="B1255" s="94" t="inlineStr">
        <is>
          <t>Solicitud de certificados</t>
        </is>
      </c>
      <c r="C1255" s="94" t="inlineStr">
        <is>
          <t>Registro y Control</t>
        </is>
      </c>
      <c r="D1255" s="94" t="inlineStr">
        <is>
          <t>Mensual</t>
        </is>
      </c>
      <c r="E1255" s="94" t="inlineStr">
        <is>
          <t>Positivo</t>
        </is>
      </c>
      <c r="F1255" s="107" t="n">
        <v>45138</v>
      </c>
      <c r="G1255" s="94" t="n">
        <v>2023</v>
      </c>
      <c r="H1255" s="94" t="inlineStr">
        <is>
          <t>Julio</t>
        </is>
      </c>
      <c r="I1255" s="56" t="inlineStr">
        <is>
          <t>2023-2</t>
        </is>
      </c>
      <c r="J1255" s="94" t="n"/>
      <c r="K1255" s="59" t="n">
        <v>75.552362134004</v>
      </c>
      <c r="L1255" s="14" t="n"/>
      <c r="M1255" s="55" t="n"/>
      <c r="N1255" s="94" t="inlineStr">
        <is>
          <t>Linea Base</t>
        </is>
      </c>
      <c r="O1255" s="94" t="inlineStr">
        <is>
          <t>%</t>
        </is>
      </c>
      <c r="P1255" s="57" t="n">
        <v>0</v>
      </c>
      <c r="Q1255" s="57" t="n">
        <v>0</v>
      </c>
      <c r="R1255" s="94" t="inlineStr">
        <is>
          <t>247-2023-07-31</t>
        </is>
      </c>
    </row>
    <row r="1256" hidden="1">
      <c r="A1256" s="5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01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9" t="n">
        <v>70.64</v>
      </c>
      <c r="L1256" s="14" t="n"/>
      <c r="M1256" s="55" t="n"/>
      <c r="N1256" s="5" t="inlineStr">
        <is>
          <t>Linea Base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247-2023-08-31</t>
        </is>
      </c>
    </row>
    <row r="1257" hidden="1">
      <c r="A1257" s="5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01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5" t="n">
        <v>67.14</v>
      </c>
      <c r="L1257" s="14" t="n"/>
      <c r="M1257" s="55" t="n"/>
      <c r="N1257" s="5" t="inlineStr">
        <is>
          <t>Linea Base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247-2023-09-30</t>
        </is>
      </c>
    </row>
    <row r="1258" hidden="1">
      <c r="A1258" s="21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01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0" t="n">
        <v>65.84999999999999</v>
      </c>
      <c r="L1258" s="14" t="n"/>
      <c r="M1258" s="55" t="n"/>
      <c r="N1258" s="5" t="inlineStr">
        <is>
          <t>Linea Base</t>
        </is>
      </c>
      <c r="O1258" s="5" t="inlineStr">
        <is>
          <t>%</t>
        </is>
      </c>
      <c r="P1258" s="15" t="n">
        <v>0</v>
      </c>
      <c r="Q1258" s="15" t="n">
        <v>0</v>
      </c>
      <c r="R1258" s="5" t="inlineStr">
        <is>
          <t>247-2023-10-31</t>
        </is>
      </c>
    </row>
    <row r="1259" hidden="1">
      <c r="A1259" s="21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00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9" t="n">
        <v>65.47</v>
      </c>
      <c r="L1259" s="14" t="n"/>
      <c r="M1259" s="14" t="n"/>
      <c r="N1259" s="5" t="inlineStr">
        <is>
          <t>Linea Base</t>
        </is>
      </c>
      <c r="O1259" s="5" t="inlineStr">
        <is>
          <t>%</t>
        </is>
      </c>
      <c r="P1259" s="15" t="n">
        <v>0</v>
      </c>
      <c r="Q1259" s="15" t="n">
        <v>0</v>
      </c>
      <c r="R1259" s="5" t="inlineStr">
        <is>
          <t>247-2023-11-30</t>
        </is>
      </c>
    </row>
    <row r="1260" hidden="1">
      <c r="A1260" s="26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101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9" t="n">
        <v>69.86</v>
      </c>
      <c r="L1260" s="14" t="n"/>
      <c r="M1260" s="14" t="n"/>
      <c r="N1260" s="5" t="inlineStr">
        <is>
          <t>Linea Base</t>
        </is>
      </c>
      <c r="O1260" s="5" t="inlineStr">
        <is>
          <t>%</t>
        </is>
      </c>
      <c r="P1260" s="15" t="n">
        <v>0</v>
      </c>
      <c r="Q1260" s="15" t="n">
        <v>0</v>
      </c>
      <c r="R1260" s="5" t="inlineStr">
        <is>
          <t>247-2023-12-31</t>
        </is>
      </c>
    </row>
    <row r="1261" hidden="1">
      <c r="A1261" s="5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01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5" t="n">
        <v>27</v>
      </c>
      <c r="L1261" s="14">
        <f>IFERROR(IF(OR(J1261=0,K1261=""),"",IF(E1261="Positivo",MIN(MAX(K1261/J1261,0),1.3),MIN(MAX(J1261/K1261,0),1.3))),"") </f>
        <v/>
      </c>
      <c r="M1261" s="14">
        <f>IFERROR(IF(OR(J1261=0,K1261=""),"",IF(E1261="Positivo",MAX(K1261/J1261,0),MAX(J1261/K1261,0))),"") </f>
        <v/>
      </c>
      <c r="N1261" s="5" t="inlineStr">
        <is>
          <t>Linea Base</t>
        </is>
      </c>
      <c r="O1261" s="5" t="inlineStr">
        <is>
          <t>%</t>
        </is>
      </c>
      <c r="P1261" s="5" t="n">
        <v>0</v>
      </c>
      <c r="Q1261" s="5" t="n">
        <v>0</v>
      </c>
      <c r="R1261" s="5" t="inlineStr">
        <is>
          <t>248-2023-06-30</t>
        </is>
      </c>
    </row>
    <row r="1262" hidden="1">
      <c r="A1262" s="21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01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10" t="n">
        <v>17</v>
      </c>
      <c r="L1262" s="14">
        <f>IFERROR(IF(OR(J1262=0,K1262=""),"",IF(E1262="Positivo",MIN(MAX(K1262/J1262,0),1.3),MIN(MAX(J1262/K1262,0),1.3))),"") </f>
        <v/>
      </c>
      <c r="M1262" s="14">
        <f>IFERROR(IF(OR(J1262=0,K1262=""),"",IF(E1262="Positivo",MAX(K1262/J1262,0),MAX(J1262/K1262,0))),"") </f>
        <v/>
      </c>
      <c r="N1262" s="5" t="inlineStr">
        <is>
          <t>Linea Base</t>
        </is>
      </c>
      <c r="O1262" s="5" t="inlineStr">
        <is>
          <t>%</t>
        </is>
      </c>
      <c r="P1262" s="15" t="n">
        <v>0</v>
      </c>
      <c r="Q1262" s="15" t="n">
        <v>0</v>
      </c>
      <c r="R1262" s="5" t="inlineStr">
        <is>
          <t>248-2023-12-31</t>
        </is>
      </c>
    </row>
    <row r="1263" hidden="1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01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9" t="n">
        <v>72</v>
      </c>
      <c r="L1263" s="14">
        <f>IFERROR(IF(OR(J1263=0,K1263=""),"",IF(E1263="Positivo",MIN(MAX(K1263/J1263,0),1.3),MIN(MAX(J1263/K1263,0),1.3))),"") </f>
        <v/>
      </c>
      <c r="M1263" s="14">
        <f>IFERROR(IF(OR(J1263=0,K1263=""),"",IF(E1263="Positivo",MAX(K1263/J1263,0),MAX(J1263/K1263,0))),"") </f>
        <v/>
      </c>
      <c r="N1263" s="5" t="inlineStr">
        <is>
          <t>Linea Base</t>
        </is>
      </c>
      <c r="O1263" s="5" t="inlineStr">
        <is>
          <t>%</t>
        </is>
      </c>
      <c r="P1263" s="15" t="n">
        <v>0</v>
      </c>
      <c r="Q1263" s="15" t="n">
        <v>0</v>
      </c>
      <c r="R1263" s="5" t="inlineStr">
        <is>
          <t>249-2023-06-30</t>
        </is>
      </c>
    </row>
    <row r="1264" hidden="1">
      <c r="A1264" s="21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101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0" t="n">
        <v>26</v>
      </c>
      <c r="L1264" s="14">
        <f>IFERROR(IF(OR(J1264=0,K1264=""),"",IF(E1264="Positivo",MIN(MAX(K1264/J1264,0),1.3),MIN(MAX(J1264/K1264,0),1.3))),"") </f>
        <v/>
      </c>
      <c r="M1264" s="14">
        <f>IFERROR(IF(OR(J1264=0,K1264=""),"",IF(E1264="Positivo",MAX(K1264/J1264,0),MAX(J1264/K1264,0))),"") </f>
        <v/>
      </c>
      <c r="N1264" s="5" t="inlineStr">
        <is>
          <t>Linea Base</t>
        </is>
      </c>
      <c r="O1264" s="5" t="inlineStr">
        <is>
          <t>%</t>
        </is>
      </c>
      <c r="P1264" s="15" t="n">
        <v>0</v>
      </c>
      <c r="Q1264" s="15" t="n">
        <v>0</v>
      </c>
      <c r="R1264" s="5" t="inlineStr">
        <is>
          <t>249-2023-12-31</t>
        </is>
      </c>
    </row>
    <row r="1265" hidden="1">
      <c r="A1265" s="21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00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9" t="n">
        <v>93.87755102040816</v>
      </c>
      <c r="L1265" s="14">
        <f>IFERROR(IF(OR(J1265=0,K1265=""),"",IF(E1265="Positivo",MIN(MAX(K1265/J1265,0),1.3),MIN(MAX(J1265/K1265,0),1.3))),"") </f>
        <v/>
      </c>
      <c r="M1265" s="14">
        <f>IFERROR(IF(OR(J1265=0,K1265=""),"",IF(E1265="Positivo",MAX(K1265/J1265,0),MAX(J1265/K1265,0))),"") </f>
        <v/>
      </c>
      <c r="N1265" s="5" t="inlineStr">
        <is>
          <t>%</t>
        </is>
      </c>
      <c r="O1265" s="5" t="inlineStr">
        <is>
          <t>%</t>
        </is>
      </c>
      <c r="P1265" s="15" t="n">
        <v>0</v>
      </c>
      <c r="Q1265" s="15" t="n">
        <v>0</v>
      </c>
      <c r="R1265" s="5" t="inlineStr">
        <is>
          <t>251-2023-06-30</t>
        </is>
      </c>
    </row>
    <row r="1266" hidden="1">
      <c r="A1266" s="26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01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9" t="n">
        <v>100</v>
      </c>
      <c r="L1266" s="14">
        <f>IFERROR(IF(OR(J1266=0,K1266=""),"",IF(E1266="Positivo",MIN(MAX(K1266/J1266,0),1.3),MIN(MAX(J1266/K1266,0),1.3))),"") </f>
        <v/>
      </c>
      <c r="M1266" s="14">
        <f>IFERROR(IF(OR(J1266=0,K1266=""),"",IF(E1266="Positivo",MAX(K1266/J1266,0),MAX(J1266/K1266,0))),"") </f>
        <v/>
      </c>
      <c r="N1266" s="5" t="inlineStr">
        <is>
          <t>%</t>
        </is>
      </c>
      <c r="O1266" s="5" t="inlineStr">
        <is>
          <t>%</t>
        </is>
      </c>
      <c r="P1266" s="15" t="n">
        <v>0</v>
      </c>
      <c r="Q1266" s="15" t="n">
        <v>0</v>
      </c>
      <c r="R1266" s="5" t="inlineStr">
        <is>
          <t>251-2023-09-30</t>
        </is>
      </c>
    </row>
    <row r="1267" hidden="1">
      <c r="A1267" s="21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101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10" t="n">
        <v>100</v>
      </c>
      <c r="L1267" s="14">
        <f>IFERROR(IF(OR(J1267=0,K1267=""),"",IF(E1267="Positivo",MIN(MAX(K1267/J1267,0),1.3),MIN(MAX(J1267/K1267,0),1.3))),"") </f>
        <v/>
      </c>
      <c r="M1267" s="14">
        <f>IFERROR(IF(OR(J1267=0,K1267=""),"",IF(E1267="Positivo",MAX(K1267/J1267,0),MAX(J1267/K1267,0))),"") </f>
        <v/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251-2023-12-31</t>
        </is>
      </c>
    </row>
    <row r="1268" hidden="1">
      <c r="A1268" s="21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100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9" t="n">
        <v>0</v>
      </c>
      <c r="L1268" s="14">
        <f>IFERROR(IF(OR(J1268=0,K1268=""),"",IF(E1268="Positivo",MIN(MAX(K1268/J1268,0),1.3),MIN(MAX(J1268/K1268,0),1.3))),"") </f>
        <v/>
      </c>
      <c r="M1268" s="14">
        <f>IFERROR(IF(OR(J1268=0,K1268=""),"",IF(E1268="Positivo",MAX(K1268/J1268,0),MAX(J1268/K1268,0))),"") </f>
        <v/>
      </c>
      <c r="N1268" s="11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251-2024-03-31</t>
        </is>
      </c>
      <c r="S1268" t="inlineStr">
        <is>
          <t>No Aplica</t>
        </is>
      </c>
    </row>
    <row r="1269" hidden="1">
      <c r="A1269" s="26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01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5" t="n">
        <v>100</v>
      </c>
      <c r="K1269" s="9" t="n">
        <v>92.45283018867924</v>
      </c>
      <c r="L1269" s="14">
        <f>IFERROR(IF(OR(J1269=0,K1269=""),"",IF(E1269="Positivo",MIN(MAX(K1269/J1269,0),1.3),MIN(MAX(J1269/K1269,0),1.3))),"") </f>
        <v/>
      </c>
      <c r="M1269" s="14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251-2024-06-30</t>
        </is>
      </c>
    </row>
    <row r="1270" hidden="1">
      <c r="A1270" s="5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08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5" t="n">
        <v>96.22641509433964</v>
      </c>
      <c r="L1270" s="14">
        <f>IFERROR(IF(OR(J1270=0,K1270=""),"",IF(E1270="Positivo",MIN(MAX(K1270/J1270,0),1.3),MIN(MAX(J1270/K1270,0),1.3))),"") </f>
        <v/>
      </c>
      <c r="M1270" s="14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5" t="n">
        <v>0</v>
      </c>
      <c r="Q1270" s="5" t="n">
        <v>0</v>
      </c>
      <c r="R1270" s="5" t="inlineStr">
        <is>
          <t>251-2024-09-30</t>
        </is>
      </c>
    </row>
    <row r="1271" hidden="1">
      <c r="A1271" s="21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108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5" t="n">
        <v>96.22641509433964</v>
      </c>
      <c r="L1271" s="14">
        <f>IFERROR(IF(OR(J1271=0,K1271=""),"",IF(E1271="Positivo",MIN(MAX(K1271/J1271,0),1.3),MIN(MAX(J1271/K1271,0),1.3))),"") </f>
        <v/>
      </c>
      <c r="M1271" s="14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251-2024-12-31</t>
        </is>
      </c>
    </row>
    <row r="1272" hidden="1">
      <c r="A1272" s="21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109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5" t="n">
        <v>0</v>
      </c>
      <c r="L1272" s="14">
        <f>IFERROR(IF(OR(J1272=0,K1272=""),"",IF(E1272="Positivo",MIN(MAX(K1272/J1272,0),1.3),MIN(MAX(J1272/K1272,0),1.3))),"") </f>
        <v/>
      </c>
      <c r="M1272" s="14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251-2025-03-31</t>
        </is>
      </c>
      <c r="S1272" t="inlineStr">
        <is>
          <t>No Aplica</t>
        </is>
      </c>
    </row>
    <row r="1273" hidden="1">
      <c r="A1273" s="26" t="n">
        <v>251</v>
      </c>
      <c r="B1273" s="5" t="inlineStr">
        <is>
          <t>Subprocesos Con CMI Estructurado</t>
        </is>
      </c>
      <c r="C1273" s="5" t="inlineStr">
        <is>
          <t>Desempeño Institucional</t>
        </is>
      </c>
      <c r="D1273" s="5" t="inlineStr">
        <is>
          <t>Trimestral</t>
        </is>
      </c>
      <c r="E1273" s="5" t="inlineStr">
        <is>
          <t>Positivo</t>
        </is>
      </c>
      <c r="F1273" s="108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5" t="n">
        <v>82.34999999999999</v>
      </c>
      <c r="L1273" s="14">
        <f>IFERROR(IF(OR(J1273=0,K1273=""),"",IF(E1273="Positivo",MIN(MAX(K1273/J1273,0),1.3),MIN(MAX(J1273/K1273,0),1.3))),"") </f>
        <v/>
      </c>
      <c r="M1273" s="14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251-2025-06-30</t>
        </is>
      </c>
    </row>
    <row r="1274" hidden="1">
      <c r="A1274" s="5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08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5" t="n">
        <v>96.08</v>
      </c>
      <c r="L1274" s="14">
        <f>IFERROR(IF(OR(J1274=0,K1274=""),"",IF(E1274="Positivo",MIN(MAX(K1274/J1274,0),1.3),MIN(MAX(J1274/K1274,0),1.3))),"") </f>
        <v/>
      </c>
      <c r="M1274" s="14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5" t="n">
        <v>0</v>
      </c>
      <c r="Q1274" s="5" t="n">
        <v>0</v>
      </c>
      <c r="R1274" s="5" t="inlineStr">
        <is>
          <t>251-2025-09-30</t>
        </is>
      </c>
    </row>
    <row r="1275" hidden="1">
      <c r="A1275" s="21" t="n">
        <v>251</v>
      </c>
      <c r="B1275" s="5" t="inlineStr">
        <is>
          <t>Subprocesos Con indicadores definidos</t>
        </is>
      </c>
      <c r="C1275" s="5" t="inlineStr">
        <is>
          <t>Desempeño Institucional</t>
        </is>
      </c>
      <c r="D1275" s="5" t="inlineStr">
        <is>
          <t>Semestral</t>
        </is>
      </c>
      <c r="E1275" s="5" t="inlineStr">
        <is>
          <t>Positivo</t>
        </is>
      </c>
      <c r="F1275" s="108" t="n">
        <v>46022</v>
      </c>
      <c r="G1275" s="5" t="n">
        <v>2025</v>
      </c>
      <c r="H1275" s="5" t="inlineStr">
        <is>
          <t>Diciembre</t>
        </is>
      </c>
      <c r="I1275" s="6" t="inlineStr">
        <is>
          <t>2025-2</t>
        </is>
      </c>
      <c r="J1275" s="5" t="n">
        <v>100</v>
      </c>
      <c r="K1275" s="5" t="n">
        <v>100</v>
      </c>
      <c r="L1275" s="14">
        <f>IFERROR(IF(OR(J1275=0,K1275=""),"",IF(E1275="Positivo",MIN(MAX(K1275/J1275,0),1.3),MIN(MAX(J1275/K1275,0),1.3))),"") </f>
        <v/>
      </c>
      <c r="M1275" s="14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251-2025-12-31</t>
        </is>
      </c>
    </row>
    <row r="1276" hidden="1">
      <c r="A1276" s="26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08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5" t="n">
        <v>98.81</v>
      </c>
      <c r="L1276" s="14">
        <f>IFERROR(IF(OR(J1276=0,K1276=""),"",IF(E1276="Positivo",MIN(MAX(K1276/J1276,0),1.3),MIN(MAX(J1276/K1276,0),1.3))),"") </f>
        <v/>
      </c>
      <c r="M1276" s="14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5" t="n">
        <v>0</v>
      </c>
      <c r="Q1276" s="15" t="n">
        <v>0</v>
      </c>
      <c r="R1276" s="5" t="inlineStr">
        <is>
          <t>252-2023-06-30</t>
        </is>
      </c>
    </row>
    <row r="1277" hidden="1">
      <c r="A1277" s="5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08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5" t="n">
        <v>109.91</v>
      </c>
      <c r="L1277" s="14">
        <f>IFERROR(IF(OR(J1277=0,K1277=""),"",IF(E1277="Positivo",MIN(MAX(K1277/J1277,0),1.3),MIN(MAX(J1277/K1277,0),1.3))),"") </f>
        <v/>
      </c>
      <c r="M1277" s="14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252-2023-12-31</t>
        </is>
      </c>
    </row>
    <row r="1278" hidden="1">
      <c r="A1278" s="26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08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9" t="n">
        <v>104.47</v>
      </c>
      <c r="L1278" s="14">
        <f>IFERROR(IF(OR(J1278=0,K1278=""),"",IF(E1278="Positivo",MIN(MAX(K1278/J1278,0),1.3),MIN(MAX(J1278/K1278,0),1.3))),"") </f>
        <v/>
      </c>
      <c r="M1278" s="14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15" t="n">
        <v>2</v>
      </c>
      <c r="Q1278" s="15" t="n">
        <v>2</v>
      </c>
      <c r="R1278" s="5" t="inlineStr">
        <is>
          <t>252-2024-06-30</t>
        </is>
      </c>
    </row>
    <row r="1279" hidden="1">
      <c r="A1279" s="26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01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9" t="n">
        <v>99.48999999999999</v>
      </c>
      <c r="L1279" s="14">
        <f>IFERROR(IF(OR(J1279=0,K1279=""),"",IF(E1279="Positivo",MIN(MAX(K1279/J1279,0),1.3),MIN(MAX(J1279/K1279,0),1.3))),"") </f>
        <v/>
      </c>
      <c r="M1279" s="14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5" t="n">
        <v>2</v>
      </c>
      <c r="Q1279" s="15" t="n">
        <v>2</v>
      </c>
      <c r="R1279" s="5" t="inlineStr">
        <is>
          <t>252-2024-12-31</t>
        </is>
      </c>
    </row>
    <row r="1280" hidden="1">
      <c r="A1280" s="21" t="n">
        <v>252</v>
      </c>
      <c r="B1280" s="5" t="inlineStr">
        <is>
          <t>Permanencia intersemestral ingresantes</t>
        </is>
      </c>
      <c r="C1280" s="5" t="inlineStr">
        <is>
          <t>Permanencia</t>
        </is>
      </c>
      <c r="D1280" s="5" t="inlineStr">
        <is>
          <t>Semestral</t>
        </is>
      </c>
      <c r="E1280" s="5" t="inlineStr">
        <is>
          <t>Positivo</t>
        </is>
      </c>
      <c r="F1280" s="101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10" t="n">
        <v>99.58</v>
      </c>
      <c r="L1280" s="14">
        <f>IFERROR(IF(OR(J1280=0,K1280=""),"",IF(E1280="Positivo",MIN(MAX(K1280/J1280,0),1.3),MIN(MAX(J1280/K1280,0),1.3))),"") </f>
        <v/>
      </c>
      <c r="M1280" s="14">
        <f>IFERROR(IF(OR(J1280=0,K1280=""),"",IF(E1280="Positivo",MAX(K1280/J1280,0),MAX(J1280/K1280,0))),"") </f>
        <v/>
      </c>
      <c r="N1280" s="5" t="inlineStr">
        <is>
          <t>%</t>
        </is>
      </c>
      <c r="O1280" s="5" t="inlineStr">
        <is>
          <t>%</t>
        </is>
      </c>
      <c r="P1280" s="15" t="n">
        <v>2</v>
      </c>
      <c r="Q1280" s="15" t="n">
        <v>2</v>
      </c>
      <c r="R1280" s="5" t="inlineStr">
        <is>
          <t>252-2025-06-30</t>
        </is>
      </c>
    </row>
    <row r="1281" hidden="1">
      <c r="A1281" s="28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101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9" t="n">
        <v>104.31</v>
      </c>
      <c r="L1281" s="14">
        <f>IFERROR(IF(OR(J1281=0,K1281=""),"",IF(E1281="Positivo",MIN(MAX(K1281/J1281,0),1.3),MIN(MAX(J1281/K1281,0),1.3))),"") </f>
        <v/>
      </c>
      <c r="M1281" s="14">
        <f>IFERROR(IF(OR(J1281=0,K1281=""),"",IF(E1281="Positivo",MAX(K1281/J1281,0),MAX(J1281/K1281,0))),"") </f>
        <v/>
      </c>
      <c r="N1281" s="5" t="inlineStr">
        <is>
          <t>%</t>
        </is>
      </c>
      <c r="O1281" s="5" t="inlineStr">
        <is>
          <t>%</t>
        </is>
      </c>
      <c r="P1281" s="15" t="n">
        <v>1</v>
      </c>
      <c r="Q1281" s="15" t="n">
        <v>1</v>
      </c>
      <c r="R1281" s="5" t="inlineStr">
        <is>
          <t>252-2025-12-31</t>
        </is>
      </c>
    </row>
    <row r="1282" hidden="1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01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9" t="n">
        <v>8</v>
      </c>
      <c r="L1282" s="14">
        <f>IFERROR(IF(OR(J1282=0,K1282=""),"",IF(E1282="Positivo",MIN(MAX(K1282/J1282,0),1.3),MIN(MAX(J1282/K1282,0),1.3))),"") </f>
        <v/>
      </c>
      <c r="M1282" s="14">
        <f>IFERROR(IF(OR(J1282=0,K1282=""),"",IF(E1282="Positivo",MAX(K1282/J1282,0),MAX(J1282/K1282,0))),"") </f>
        <v/>
      </c>
      <c r="N1282" s="5" t="inlineStr">
        <is>
          <t>N/A</t>
        </is>
      </c>
      <c r="O1282" s="5" t="inlineStr">
        <is>
          <t>N/A</t>
        </is>
      </c>
      <c r="P1282" s="15" t="n">
        <v>0</v>
      </c>
      <c r="Q1282" s="15" t="n">
        <v>0</v>
      </c>
      <c r="R1282" s="5" t="inlineStr">
        <is>
          <t>253-2023-04-30</t>
        </is>
      </c>
    </row>
    <row r="1283" hidden="1">
      <c r="A1283" s="21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01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10" t="n">
        <v>4.5</v>
      </c>
      <c r="L1283" s="14">
        <f>IFERROR(IF(OR(J1283=0,K1283=""),"",IF(E1283="Positivo",MIN(MAX(K1283/J1283,0),1.3),MIN(MAX(J1283/K1283,0),1.3))),"") </f>
        <v/>
      </c>
      <c r="M1283" s="14">
        <f>IFERROR(IF(OR(J1283=0,K1283=""),"",IF(E1283="Positivo",MAX(K1283/J1283,0),MAX(J1283/K1283,0))),"") </f>
        <v/>
      </c>
      <c r="N1283" s="5" t="inlineStr">
        <is>
          <t>N/A</t>
        </is>
      </c>
      <c r="O1283" s="5" t="inlineStr">
        <is>
          <t>N/A</t>
        </is>
      </c>
      <c r="P1283" s="15" t="n">
        <v>1</v>
      </c>
      <c r="Q1283" s="15" t="n">
        <v>1</v>
      </c>
      <c r="R1283" s="5" t="inlineStr">
        <is>
          <t>253-2023-06-30</t>
        </is>
      </c>
    </row>
    <row r="1284" hidden="1">
      <c r="A1284" s="5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01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5" t="n">
        <v>4.5</v>
      </c>
      <c r="L1284" s="14">
        <f>IFERROR(IF(OR(J1284=0,K1284=""),"",IF(E1284="Positivo",MIN(MAX(K1284/J1284,0),1.3),MIN(MAX(J1284/K1284,0),1.3))),"") </f>
        <v/>
      </c>
      <c r="M1284" s="14">
        <f>IFERROR(IF(OR(J1284=0,K1284=""),"",IF(E1284="Positivo",MAX(K1284/J1284,0),MAX(J1284/K1284,0))),"") </f>
        <v/>
      </c>
      <c r="N1284" s="5" t="inlineStr">
        <is>
          <t>N/A</t>
        </is>
      </c>
      <c r="O1284" s="5" t="inlineStr">
        <is>
          <t>N/A</t>
        </is>
      </c>
      <c r="P1284" s="5" t="n">
        <v>1</v>
      </c>
      <c r="Q1284" s="5" t="n">
        <v>1</v>
      </c>
      <c r="R1284" s="5" t="inlineStr">
        <is>
          <t>253-2023-08-31</t>
        </is>
      </c>
    </row>
    <row r="1285" hidden="1">
      <c r="A1285" s="21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01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10" t="n">
        <v>5.8</v>
      </c>
      <c r="L1285" s="14">
        <f>IFERROR(IF(OR(J1285=0,K1285=""),"",IF(E1285="Positivo",MIN(MAX(K1285/J1285,0),1.3),MIN(MAX(J1285/K1285,0),1.3))),"") </f>
        <v/>
      </c>
      <c r="M1285" s="14">
        <f>IFERROR(IF(OR(J1285=0,K1285=""),"",IF(E1285="Positivo",MAX(K1285/J1285,0),MAX(J1285/K1285,0))),"") </f>
        <v/>
      </c>
      <c r="N1285" s="5" t="inlineStr">
        <is>
          <t>N/A</t>
        </is>
      </c>
      <c r="O1285" s="5" t="inlineStr">
        <is>
          <t>N/A</t>
        </is>
      </c>
      <c r="P1285" s="15" t="n">
        <v>1</v>
      </c>
      <c r="Q1285" s="15" t="n">
        <v>1</v>
      </c>
      <c r="R1285" s="5" t="inlineStr">
        <is>
          <t>253-2023-10-31</t>
        </is>
      </c>
    </row>
    <row r="1286" hidden="1">
      <c r="A1286" s="21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101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0" t="n">
        <v>5</v>
      </c>
      <c r="L1286" s="14">
        <f>IFERROR(IF(OR(J1286=0,K1286=""),"",IF(E1286="Positivo",MIN(MAX(K1286/J1286,0),1.3),MIN(MAX(J1286/K1286,0),1.3))),"") </f>
        <v/>
      </c>
      <c r="M1286" s="14">
        <f>IFERROR(IF(OR(J1286=0,K1286=""),"",IF(E1286="Positivo",MAX(K1286/J1286,0),MAX(J1286/K1286,0))),"") </f>
        <v/>
      </c>
      <c r="N1286" s="5" t="inlineStr">
        <is>
          <t>N/A</t>
        </is>
      </c>
      <c r="O1286" s="5" t="inlineStr">
        <is>
          <t>N/A</t>
        </is>
      </c>
      <c r="P1286" s="15" t="n">
        <v>0</v>
      </c>
      <c r="Q1286" s="15" t="n">
        <v>0</v>
      </c>
      <c r="R1286" s="5" t="inlineStr">
        <is>
          <t>253-2023-12-31</t>
        </is>
      </c>
    </row>
    <row r="1287" hidden="1">
      <c r="A1287" s="28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101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9" t="n">
        <v>100</v>
      </c>
      <c r="L1287" s="14">
        <f>IFERROR(IF(OR(J1287=0,K1287=""),"",IF(E1287="Positivo",MIN(MAX(K1287/J1287,0),1.3),MIN(MAX(J1287/K1287,0),1.3))),"") </f>
        <v/>
      </c>
      <c r="M1287" s="14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5" t="n">
        <v>0</v>
      </c>
      <c r="Q1287" s="15" t="n">
        <v>0</v>
      </c>
      <c r="R1287" s="5" t="inlineStr">
        <is>
          <t>254-2023-03-31</t>
        </is>
      </c>
      <c r="S1287" t="inlineStr"/>
    </row>
    <row r="1288" hidden="1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101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9" t="n">
        <v>100</v>
      </c>
      <c r="L1288" s="14">
        <f>IFERROR(IF(OR(J1288=0,K1288=""),"",IF(E1288="Positivo",MIN(MAX(K1288/J1288,0),1.3),MIN(MAX(J1288/K1288,0),1.3))),"") </f>
        <v/>
      </c>
      <c r="M1288" s="14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254-2023-06-30</t>
        </is>
      </c>
    </row>
    <row r="1289" hidden="1">
      <c r="A1289" s="26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01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5" t="n">
        <v>100</v>
      </c>
      <c r="K1289" s="9" t="n">
        <v>98.181818181818</v>
      </c>
      <c r="L1289" s="14">
        <f>IFERROR(IF(OR(J1289=0,K1289=""),"",IF(E1289="Positivo",MIN(MAX(K1289/J1289,0),1.3),MIN(MAX(J1289/K1289,0),1.3))),"") </f>
        <v/>
      </c>
      <c r="M1289" s="14">
        <f>IFERROR(IF(OR(J1289=0,K1289=""),"",IF(E1289="Positivo",MAX(K1289/J1289,0),MAX(J1289/K1289,0))),"") </f>
        <v/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254-2023-09-30</t>
        </is>
      </c>
    </row>
    <row r="1290" hidden="1">
      <c r="A1290" s="21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01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10" t="n">
        <v>100</v>
      </c>
      <c r="L1290" s="14">
        <f>IFERROR(IF(OR(J1290=0,K1290=""),"",IF(E1290="Positivo",MIN(MAX(K1290/J1290,0),1.3),MIN(MAX(J1290/K1290,0),1.3))),"") </f>
        <v/>
      </c>
      <c r="M1290" s="14">
        <f>IFERROR(IF(OR(J1290=0,K1290=""),"",IF(E1290="Positivo",MAX(K1290/J1290,0),MAX(J1290/K1290,0))),"") </f>
        <v/>
      </c>
      <c r="N1290" s="5" t="inlineStr">
        <is>
          <t>ENT</t>
        </is>
      </c>
      <c r="O1290" s="5" t="inlineStr">
        <is>
          <t>ENT</t>
        </is>
      </c>
      <c r="P1290" s="15" t="n">
        <v>0</v>
      </c>
      <c r="Q1290" s="15" t="n">
        <v>0</v>
      </c>
      <c r="R1290" s="5" t="inlineStr">
        <is>
          <t>254-2023-12-31</t>
        </is>
      </c>
    </row>
    <row r="1291" hidden="1">
      <c r="A1291" s="26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01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9" t="n">
        <v>100</v>
      </c>
      <c r="L1291" s="14">
        <f>IFERROR(IF(OR(J1291=0,K1291=""),"",IF(E1291="Positivo",MIN(MAX(K1291/J1291,0),1.3),MIN(MAX(J1291/K1291,0),1.3))),"") </f>
        <v/>
      </c>
      <c r="M1291" s="14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5" t="n">
        <v>0</v>
      </c>
      <c r="Q1291" s="15" t="n">
        <v>0</v>
      </c>
      <c r="R1291" s="5" t="inlineStr">
        <is>
          <t>254-2024-03-31</t>
        </is>
      </c>
    </row>
    <row r="1292" hidden="1">
      <c r="A1292" s="21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01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10" t="n">
        <v>100</v>
      </c>
      <c r="L1292" s="14">
        <f>IFERROR(IF(OR(J1292=0,K1292=""),"",IF(E1292="Positivo",MIN(MAX(K1292/J1292,0),1.3),MIN(MAX(J1292/K1292,0),1.3))),"") </f>
        <v/>
      </c>
      <c r="M1292" s="14">
        <f>IFERROR(IF(OR(J1292=0,K1292=""),"",IF(E1292="Positivo",MAX(K1292/J1292,0),MAX(J1292/K1292,0))),"") </f>
        <v/>
      </c>
      <c r="N1292" s="5" t="inlineStr">
        <is>
          <t>ENT</t>
        </is>
      </c>
      <c r="O1292" s="5" t="inlineStr">
        <is>
          <t>ENT</t>
        </is>
      </c>
      <c r="P1292" s="15" t="n">
        <v>0</v>
      </c>
      <c r="Q1292" s="15" t="n">
        <v>0</v>
      </c>
      <c r="R1292" s="5" t="inlineStr">
        <is>
          <t>254-2024-06-30</t>
        </is>
      </c>
    </row>
    <row r="1293" hidden="1">
      <c r="A1293" s="21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01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9" t="n">
        <v>100</v>
      </c>
      <c r="L1293" s="14">
        <f>IFERROR(IF(OR(J1293=0,K1293=""),"",IF(E1293="Positivo",MIN(MAX(K1293/J1293,0),1.3),MIN(MAX(J1293/K1293,0),1.3))),"") </f>
        <v/>
      </c>
      <c r="M1293" s="14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254-2024-09-30</t>
        </is>
      </c>
    </row>
    <row r="1294" hidden="1">
      <c r="A1294" s="21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01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9" t="n">
        <v>100</v>
      </c>
      <c r="L1294" s="14">
        <f>IFERROR(IF(OR(J1294=0,K1294=""),"",IF(E1294="Positivo",MIN(MAX(K1294/J1294,0),1.3),MIN(MAX(J1294/K1294,0),1.3))),"") </f>
        <v/>
      </c>
      <c r="M1294" s="14">
        <f>IFERROR(IF(OR(J1294=0,K1294=""),"",IF(E1294="Positivo",MAX(K1294/J1294,0),MAX(J1294/K1294,0))),"") </f>
        <v/>
      </c>
      <c r="N1294" s="5" t="inlineStr">
        <is>
          <t>ENT</t>
        </is>
      </c>
      <c r="O1294" s="5" t="inlineStr">
        <is>
          <t>ENT</t>
        </is>
      </c>
      <c r="P1294" s="15" t="n">
        <v>0</v>
      </c>
      <c r="Q1294" s="15" t="n">
        <v>0</v>
      </c>
      <c r="R1294" s="5" t="inlineStr">
        <is>
          <t>254-2024-12-31</t>
        </is>
      </c>
    </row>
    <row r="1295" hidden="1">
      <c r="A1295" s="21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01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4">
        <f>IFERROR(IF(OR(J1295=0,K1295=""),"",IF(E1295="Positivo",MIN(MAX(K1295/J1295,0),1.3),MIN(MAX(J1295/K1295,0),1.3))),"") </f>
        <v/>
      </c>
      <c r="M1295" s="14">
        <f>IFERROR(IF(OR(J1295=0,K1295=""),"",IF(E1295="Positivo",MAX(K1295/J1295,0),MAX(J1295/K1295,0))),"") </f>
        <v/>
      </c>
      <c r="N1295" s="5" t="inlineStr">
        <is>
          <t>%</t>
        </is>
      </c>
      <c r="O1295" s="5" t="inlineStr">
        <is>
          <t>%</t>
        </is>
      </c>
      <c r="P1295" s="15" t="n">
        <v>0</v>
      </c>
      <c r="Q1295" s="15" t="n">
        <v>0</v>
      </c>
      <c r="R1295" s="5" t="inlineStr">
        <is>
          <t>254-2025-03-31</t>
        </is>
      </c>
    </row>
    <row r="1296" hidden="1">
      <c r="A1296" s="21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Trimestral</t>
        </is>
      </c>
      <c r="E1296" s="5" t="inlineStr">
        <is>
          <t>Positivo</t>
        </is>
      </c>
      <c r="F1296" s="101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10" t="n">
        <v>100</v>
      </c>
      <c r="L1296" s="14">
        <f>IFERROR(IF(OR(J1296=0,K1296=""),"",IF(E1296="Positivo",MIN(MAX(K1296/J1296,0),1.3),MIN(MAX(J1296/K1296,0),1.3))),"") </f>
        <v/>
      </c>
      <c r="M1296" s="14">
        <f>IFERROR(IF(OR(J1296=0,K1296=""),"",IF(E1296="Positivo",MAX(K1296/J1296,0),MAX(J1296/K1296,0))),"") </f>
        <v/>
      </c>
      <c r="N1296" s="5" t="inlineStr">
        <is>
          <t>ENT</t>
        </is>
      </c>
      <c r="O1296" s="5" t="inlineStr">
        <is>
          <t>ENT</t>
        </is>
      </c>
      <c r="P1296" s="15" t="n">
        <v>0</v>
      </c>
      <c r="Q1296" s="15" t="n">
        <v>0</v>
      </c>
      <c r="R1296" s="5" t="inlineStr">
        <is>
          <t>254-2025-06-30</t>
        </is>
      </c>
    </row>
    <row r="1297" hidden="1">
      <c r="A1297" s="5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01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5" t="n">
        <v>100</v>
      </c>
      <c r="L1297" s="14">
        <f>IFERROR(IF(OR(J1297=0,K1297=""),"",IF(E1297="Positivo",MIN(MAX(K1297/J1297,0),1.3),MIN(MAX(J1297/K1297,0),1.3))),"") </f>
        <v/>
      </c>
      <c r="M1297" s="14">
        <f>IFERROR(IF(OR(J1297=0,K1297=""),"",IF(E1297="Positivo",MAX(K1297/J1297,0),MAX(J1297/K1297,0))),"") </f>
        <v/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 t="inlineStr">
        <is>
          <t>254-2025-09-30</t>
        </is>
      </c>
    </row>
    <row r="1298" hidden="1">
      <c r="A1298" s="21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101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10" t="n">
        <v>100</v>
      </c>
      <c r="L1298" s="14">
        <f>IFERROR(IF(OR(J1298=0,K1298=""),"",IF(E1298="Positivo",MIN(MAX(K1298/J1298,0),1.3),MIN(MAX(J1298/K1298,0),1.3))),"") </f>
        <v/>
      </c>
      <c r="M1298" s="14">
        <f>IFERROR(IF(OR(J1298=0,K1298=""),"",IF(E1298="Positivo",MAX(K1298/J1298,0),MAX(J1298/K1298,0))),"") </f>
        <v/>
      </c>
      <c r="N1298" s="5" t="inlineStr">
        <is>
          <t>ENT</t>
        </is>
      </c>
      <c r="O1298" s="5" t="inlineStr">
        <is>
          <t>ENT</t>
        </is>
      </c>
      <c r="P1298" s="15" t="n">
        <v>0</v>
      </c>
      <c r="Q1298" s="15" t="n">
        <v>0</v>
      </c>
      <c r="R1298" s="5" t="inlineStr">
        <is>
          <t>254-2025-12-31</t>
        </is>
      </c>
    </row>
    <row r="1299" hidden="1">
      <c r="A1299" s="21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01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0" t="n">
        <v>18</v>
      </c>
      <c r="L1299" s="14">
        <f>IFERROR(IF(OR(J1299=0,K1299=""),"",IF(E1299="Positivo",MIN(MAX(K1299/J1299,0),1.3),MIN(MAX(J1299/K1299,0),1.3))),"") </f>
        <v/>
      </c>
      <c r="M1299" s="14">
        <f>IFERROR(IF(OR(J1299=0,K1299=""),"",IF(E1299="Positivo",MAX(K1299/J1299,0),MAX(J1299/K1299,0))),"") </f>
        <v/>
      </c>
      <c r="N1299" s="5" t="inlineStr">
        <is>
          <t>%</t>
        </is>
      </c>
      <c r="O1299" s="5" t="inlineStr">
        <is>
          <t>%</t>
        </is>
      </c>
      <c r="P1299" s="15" t="n">
        <v>0</v>
      </c>
      <c r="Q1299" s="15" t="n">
        <v>0</v>
      </c>
      <c r="R1299" s="5" t="inlineStr">
        <is>
          <t>255-2023-12-31</t>
        </is>
      </c>
    </row>
    <row r="1300" hidden="1">
      <c r="A1300" s="21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01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9" t="n">
        <v>15</v>
      </c>
      <c r="L1300" s="14">
        <f>IFERROR(IF(OR(J1300=0,K1300=""),"",IF(E1300="Positivo",MIN(MAX(K1300/J1300,0),1.3),MIN(MAX(J1300/K1300,0),1.3))),"") </f>
        <v/>
      </c>
      <c r="M1300" s="14">
        <f>IFERROR(IF(OR(J1300=0,K1300=""),"",IF(E1300="Positivo",MAX(K1300/J1300,0),MAX(J1300/K1300,0))),"") </f>
        <v/>
      </c>
      <c r="N1300" s="5" t="n"/>
      <c r="O1300" s="5" t="n"/>
      <c r="P1300" s="15" t="n">
        <v>0</v>
      </c>
      <c r="Q1300" s="15" t="n">
        <v>0</v>
      </c>
      <c r="R1300" s="5" t="inlineStr">
        <is>
          <t>255-2024-12-31</t>
        </is>
      </c>
    </row>
    <row r="1301" hidden="1">
      <c r="A1301" s="21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101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/>
      <c r="K1301" s="9" t="n">
        <v>17.5</v>
      </c>
      <c r="L1301" s="14" t="n"/>
      <c r="M1301" s="14" t="n"/>
      <c r="N1301" s="5" t="inlineStr">
        <is>
          <t>ENT</t>
        </is>
      </c>
      <c r="O1301" s="5" t="inlineStr">
        <is>
          <t>ENT</t>
        </is>
      </c>
      <c r="P1301" s="15" t="n">
        <v>0</v>
      </c>
      <c r="Q1301" s="15" t="n">
        <v>0</v>
      </c>
      <c r="R1301" s="5" t="inlineStr">
        <is>
          <t>255-2025-12-31</t>
        </is>
      </c>
    </row>
    <row r="1302" hidden="1">
      <c r="A1302" s="21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01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9" t="n">
        <v>123.52941176471</v>
      </c>
      <c r="L1302" s="14">
        <f>IFERROR(IF(OR(J1302=0,K1302=""),"",IF(E1302="Positivo",MIN(MAX(K1302/J1302,0),1.3),MIN(MAX(J1302/K1302,0),1.3))),"") </f>
        <v/>
      </c>
      <c r="M1302" s="14">
        <f>IFERROR(IF(OR(J1302=0,K1302=""),"",IF(E1302="Positivo",MAX(K1302/J1302,0),MAX(J1302/K1302,0))),"") </f>
        <v/>
      </c>
      <c r="N1302" s="5" t="inlineStr">
        <is>
          <t>ENT</t>
        </is>
      </c>
      <c r="O1302" s="5" t="inlineStr">
        <is>
          <t>ENT</t>
        </is>
      </c>
      <c r="P1302" s="15" t="n">
        <v>0</v>
      </c>
      <c r="Q1302" s="15" t="n">
        <v>0</v>
      </c>
      <c r="R1302" s="5" t="inlineStr">
        <is>
          <t>256-2023-06-30</t>
        </is>
      </c>
    </row>
    <row r="1303" hidden="1">
      <c r="A1303" s="21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01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10" t="n">
        <v>123.53</v>
      </c>
      <c r="L1303" s="14">
        <f>IFERROR(IF(OR(J1303=0,K1303=""),"",IF(E1303="Positivo",MIN(MAX(K1303/J1303,0),1.3),MIN(MAX(J1303/K1303,0),1.3))),"") </f>
        <v/>
      </c>
      <c r="M1303" s="14">
        <f>IFERROR(IF(OR(J1303=0,K1303=""),"",IF(E1303="Positivo",MAX(K1303/J1303,0),MAX(J1303/K1303,0))),"") </f>
        <v/>
      </c>
      <c r="N1303" s="5" t="inlineStr">
        <is>
          <t>ENT</t>
        </is>
      </c>
      <c r="O1303" s="5" t="inlineStr">
        <is>
          <t>ENT</t>
        </is>
      </c>
      <c r="P1303" s="15" t="n">
        <v>0</v>
      </c>
      <c r="Q1303" s="15" t="n">
        <v>0</v>
      </c>
      <c r="R1303" s="5" t="inlineStr">
        <is>
          <t>256-2023-12-31</t>
        </is>
      </c>
    </row>
    <row r="1304" hidden="1">
      <c r="A1304" s="5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01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5" t="n">
        <v>117.65</v>
      </c>
      <c r="L1304" s="14">
        <f>IFERROR(IF(OR(J1304=0,K1304=""),"",IF(E1304="Positivo",MIN(MAX(K1304/J1304,0),1.3),MIN(MAX(J1304/K1304,0),1.3))),"") </f>
        <v/>
      </c>
      <c r="M1304" s="14">
        <f>IFERROR(IF(OR(J1304=0,K1304=""),"",IF(E1304="Positivo",MAX(K1304/J1304,0),MAX(J1304/K1304,0))),"") </f>
        <v/>
      </c>
      <c r="N1304" s="5" t="inlineStr">
        <is>
          <t>ENT</t>
        </is>
      </c>
      <c r="O1304" s="5" t="inlineStr">
        <is>
          <t>ENT</t>
        </is>
      </c>
      <c r="P1304" s="5" t="n">
        <v>0</v>
      </c>
      <c r="Q1304" s="5" t="n">
        <v>0</v>
      </c>
      <c r="R1304" s="5" t="inlineStr">
        <is>
          <t>256-2024-06-30</t>
        </is>
      </c>
    </row>
    <row r="1305" hidden="1">
      <c r="A1305" s="21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01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10" t="n">
        <v>152.94</v>
      </c>
      <c r="L1305" s="14">
        <f>IFERROR(IF(OR(J1305=0,K1305=""),"",IF(E1305="Positivo",MIN(MAX(K1305/J1305,0),1.3),MIN(MAX(J1305/K1305,0),1.3))),"") </f>
        <v/>
      </c>
      <c r="M1305" s="14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ENT</t>
        </is>
      </c>
      <c r="P1305" s="15" t="n">
        <v>0</v>
      </c>
      <c r="Q1305" s="15" t="n">
        <v>0</v>
      </c>
      <c r="R1305" s="5" t="inlineStr">
        <is>
          <t>256-2024-12-31</t>
        </is>
      </c>
    </row>
    <row r="1306" hidden="1">
      <c r="A1306" s="21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Semestral</t>
        </is>
      </c>
      <c r="E1306" s="5" t="inlineStr">
        <is>
          <t>Positivo</t>
        </is>
      </c>
      <c r="F1306" s="101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14">
        <f>IFERROR(IF(OR(J1306=0,K1306=""),"",IF(E1306="Positivo",MIN(MAX(K1306/J1306,0),1.3),MIN(MAX(J1306/K1306,0),1.3))),"") </f>
        <v/>
      </c>
      <c r="M1306" s="14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ENT</t>
        </is>
      </c>
      <c r="P1306" s="15" t="n">
        <v>0</v>
      </c>
      <c r="Q1306" s="15" t="n">
        <v>0</v>
      </c>
      <c r="R1306" s="5" t="inlineStr">
        <is>
          <t>256-2025-06-30</t>
        </is>
      </c>
    </row>
    <row r="1307" hidden="1">
      <c r="A1307" s="21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101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9" t="n">
        <v>170.59</v>
      </c>
      <c r="L1307" s="14">
        <f>IFERROR(IF(OR(J1307=0,K1307=""),"",IF(E1307="Positivo",MIN(MAX(K1307/J1307,0),1.3),MIN(MAX(J1307/K1307,0),1.3))),"") </f>
        <v/>
      </c>
      <c r="M1307" s="14">
        <f>IFERROR(IF(OR(J1307=0,K1307=""),"",IF(E1307="Positivo",MAX(K1307/J1307,0),MAX(J1307/K1307,0))),"") </f>
        <v/>
      </c>
      <c r="N1307" s="5" t="inlineStr">
        <is>
          <t>ENT</t>
        </is>
      </c>
      <c r="O1307" s="5" t="inlineStr">
        <is>
          <t>ENT</t>
        </is>
      </c>
      <c r="P1307" s="15" t="n">
        <v>0</v>
      </c>
      <c r="Q1307" s="15" t="n">
        <v>0</v>
      </c>
      <c r="R1307" s="5" t="inlineStr">
        <is>
          <t>256-2025-12-31</t>
        </is>
      </c>
    </row>
    <row r="1308" hidden="1">
      <c r="A1308" s="21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01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9" t="n">
        <v>15</v>
      </c>
      <c r="L1308" s="14">
        <f>IFERROR(IF(OR(J1308=0,K1308=""),"",IF(E1308="Positivo",MIN(MAX(K1308/J1308,0),1.3),MIN(MAX(J1308/K1308,0),1.3))),"") </f>
        <v/>
      </c>
      <c r="M1308" s="14">
        <f>IFERROR(IF(OR(J1308=0,K1308=""),"",IF(E1308="Positivo",MAX(K1308/J1308,0),MAX(J1308/K1308,0))),"") </f>
        <v/>
      </c>
      <c r="N1308" s="5" t="inlineStr">
        <is>
          <t>ENT</t>
        </is>
      </c>
      <c r="O1308" s="5" t="inlineStr">
        <is>
          <t>ENT</t>
        </is>
      </c>
      <c r="P1308" s="15" t="n">
        <v>0</v>
      </c>
      <c r="Q1308" s="15" t="n">
        <v>0</v>
      </c>
      <c r="R1308" s="5" t="inlineStr">
        <is>
          <t>257-2023-06-30</t>
        </is>
      </c>
    </row>
    <row r="1309" hidden="1">
      <c r="A1309" s="21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101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9" t="n">
        <v>24</v>
      </c>
      <c r="L1309" s="14">
        <f>IFERROR(IF(OR(J1309=0,K1309=""),"",IF(E1309="Positivo",MIN(MAX(K1309/J1309,0),1.3),MIN(MAX(J1309/K1309,0),1.3))),"") </f>
        <v/>
      </c>
      <c r="M1309" s="14">
        <f>IFERROR(IF(OR(J1309=0,K1309=""),"",IF(E1309="Positivo",MAX(K1309/J1309,0),MAX(J1309/K1309,0))),"") </f>
        <v/>
      </c>
      <c r="N1309" s="5" t="inlineStr">
        <is>
          <t>ENT</t>
        </is>
      </c>
      <c r="O1309" s="5" t="inlineStr">
        <is>
          <t>ENT</t>
        </is>
      </c>
      <c r="P1309" s="15" t="n">
        <v>0</v>
      </c>
      <c r="Q1309" s="15" t="n">
        <v>0</v>
      </c>
      <c r="R1309" s="5" t="inlineStr">
        <is>
          <t>257-2023-12-31</t>
        </is>
      </c>
    </row>
    <row r="1310" hidden="1">
      <c r="A1310" s="21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01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10" t="n">
        <v>60.526315789474</v>
      </c>
      <c r="L1310" s="14">
        <f>IFERROR(IF(OR(J1310=0,K1310=""),"",IF(E1310="Positivo",MIN(MAX(K1310/J1310,0),1.3),MIN(MAX(J1310/K1310,0),1.3))),"") </f>
        <v/>
      </c>
      <c r="M1310" s="14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259-2023-06-30</t>
        </is>
      </c>
    </row>
    <row r="1311" hidden="1">
      <c r="A1311" s="5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01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5" t="n">
        <v>68.75</v>
      </c>
      <c r="L1311" s="14">
        <f>IFERROR(IF(OR(J1311=0,K1311=""),"",IF(E1311="Positivo",MIN(MAX(K1311/J1311,0),1.3),MIN(MAX(J1311/K1311,0),1.3))),"") </f>
        <v/>
      </c>
      <c r="M1311" s="14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5" t="n">
        <v>0</v>
      </c>
      <c r="Q1311" s="5" t="n">
        <v>0</v>
      </c>
      <c r="R1311" s="5" t="inlineStr">
        <is>
          <t>259-2023-09-30</t>
        </is>
      </c>
    </row>
    <row r="1312" hidden="1">
      <c r="A1312" s="21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01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10" t="n">
        <v>34.69</v>
      </c>
      <c r="L1312" s="14">
        <f>IFERROR(IF(OR(J1312=0,K1312=""),"",IF(E1312="Positivo",MIN(MAX(K1312/J1312,0),1.3),MIN(MAX(J1312/K1312,0),1.3))),"") </f>
        <v/>
      </c>
      <c r="M1312" s="14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259-2024-06-30</t>
        </is>
      </c>
    </row>
    <row r="1313" hidden="1">
      <c r="A1313" s="21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01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14">
        <f>IFERROR(IF(OR(J1313=0,K1313=""),"",IF(E1313="Positivo",MIN(MAX(K1313/J1313,0),1.3),MIN(MAX(J1313/K1313,0),1.3))),"") </f>
        <v/>
      </c>
      <c r="M1313" s="14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259-2024-09-30</t>
        </is>
      </c>
    </row>
    <row r="1314" hidden="1">
      <c r="A1314" s="21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101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9" t="n">
        <v>78.43000000000001</v>
      </c>
      <c r="L1314" s="14">
        <f>IFERROR(IF(OR(J1314=0,K1314=""),"",IF(E1314="Positivo",MIN(MAX(K1314/J1314,0),1.3),MIN(MAX(J1314/K1314,0),1.3))),"") </f>
        <v/>
      </c>
      <c r="M1314" s="14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5" t="n">
        <v>0</v>
      </c>
      <c r="Q1314" s="15" t="n">
        <v>0</v>
      </c>
      <c r="R1314" s="5" t="inlineStr">
        <is>
          <t>259-2024-12-31</t>
        </is>
      </c>
    </row>
    <row r="1315" hidden="1">
      <c r="A1315" s="21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01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9" t="n">
        <v>2.8</v>
      </c>
      <c r="L1315" s="14">
        <f>IFERROR(IF(OR(J1315=0,K1315=""),"",IF(E1315="Positivo",MIN(MAX(K1315/J1315,0),1.3),MIN(MAX(J1315/K1315,0),1.3))),"") </f>
        <v/>
      </c>
      <c r="M1315" s="14">
        <f>IFERROR(IF(OR(J1315=0,K1315=""),"",IF(E1315="Positivo",MAX(K1315/J1315,0),MAX(J1315/K1315,0))),"") </f>
        <v/>
      </c>
      <c r="N1315" s="5" t="inlineStr">
        <is>
          <t>DEC</t>
        </is>
      </c>
      <c r="O1315" s="5" t="inlineStr">
        <is>
          <t>DEC</t>
        </is>
      </c>
      <c r="P1315" s="15" t="n">
        <v>0</v>
      </c>
      <c r="Q1315" s="15" t="n">
        <v>1</v>
      </c>
      <c r="R1315" s="5" t="inlineStr">
        <is>
          <t>260-2023-06-30</t>
        </is>
      </c>
    </row>
    <row r="1316" hidden="1">
      <c r="A1316" s="21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01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9" t="n">
        <v>2.9</v>
      </c>
      <c r="L1316" s="14">
        <f>IFERROR(IF(OR(J1316=0,K1316=""),"",IF(E1316="Positivo",MIN(MAX(K1316/J1316,0),1.3),MIN(MAX(J1316/K1316,0),1.3))),"") </f>
        <v/>
      </c>
      <c r="M1316" s="14">
        <f>IFERROR(IF(OR(J1316=0,K1316=""),"",IF(E1316="Positivo",MAX(K1316/J1316,0),MAX(J1316/K1316,0))),"") </f>
        <v/>
      </c>
      <c r="N1316" s="5" t="inlineStr">
        <is>
          <t>DEC</t>
        </is>
      </c>
      <c r="O1316" s="5" t="inlineStr">
        <is>
          <t>DEC</t>
        </is>
      </c>
      <c r="P1316" s="15" t="n">
        <v>0</v>
      </c>
      <c r="Q1316" s="15" t="n">
        <v>1</v>
      </c>
      <c r="R1316" s="5" t="inlineStr">
        <is>
          <t>260-2023-12-31</t>
        </is>
      </c>
    </row>
    <row r="1317" hidden="1">
      <c r="A1317" s="21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01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10" t="n">
        <v>2.51</v>
      </c>
      <c r="L1317" s="14">
        <f>IFERROR(IF(OR(J1317=0,K1317=""),"",IF(E1317="Positivo",MIN(MAX(K1317/J1317,0),1.3),MIN(MAX(J1317/K1317,0),1.3))),"") </f>
        <v/>
      </c>
      <c r="M1317" s="14">
        <f>IFERROR(IF(OR(J1317=0,K1317=""),"",IF(E1317="Positivo",MAX(K1317/J1317,0),MAX(J1317/K1317,0))),"") </f>
        <v/>
      </c>
      <c r="N1317" s="5" t="inlineStr">
        <is>
          <t>DEC</t>
        </is>
      </c>
      <c r="O1317" s="5" t="inlineStr">
        <is>
          <t>DEC</t>
        </is>
      </c>
      <c r="P1317" s="15" t="n">
        <v>1</v>
      </c>
      <c r="Q1317" s="15" t="n">
        <v>1</v>
      </c>
      <c r="R1317" s="5" t="inlineStr">
        <is>
          <t>260-2024-06-30</t>
        </is>
      </c>
    </row>
    <row r="1318" hidden="1">
      <c r="A1318" s="5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01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5" t="n">
        <v>2.1</v>
      </c>
      <c r="L1318" s="14">
        <f>IFERROR(IF(OR(J1318=0,K1318=""),"",IF(E1318="Positivo",MIN(MAX(K1318/J1318,0),1.3),MIN(MAX(J1318/K1318,0),1.3))),"") </f>
        <v/>
      </c>
      <c r="M1318" s="14">
        <f>IFERROR(IF(OR(J1318=0,K1318=""),"",IF(E1318="Positivo",MAX(K1318/J1318,0),MAX(J1318/K1318,0))),"") </f>
        <v/>
      </c>
      <c r="N1318" s="5" t="inlineStr">
        <is>
          <t>DEC</t>
        </is>
      </c>
      <c r="O1318" s="5" t="inlineStr">
        <is>
          <t>DEC</t>
        </is>
      </c>
      <c r="P1318" s="5" t="n">
        <v>1</v>
      </c>
      <c r="Q1318" s="5" t="n">
        <v>1</v>
      </c>
      <c r="R1318" s="5" t="inlineStr">
        <is>
          <t>260-2024-12-31</t>
        </is>
      </c>
    </row>
    <row r="1319" hidden="1">
      <c r="A1319" s="21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Semestral</t>
        </is>
      </c>
      <c r="E1319" s="5" t="inlineStr">
        <is>
          <t>Negativo</t>
        </is>
      </c>
      <c r="F1319" s="101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10" t="n">
        <v>1.9</v>
      </c>
      <c r="L1319" s="14">
        <f>IFERROR(IF(OR(J1319=0,K1319=""),"",IF(E1319="Positivo",MIN(MAX(K1319/J1319,0),1.3),MIN(MAX(J1319/K1319,0),1.3))),"") </f>
        <v/>
      </c>
      <c r="M1319" s="14">
        <f>IFERROR(IF(OR(J1319=0,K1319=""),"",IF(E1319="Positivo",MAX(K1319/J1319,0),MAX(J1319/K1319,0))),"") </f>
        <v/>
      </c>
      <c r="N1319" s="5" t="inlineStr">
        <is>
          <t>DEC</t>
        </is>
      </c>
      <c r="O1319" s="5" t="inlineStr">
        <is>
          <t>DEC</t>
        </is>
      </c>
      <c r="P1319" s="15" t="n">
        <v>1</v>
      </c>
      <c r="Q1319" s="15" t="n">
        <v>1</v>
      </c>
      <c r="R1319" s="5" t="inlineStr">
        <is>
          <t>260-2025-06-30</t>
        </is>
      </c>
    </row>
    <row r="1320" hidden="1">
      <c r="A1320" s="21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101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14">
        <f>IFERROR(IF(OR(J1320=0,K1320=""),"",IF(E1320="Positivo",MIN(MAX(K1320/J1320,0),1.3),MIN(MAX(J1320/K1320,0),1.3))),"") </f>
        <v/>
      </c>
      <c r="M1320" s="14">
        <f>IFERROR(IF(OR(J1320=0,K1320=""),"",IF(E1320="Positivo",MAX(K1320/J1320,0),MAX(J1320/K1320,0))),"") </f>
        <v/>
      </c>
      <c r="N1320" s="5" t="inlineStr">
        <is>
          <t>DEC</t>
        </is>
      </c>
      <c r="O1320" s="5" t="inlineStr">
        <is>
          <t>DEC</t>
        </is>
      </c>
      <c r="P1320" s="15" t="n">
        <v>1</v>
      </c>
      <c r="Q1320" s="15" t="n">
        <v>1</v>
      </c>
      <c r="R1320" s="5" t="inlineStr">
        <is>
          <t>260-2025-12-31</t>
        </is>
      </c>
    </row>
    <row r="1321" hidden="1">
      <c r="A1321" s="21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01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9" t="n">
        <v>1.98</v>
      </c>
      <c r="L1321" s="14">
        <f>IFERROR(IF(OR(J1321=0,K1321=""),"",IF(E1321="Positivo",MIN(MAX(K1321/J1321,0),1.3),MIN(MAX(J1321/K1321,0),1.3))),"") </f>
        <v/>
      </c>
      <c r="M1321" s="14">
        <f>IFERROR(IF(OR(J1321=0,K1321=""),"",IF(E1321="Positivo",MAX(K1321/J1321,0),MAX(J1321/K1321,0))),"") </f>
        <v/>
      </c>
      <c r="N1321" s="5" t="inlineStr">
        <is>
          <t>DEC</t>
        </is>
      </c>
      <c r="O1321" s="5" t="inlineStr">
        <is>
          <t>DEC</t>
        </is>
      </c>
      <c r="P1321" s="15" t="n">
        <v>2</v>
      </c>
      <c r="Q1321" s="15" t="n">
        <v>2</v>
      </c>
      <c r="R1321" s="5" t="inlineStr">
        <is>
          <t>261-2023-06-30</t>
        </is>
      </c>
    </row>
    <row r="1322" hidden="1">
      <c r="A1322" s="21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01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9" t="n">
        <v>2.06</v>
      </c>
      <c r="L1322" s="14">
        <f>IFERROR(IF(OR(J1322=0,K1322=""),"",IF(E1322="Positivo",MIN(MAX(K1322/J1322,0),1.3),MIN(MAX(J1322/K1322,0),1.3))),"") </f>
        <v/>
      </c>
      <c r="M1322" s="14">
        <f>IFERROR(IF(OR(J1322=0,K1322=""),"",IF(E1322="Positivo",MAX(K1322/J1322,0),MAX(J1322/K1322,0))),"") </f>
        <v/>
      </c>
      <c r="N1322" s="5" t="inlineStr">
        <is>
          <t>DEC</t>
        </is>
      </c>
      <c r="O1322" s="5" t="inlineStr">
        <is>
          <t>DEC</t>
        </is>
      </c>
      <c r="P1322" s="15" t="n">
        <v>0</v>
      </c>
      <c r="Q1322" s="15" t="n">
        <v>0</v>
      </c>
      <c r="R1322" s="5" t="inlineStr">
        <is>
          <t>261-2023-12-31</t>
        </is>
      </c>
    </row>
    <row r="1323" hidden="1">
      <c r="A1323" s="21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01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9" t="n">
        <v>2.2</v>
      </c>
      <c r="L1323" s="14">
        <f>IFERROR(IF(OR(J1323=0,K1323=""),"",IF(E1323="Positivo",MIN(MAX(K1323/J1323,0),1.3),MIN(MAX(J1323/K1323,0),1.3))),"") </f>
        <v/>
      </c>
      <c r="M1323" s="14">
        <f>IFERROR(IF(OR(J1323=0,K1323=""),"",IF(E1323="Positivo",MAX(K1323/J1323,0),MAX(J1323/K1323,0))),"") </f>
        <v/>
      </c>
      <c r="N1323" s="5" t="inlineStr">
        <is>
          <t>DEC</t>
        </is>
      </c>
      <c r="O1323" s="5" t="inlineStr">
        <is>
          <t>DEC</t>
        </is>
      </c>
      <c r="P1323" s="15" t="n">
        <v>1</v>
      </c>
      <c r="Q1323" s="15" t="n">
        <v>1</v>
      </c>
      <c r="R1323" s="5" t="inlineStr">
        <is>
          <t>261-2024-06-30</t>
        </is>
      </c>
    </row>
    <row r="1324" hidden="1">
      <c r="A1324" s="21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01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10" t="n">
        <v>2.2</v>
      </c>
      <c r="L1324" s="14">
        <f>IFERROR(IF(OR(J1324=0,K1324=""),"",IF(E1324="Positivo",MIN(MAX(K1324/J1324,0),1.3),MIN(MAX(J1324/K1324,0),1.3))),"") </f>
        <v/>
      </c>
      <c r="M1324" s="14">
        <f>IFERROR(IF(OR(J1324=0,K1324=""),"",IF(E1324="Positivo",MAX(K1324/J1324,0),MAX(J1324/K1324,0))),"") </f>
        <v/>
      </c>
      <c r="N1324" s="5" t="inlineStr">
        <is>
          <t>DEC</t>
        </is>
      </c>
      <c r="O1324" s="5" t="inlineStr">
        <is>
          <t>DEC</t>
        </is>
      </c>
      <c r="P1324" s="15" t="n">
        <v>1</v>
      </c>
      <c r="Q1324" s="15" t="n">
        <v>1</v>
      </c>
      <c r="R1324" s="5" t="inlineStr">
        <is>
          <t>261-2024-12-31</t>
        </is>
      </c>
    </row>
    <row r="1325" hidden="1">
      <c r="A1325" s="5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Semestral</t>
        </is>
      </c>
      <c r="E1325" s="5" t="inlineStr">
        <is>
          <t>Negativo</t>
        </is>
      </c>
      <c r="F1325" s="101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5" t="n">
        <v>2.3</v>
      </c>
      <c r="L1325" s="14">
        <f>IFERROR(IF(OR(J1325=0,K1325=""),"",IF(E1325="Positivo",MIN(MAX(K1325/J1325,0),1.3),MIN(MAX(J1325/K1325,0),1.3))),"") </f>
        <v/>
      </c>
      <c r="M1325" s="14">
        <f>IFERROR(IF(OR(J1325=0,K1325=""),"",IF(E1325="Positivo",MAX(K1325/J1325,0),MAX(J1325/K1325,0))),"") </f>
        <v/>
      </c>
      <c r="N1325" s="5" t="inlineStr">
        <is>
          <t>DEC</t>
        </is>
      </c>
      <c r="O1325" s="5" t="inlineStr">
        <is>
          <t>DEC</t>
        </is>
      </c>
      <c r="P1325" s="5" t="n">
        <v>1</v>
      </c>
      <c r="Q1325" s="5" t="n">
        <v>1</v>
      </c>
      <c r="R1325" s="5" t="inlineStr">
        <is>
          <t>261-2025-06-30</t>
        </is>
      </c>
    </row>
    <row r="1326" hidden="1">
      <c r="A1326" s="21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101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10" t="n">
        <v>2.1</v>
      </c>
      <c r="L1326" s="14">
        <f>IFERROR(IF(OR(J1326=0,K1326=""),"",IF(E1326="Positivo",MIN(MAX(K1326/J1326,0),1.3),MIN(MAX(J1326/K1326,0),1.3))),"") </f>
        <v/>
      </c>
      <c r="M1326" s="14">
        <f>IFERROR(IF(OR(J1326=0,K1326=""),"",IF(E1326="Positivo",MAX(K1326/J1326,0),MAX(J1326/K1326,0))),"") </f>
        <v/>
      </c>
      <c r="N1326" s="5" t="inlineStr">
        <is>
          <t>ENT</t>
        </is>
      </c>
      <c r="O1326" s="5" t="inlineStr">
        <is>
          <t>DEC</t>
        </is>
      </c>
      <c r="P1326" s="15" t="n">
        <v>1</v>
      </c>
      <c r="Q1326" s="15" t="n">
        <v>1</v>
      </c>
      <c r="R1326" s="5" t="inlineStr">
        <is>
          <t>261-2025-12-31</t>
        </is>
      </c>
    </row>
    <row r="1327" hidden="1">
      <c r="A1327" s="21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01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14">
        <f>IFERROR(IF(OR(J1327=0,K1327=""),"",IF(E1327="Positivo",MIN(MAX(K1327/J1327,0),1.3),MIN(MAX(J1327/K1327,0),1.3))),"") </f>
        <v/>
      </c>
      <c r="M1327" s="14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262-2023-06-30</t>
        </is>
      </c>
    </row>
    <row r="1328" hidden="1">
      <c r="A1328" s="21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01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9" t="n">
        <v>11.11</v>
      </c>
      <c r="L1328" s="14">
        <f>IFERROR(IF(OR(J1328=0,K1328=""),"",IF(E1328="Positivo",MIN(MAX(K1328/J1328,0),1.3),MIN(MAX(J1328/K1328,0),1.3))),"") </f>
        <v/>
      </c>
      <c r="M1328" s="14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262-2023-12-31</t>
        </is>
      </c>
    </row>
    <row r="1329" hidden="1">
      <c r="A1329" s="21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01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9" t="n">
        <v>0</v>
      </c>
      <c r="L1329" s="14">
        <f>IFERROR(IF(OR(J1329=0,K1329=""),"",IF(E1329="Positivo",MIN(MAX(K1329/J1329,0),1.3),MIN(MAX(J1329/K1329,0),1.3))),"") </f>
        <v/>
      </c>
      <c r="M1329" s="14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262-2024-06-30</t>
        </is>
      </c>
    </row>
    <row r="1330" hidden="1">
      <c r="A1330" s="21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01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9" t="n">
        <v>0</v>
      </c>
      <c r="L1330" s="14">
        <f>IFERROR(IF(OR(J1330=0,K1330=""),"",IF(E1330="Positivo",MIN(MAX(K1330/J1330,0),1.3),MIN(MAX(J1330/K1330,0),1.3))),"") </f>
        <v/>
      </c>
      <c r="M1330" s="14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262-2024-12-31</t>
        </is>
      </c>
    </row>
    <row r="1331" hidden="1">
      <c r="A1331" s="21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Negativo</t>
        </is>
      </c>
      <c r="F1331" s="101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9" t="n">
        <v>0</v>
      </c>
      <c r="L1331" s="14">
        <f>IFERROR(IF(OR(J1331=0,K1331=""),"",IF(E1331="Positivo",MIN(MAX(K1331/J1331,0),1.3),MIN(MAX(J1331/K1331,0),1.3))),"") </f>
        <v/>
      </c>
      <c r="M1331" s="14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262-2025-06-30</t>
        </is>
      </c>
    </row>
    <row r="1332" hidden="1">
      <c r="A1332" s="21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101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9" t="n">
        <v>0</v>
      </c>
      <c r="L1332" s="14">
        <f>IFERROR(IF(OR(J1332=0,K1332=""),"",IF(E1332="Positivo",MIN(MAX(K1332/J1332,0),1.3),MIN(MAX(J1332/K1332,0),1.3))),"") </f>
        <v/>
      </c>
      <c r="M1332" s="14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262-2025-12-31</t>
        </is>
      </c>
    </row>
    <row r="1333" hidden="1">
      <c r="A1333" s="21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01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4">
        <f>IFERROR(IF(OR(J1333=0,K1333=""),"",IF(E1333="Positivo",MIN(MAX(K1333/J1333,0),1.3),MIN(MAX(J1333/K1333,0),1.3))),"") </f>
        <v/>
      </c>
      <c r="M1333" s="14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263-2023-03-31</t>
        </is>
      </c>
    </row>
    <row r="1334" hidden="1">
      <c r="A1334" s="5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01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5" t="n">
        <v>100</v>
      </c>
      <c r="L1334" s="14">
        <f>IFERROR(IF(OR(J1334=0,K1334=""),"",IF(E1334="Positivo",MIN(MAX(K1334/J1334,0),1.3),MIN(MAX(J1334/K1334,0),1.3))),"") </f>
        <v/>
      </c>
      <c r="M1334" s="14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263-2023-06-30</t>
        </is>
      </c>
    </row>
    <row r="1335" hidden="1">
      <c r="A1335" s="21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01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10" t="n">
        <v>100</v>
      </c>
      <c r="L1335" s="14">
        <f>IFERROR(IF(OR(J1335=0,K1335=""),"",IF(E1335="Positivo",MIN(MAX(K1335/J1335,0),1.3),MIN(MAX(J1335/K1335,0),1.3))),"") </f>
        <v/>
      </c>
      <c r="M1335" s="14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263-2023-09-30</t>
        </is>
      </c>
    </row>
    <row r="1336" hidden="1">
      <c r="A1336" s="21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01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0" t="n">
        <v>100</v>
      </c>
      <c r="L1336" s="14">
        <f>IFERROR(IF(OR(J1336=0,K1336=""),"",IF(E1336="Positivo",MIN(MAX(K1336/J1336,0),1.3),MIN(MAX(J1336/K1336,0),1.3))),"") </f>
        <v/>
      </c>
      <c r="M1336" s="14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263-2023-12-31</t>
        </is>
      </c>
    </row>
    <row r="1337" hidden="1">
      <c r="A1337" s="21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00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9" t="n">
        <v>100</v>
      </c>
      <c r="L1337" s="14">
        <f>IFERROR(IF(OR(J1337=0,K1337=""),"",IF(E1337="Positivo",MIN(MAX(K1337/J1337,0),1.3),MIN(MAX(J1337/K1337,0),1.3))),"") </f>
        <v/>
      </c>
      <c r="M1337" s="14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263-2024-03-31</t>
        </is>
      </c>
    </row>
    <row r="1338" hidden="1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01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9" t="n">
        <v>100</v>
      </c>
      <c r="L1338" s="14">
        <f>IFERROR(IF(OR(J1338=0,K1338=""),"",IF(E1338="Positivo",MIN(MAX(K1338/J1338,0),1.3),MIN(MAX(J1338/K1338,0),1.3))),"") </f>
        <v/>
      </c>
      <c r="M1338" s="14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263-2024-06-30</t>
        </is>
      </c>
    </row>
    <row r="1339" hidden="1">
      <c r="A1339" s="21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00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9" t="n">
        <v>100</v>
      </c>
      <c r="L1339" s="14">
        <f>IFERROR(IF(OR(J1339=0,K1339=""),"",IF(E1339="Positivo",MIN(MAX(K1339/J1339,0),1.3),MIN(MAX(J1339/K1339,0),1.3))),"") </f>
        <v/>
      </c>
      <c r="M1339" s="14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263-2024-09-30</t>
        </is>
      </c>
    </row>
    <row r="1340" hidden="1">
      <c r="A1340" s="21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01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10" t="n">
        <v>100</v>
      </c>
      <c r="L1340" s="14">
        <f>IFERROR(IF(OR(J1340=0,K1340=""),"",IF(E1340="Positivo",MIN(MAX(K1340/J1340,0),1.3),MIN(MAX(J1340/K1340,0),1.3))),"") </f>
        <v/>
      </c>
      <c r="M1340" s="14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263-2024-12-31</t>
        </is>
      </c>
    </row>
    <row r="1341" hidden="1">
      <c r="A1341" s="21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00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11" t="n">
        <v>100</v>
      </c>
      <c r="K1341" s="9" t="n">
        <v>100</v>
      </c>
      <c r="L1341" s="14">
        <f>IFERROR(IF(OR(J1341=0,K1341=""),"",IF(E1341="Positivo",MIN(MAX(K1341/J1341,0),1.3),MIN(MAX(J1341/K1341,0),1.3))),"") </f>
        <v/>
      </c>
      <c r="M1341" s="14">
        <f>IFERROR(IF(OR(J1341=0,K1341=""),"",IF(E1341="Positivo",MAX(K1341/J1341,0),MAX(J1341/K1341,0))),"") </f>
        <v/>
      </c>
      <c r="N1341" s="11" t="inlineStr">
        <is>
          <t>%</t>
        </is>
      </c>
      <c r="O1341" s="11" t="inlineStr">
        <is>
          <t>%</t>
        </is>
      </c>
      <c r="P1341" s="15" t="n">
        <v>0</v>
      </c>
      <c r="Q1341" s="15" t="n">
        <v>0</v>
      </c>
      <c r="R1341" s="5" t="inlineStr">
        <is>
          <t>263-2025-03-31</t>
        </is>
      </c>
    </row>
    <row r="1342" hidden="1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Trimestral</t>
        </is>
      </c>
      <c r="E1342" s="5" t="inlineStr">
        <is>
          <t>Positivo</t>
        </is>
      </c>
      <c r="F1342" s="101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5" t="n">
        <v>100</v>
      </c>
      <c r="K1342" s="9" t="n">
        <v>100</v>
      </c>
      <c r="L1342" s="14">
        <f>IFERROR(IF(OR(J1342=0,K1342=""),"",IF(E1342="Positivo",MIN(MAX(K1342/J1342,0),1.3),MIN(MAX(J1342/K1342,0),1.3))),"") </f>
        <v/>
      </c>
      <c r="M1342" s="14">
        <f>IFERROR(IF(OR(J1342=0,K1342=""),"",IF(E1342="Positivo",MAX(K1342/J1342,0),MAX(J1342/K1342,0))),"") </f>
        <v/>
      </c>
      <c r="N1342" s="11" t="inlineStr">
        <is>
          <t>%</t>
        </is>
      </c>
      <c r="O1342" s="11" t="inlineStr">
        <is>
          <t>%</t>
        </is>
      </c>
      <c r="P1342" s="15" t="n">
        <v>0</v>
      </c>
      <c r="Q1342" s="15" t="n">
        <v>0</v>
      </c>
      <c r="R1342" s="5" t="inlineStr">
        <is>
          <t>263-2025-06-30</t>
        </is>
      </c>
    </row>
    <row r="1343" hidden="1">
      <c r="A1343" s="26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01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9" t="n">
        <v>100</v>
      </c>
      <c r="L1343" s="14">
        <f>IFERROR(IF(OR(J1343=0,K1343=""),"",IF(E1343="Positivo",MIN(MAX(K1343/J1343,0),1.3),MIN(MAX(J1343/K1343,0),1.3))),"") </f>
        <v/>
      </c>
      <c r="M1343" s="14">
        <f>IFERROR(IF(OR(J1343=0,K1343=""),"",IF(E1343="Positivo",MAX(K1343/J1343,0),MAX(J1343/K1343,0))),"") </f>
        <v/>
      </c>
      <c r="N1343" s="11" t="inlineStr">
        <is>
          <t>%</t>
        </is>
      </c>
      <c r="O1343" s="11" t="inlineStr">
        <is>
          <t>%</t>
        </is>
      </c>
      <c r="P1343" s="15" t="n">
        <v>0</v>
      </c>
      <c r="Q1343" s="15" t="n">
        <v>0</v>
      </c>
      <c r="R1343" s="5" t="inlineStr">
        <is>
          <t>263-2025-09-30</t>
        </is>
      </c>
    </row>
    <row r="1344" hidden="1">
      <c r="A1344" s="21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01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10" t="n">
        <v>100</v>
      </c>
      <c r="L1344" s="14">
        <f>IFERROR(IF(OR(J1344=0,K1344=""),"",IF(E1344="Positivo",MIN(MAX(K1344/J1344,0),1.3),MIN(MAX(J1344/K1344,0),1.3))),"") </f>
        <v/>
      </c>
      <c r="M1344" s="14">
        <f>IFERROR(IF(OR(J1344=0,K1344=""),"",IF(E1344="Positivo",MAX(K1344/J1344,0),MAX(J1344/K1344,0))),"") </f>
        <v/>
      </c>
      <c r="N1344" s="5" t="inlineStr">
        <is>
          <t>%</t>
        </is>
      </c>
      <c r="O1344" s="5" t="inlineStr">
        <is>
          <t>%</t>
        </is>
      </c>
      <c r="P1344" s="15" t="n">
        <v>0</v>
      </c>
      <c r="Q1344" s="15" t="n">
        <v>0</v>
      </c>
      <c r="R1344" s="5" t="inlineStr">
        <is>
          <t>263-2025-12-31</t>
        </is>
      </c>
    </row>
    <row r="1345" hidden="1">
      <c r="A1345" s="26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01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9" t="n">
        <v>100</v>
      </c>
      <c r="L1345" s="14">
        <f>IFERROR(IF(OR(J1345=0,K1345=""),"",IF(E1345="Positivo",MIN(MAX(K1345/J1345,0),1.3),MIN(MAX(J1345/K1345,0),1.3))),"") </f>
        <v/>
      </c>
      <c r="M1345" s="14">
        <f>IFERROR(IF(OR(J1345=0,K1345=""),"",IF(E1345="Positivo",MAX(K1345/J1345,0),MAX(J1345/K1345,0))),"") </f>
        <v/>
      </c>
      <c r="N1345" s="5" t="inlineStr">
        <is>
          <t>%</t>
        </is>
      </c>
      <c r="O1345" s="5" t="inlineStr">
        <is>
          <t>%</t>
        </is>
      </c>
      <c r="P1345" s="15" t="n">
        <v>0</v>
      </c>
      <c r="Q1345" s="15" t="n">
        <v>0</v>
      </c>
      <c r="R1345" s="5" t="inlineStr">
        <is>
          <t>264-2023-06-30</t>
        </is>
      </c>
    </row>
    <row r="1346" hidden="1">
      <c r="A1346" s="21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01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10" t="n">
        <v>100</v>
      </c>
      <c r="L1346" s="14">
        <f>IFERROR(IF(OR(J1346=0,K1346=""),"",IF(E1346="Positivo",MIN(MAX(K1346/J1346,0),1.3),MIN(MAX(J1346/K1346,0),1.3))),"") </f>
        <v/>
      </c>
      <c r="M1346" s="14">
        <f>IFERROR(IF(OR(J1346=0,K1346=""),"",IF(E1346="Positivo",MAX(K1346/J1346,0),MAX(J1346/K1346,0))),"") </f>
        <v/>
      </c>
      <c r="N1346" s="5" t="inlineStr">
        <is>
          <t>%</t>
        </is>
      </c>
      <c r="O1346" s="5" t="inlineStr">
        <is>
          <t>%</t>
        </is>
      </c>
      <c r="P1346" s="15" t="n">
        <v>0</v>
      </c>
      <c r="Q1346" s="15" t="n">
        <v>0</v>
      </c>
      <c r="R1346" s="5" t="inlineStr">
        <is>
          <t>264-2023-12-31</t>
        </is>
      </c>
    </row>
    <row r="1347" hidden="1">
      <c r="A1347" s="26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01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9" t="n">
        <v>100</v>
      </c>
      <c r="L1347" s="14">
        <f>IFERROR(IF(OR(J1347=0,K1347=""),"",IF(E1347="Positivo",MIN(MAX(K1347/J1347,0),1.3),MIN(MAX(J1347/K1347,0),1.3))),"") </f>
        <v/>
      </c>
      <c r="M1347" s="14">
        <f>IFERROR(IF(OR(J1347=0,K1347=""),"",IF(E1347="Positivo",MAX(K1347/J1347,0),MAX(J1347/K1347,0))),"") </f>
        <v/>
      </c>
      <c r="N1347" s="5" t="inlineStr">
        <is>
          <t>%</t>
        </is>
      </c>
      <c r="O1347" s="5" t="inlineStr">
        <is>
          <t>%</t>
        </is>
      </c>
      <c r="P1347" s="15" t="n">
        <v>0</v>
      </c>
      <c r="Q1347" s="15" t="n">
        <v>0</v>
      </c>
      <c r="R1347" s="5" t="inlineStr">
        <is>
          <t>264-2024-06-30</t>
        </is>
      </c>
    </row>
    <row r="1348" hidden="1">
      <c r="A1348" s="21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01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10" t="n">
        <v>100</v>
      </c>
      <c r="L1348" s="14">
        <f>IFERROR(IF(OR(J1348=0,K1348=""),"",IF(E1348="Positivo",MIN(MAX(K1348/J1348,0),1.3),MIN(MAX(J1348/K1348,0),1.3))),"") </f>
        <v/>
      </c>
      <c r="M1348" s="14">
        <f>IFERROR(IF(OR(J1348=0,K1348=""),"",IF(E1348="Positivo",MAX(K1348/J1348,0),MAX(J1348/K1348,0))),"") </f>
        <v/>
      </c>
      <c r="N1348" s="5" t="inlineStr">
        <is>
          <t>%</t>
        </is>
      </c>
      <c r="O1348" s="5" t="inlineStr">
        <is>
          <t>%</t>
        </is>
      </c>
      <c r="P1348" s="15" t="n">
        <v>0</v>
      </c>
      <c r="Q1348" s="15" t="n">
        <v>0</v>
      </c>
      <c r="R1348" s="5" t="inlineStr">
        <is>
          <t>264-2024-12-31</t>
        </is>
      </c>
    </row>
    <row r="1349" hidden="1">
      <c r="A1349" s="26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01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9" t="n">
        <v>80</v>
      </c>
      <c r="L1349" s="14">
        <f>IFERROR(IF(OR(J1349=0,K1349=""),"",IF(E1349="Positivo",MIN(MAX(K1349/J1349,0),1.3),MIN(MAX(J1349/K1349,0),1.3))),"") </f>
        <v/>
      </c>
      <c r="M1349" s="14">
        <f>IFERROR(IF(OR(J1349=0,K1349=""),"",IF(E1349="Positivo",MAX(K1349/J1349,0),MAX(J1349/K1349,0))),"") </f>
        <v/>
      </c>
      <c r="N1349" s="5" t="inlineStr">
        <is>
          <t>%</t>
        </is>
      </c>
      <c r="O1349" s="5" t="inlineStr">
        <is>
          <t>%</t>
        </is>
      </c>
      <c r="P1349" s="15" t="n">
        <v>0</v>
      </c>
      <c r="Q1349" s="15" t="n">
        <v>0</v>
      </c>
      <c r="R1349" s="5" t="inlineStr">
        <is>
          <t>265-2023-06-30</t>
        </is>
      </c>
    </row>
    <row r="1350" hidden="1">
      <c r="A1350" s="5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01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5" t="n">
        <v>97.13</v>
      </c>
      <c r="L1350" s="14">
        <f>IFERROR(IF(OR(J1350=0,K1350=""),"",IF(E1350="Positivo",MIN(MAX(K1350/J1350,0),1.3),MIN(MAX(J1350/K1350,0),1.3))),"") </f>
        <v/>
      </c>
      <c r="M1350" s="14">
        <f>IFERROR(IF(OR(J1350=0,K1350=""),"",IF(E1350="Positivo",MAX(K1350/J1350,0),MAX(J1350/K1350,0))),"") </f>
        <v/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 t="inlineStr">
        <is>
          <t>265-2023-12-31</t>
        </is>
      </c>
    </row>
    <row r="1351" hidden="1">
      <c r="A1351" s="21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01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10" t="n">
        <v>100</v>
      </c>
      <c r="L1351" s="14">
        <f>IFERROR(IF(OR(J1351=0,K1351=""),"",IF(E1351="Positivo",MIN(MAX(K1351/J1351,0),1.3),MIN(MAX(J1351/K1351,0),1.3))),"") </f>
        <v/>
      </c>
      <c r="M1351" s="14">
        <f>IFERROR(IF(OR(J1351=0,K1351=""),"",IF(E1351="Positivo",MAX(K1351/J1351,0),MAX(J1351/K1351,0))),"") </f>
        <v/>
      </c>
      <c r="N1351" s="5" t="inlineStr">
        <is>
          <t>%</t>
        </is>
      </c>
      <c r="O1351" s="5" t="inlineStr">
        <is>
          <t>%</t>
        </is>
      </c>
      <c r="P1351" s="15" t="n">
        <v>0</v>
      </c>
      <c r="Q1351" s="15" t="n">
        <v>0</v>
      </c>
      <c r="R1351" s="5" t="inlineStr">
        <is>
          <t>265-2024-06-30</t>
        </is>
      </c>
    </row>
    <row r="1352" hidden="1">
      <c r="A1352" s="21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00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9" t="n">
        <v>100</v>
      </c>
      <c r="L1352" s="14">
        <f>IFERROR(IF(OR(J1352=0,K1352=""),"",IF(E1352="Positivo",MIN(MAX(K1352/J1352,0),1.3),MIN(MAX(J1352/K1352,0),1.3))),"") </f>
        <v/>
      </c>
      <c r="M1352" s="14">
        <f>IFERROR(IF(OR(J1352=0,K1352=""),"",IF(E1352="Positivo",MAX(K1352/J1352,0),MAX(J1352/K1352,0))),"") </f>
        <v/>
      </c>
      <c r="N1352" s="5" t="inlineStr">
        <is>
          <t>%</t>
        </is>
      </c>
      <c r="O1352" s="5" t="inlineStr">
        <is>
          <t>%</t>
        </is>
      </c>
      <c r="P1352" s="15" t="n">
        <v>0</v>
      </c>
      <c r="Q1352" s="15" t="n">
        <v>0</v>
      </c>
      <c r="R1352" s="5" t="inlineStr">
        <is>
          <t>265-2024-12-31</t>
        </is>
      </c>
    </row>
    <row r="1353" hidden="1">
      <c r="A1353" s="26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01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9" t="n">
        <v>100</v>
      </c>
      <c r="L1353" s="14">
        <f>IFERROR(IF(OR(J1353=0,K1353=""),"",IF(E1353="Positivo",MIN(MAX(K1353/J1353,0),1.3),MIN(MAX(J1353/K1353,0),1.3))),"") </f>
        <v/>
      </c>
      <c r="M1353" s="14">
        <f>IFERROR(IF(OR(J1353=0,K1353=""),"",IF(E1353="Positivo",MAX(K1353/J1353,0),MAX(J1353/K1353,0))),"") </f>
        <v/>
      </c>
      <c r="N1353" s="5" t="inlineStr">
        <is>
          <t>%</t>
        </is>
      </c>
      <c r="O1353" s="5" t="inlineStr">
        <is>
          <t>%</t>
        </is>
      </c>
      <c r="P1353" s="15" t="n">
        <v>0</v>
      </c>
      <c r="Q1353" s="15" t="n">
        <v>0</v>
      </c>
      <c r="R1353" s="5" t="inlineStr">
        <is>
          <t>265-2025-06-30</t>
        </is>
      </c>
    </row>
    <row r="1354" hidden="1">
      <c r="A1354" s="5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01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5" t="n">
        <v>100</v>
      </c>
      <c r="L1354" s="14">
        <f>IFERROR(IF(OR(J1354=0,K1354=""),"",IF(E1354="Positivo",MIN(MAX(K1354/J1354,0),1.3),MIN(MAX(J1354/K1354,0),1.3))),"") </f>
        <v/>
      </c>
      <c r="M1354" s="14">
        <f>IFERROR(IF(OR(J1354=0,K1354=""),"",IF(E1354="Positivo",MAX(K1354/J1354,0),MAX(J1354/K1354,0))),"") </f>
        <v/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 t="inlineStr">
        <is>
          <t>265-2025-09-30</t>
        </is>
      </c>
    </row>
    <row r="1355" hidden="1">
      <c r="A1355" s="21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01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10" t="n">
        <v>100</v>
      </c>
      <c r="L1355" s="14">
        <f>IFERROR(IF(OR(J1355=0,K1355=""),"",IF(E1355="Positivo",MIN(MAX(K1355/J1355,0),1.3),MIN(MAX(J1355/K1355,0),1.3))),"") </f>
        <v/>
      </c>
      <c r="M1355" s="14">
        <f>IFERROR(IF(OR(J1355=0,K1355=""),"",IF(E1355="Positivo",MAX(K1355/J1355,0),MAX(J1355/K1355,0))),"") </f>
        <v/>
      </c>
      <c r="N1355" s="5" t="inlineStr">
        <is>
          <t>%</t>
        </is>
      </c>
      <c r="O1355" s="5" t="inlineStr">
        <is>
          <t>%</t>
        </is>
      </c>
      <c r="P1355" s="15" t="n">
        <v>0</v>
      </c>
      <c r="Q1355" s="15" t="n">
        <v>0</v>
      </c>
      <c r="R1355" s="5" t="inlineStr">
        <is>
          <t>265-2025-12-31</t>
        </is>
      </c>
    </row>
    <row r="1356" hidden="1">
      <c r="A1356" s="21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00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3" t="n">
        <v>89.907038512616</v>
      </c>
      <c r="L1356" s="14">
        <f>IFERROR(IF(OR(J1356=0,K1356=""),"",IF(E1356="Positivo",MIN(MAX(K1356/J1356,0),1.3),MIN(MAX(J1356/K1356,0),1.3))),"") </f>
        <v/>
      </c>
      <c r="M1356" s="14">
        <f>IFERROR(IF(OR(J1356=0,K1356=""),"",IF(E1356="Positivo",MAX(K1356/J1356,0),MAX(J1356/K1356,0))),"") </f>
        <v/>
      </c>
      <c r="N1356" s="5" t="inlineStr">
        <is>
          <t>%</t>
        </is>
      </c>
      <c r="O1356" s="5" t="inlineStr">
        <is>
          <t>%</t>
        </is>
      </c>
      <c r="P1356" s="15" t="n">
        <v>0</v>
      </c>
      <c r="Q1356" s="15" t="n">
        <v>0</v>
      </c>
      <c r="R1356" s="5" t="inlineStr">
        <is>
          <t>266-2023-06-30</t>
        </is>
      </c>
    </row>
    <row r="1357" hidden="1">
      <c r="A1357" s="26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01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9" t="n">
        <v>97.06999999999999</v>
      </c>
      <c r="L1357" s="14">
        <f>IFERROR(IF(OR(J1357=0,K1357=""),"",IF(E1357="Positivo",MIN(MAX(K1357/J1357,0),1.3),MIN(MAX(J1357/K1357,0),1.3))),"") </f>
        <v/>
      </c>
      <c r="M1357" s="14">
        <f>IFERROR(IF(OR(J1357=0,K1357=""),"",IF(E1357="Positivo",MAX(K1357/J1357,0),MAX(J1357/K1357,0))),"") </f>
        <v/>
      </c>
      <c r="N1357" s="5" t="inlineStr">
        <is>
          <t>%</t>
        </is>
      </c>
      <c r="O1357" s="5" t="inlineStr">
        <is>
          <t>%</t>
        </is>
      </c>
      <c r="P1357" s="15" t="n">
        <v>0</v>
      </c>
      <c r="Q1357" s="15" t="n">
        <v>0</v>
      </c>
      <c r="R1357" s="5" t="inlineStr">
        <is>
          <t>266-2023-12-31</t>
        </is>
      </c>
    </row>
    <row r="1358" hidden="1">
      <c r="A1358" s="5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01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5" t="n">
        <v>95.02</v>
      </c>
      <c r="L1358" s="14">
        <f>IFERROR(IF(OR(J1358=0,K1358=""),"",IF(E1358="Positivo",MIN(MAX(K1358/J1358,0),1.3),MIN(MAX(J1358/K1358,0),1.3))),"") </f>
        <v/>
      </c>
      <c r="M1358" s="14">
        <f>IFERROR(IF(OR(J1358=0,K1358=""),"",IF(E1358="Positivo",MAX(K1358/J1358,0),MAX(J1358/K1358,0))),"") </f>
        <v/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 t="inlineStr">
        <is>
          <t>266-2024-06-30</t>
        </is>
      </c>
    </row>
    <row r="1359" hidden="1">
      <c r="A1359" s="21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01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10" t="n">
        <v>81.93000000000001</v>
      </c>
      <c r="L1359" s="14">
        <f>IFERROR(IF(OR(J1359=0,K1359=""),"",IF(E1359="Positivo",MIN(MAX(K1359/J1359,0),1.3),MIN(MAX(J1359/K1359,0),1.3))),"") </f>
        <v/>
      </c>
      <c r="M1359" s="14">
        <f>IFERROR(IF(OR(J1359=0,K1359=""),"",IF(E1359="Positivo",MAX(K1359/J1359,0),MAX(J1359/K1359,0))),"") </f>
        <v/>
      </c>
      <c r="N1359" s="5" t="inlineStr">
        <is>
          <t>%</t>
        </is>
      </c>
      <c r="O1359" s="5" t="inlineStr">
        <is>
          <t>%</t>
        </is>
      </c>
      <c r="P1359" s="15" t="n">
        <v>0</v>
      </c>
      <c r="Q1359" s="15" t="n">
        <v>0</v>
      </c>
      <c r="R1359" s="5" t="inlineStr">
        <is>
          <t>266-2024-12-31</t>
        </is>
      </c>
    </row>
    <row r="1360" hidden="1">
      <c r="A1360" s="21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00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9" t="n">
        <v>53.15</v>
      </c>
      <c r="L1360" s="14">
        <f>IFERROR(IF(OR(J1360=0,K1360=""),"",IF(E1360="Positivo",MIN(MAX(K1360/J1360,0),1.3),MIN(MAX(J1360/K1360,0),1.3))),"") </f>
        <v/>
      </c>
      <c r="M1360" s="14">
        <f>IFERROR(IF(OR(J1360=0,K1360=""),"",IF(E1360="Positivo",MAX(K1360/J1360,0),MAX(J1360/K1360,0))),"") </f>
        <v/>
      </c>
      <c r="N1360" s="5" t="inlineStr">
        <is>
          <t>%</t>
        </is>
      </c>
      <c r="O1360" s="5" t="inlineStr">
        <is>
          <t>%</t>
        </is>
      </c>
      <c r="P1360" s="15" t="n">
        <v>0</v>
      </c>
      <c r="Q1360" s="15" t="n">
        <v>0</v>
      </c>
      <c r="R1360" s="5" t="inlineStr">
        <is>
          <t>266-2025-06-30</t>
        </is>
      </c>
    </row>
    <row r="1361" hidden="1">
      <c r="A1361" s="26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01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9" t="n">
        <v>80</v>
      </c>
      <c r="L1361" s="14">
        <f>IFERROR(IF(OR(J1361=0,K1361=""),"",IF(E1361="Positivo",MIN(MAX(K1361/J1361,0),1.3),MIN(MAX(J1361/K1361,0),1.3))),"") </f>
        <v/>
      </c>
      <c r="M1361" s="14">
        <f>IFERROR(IF(OR(J1361=0,K1361=""),"",IF(E1361="Positivo",MAX(K1361/J1361,0),MAX(J1361/K1361,0))),"") </f>
        <v/>
      </c>
      <c r="N1361" s="5" t="inlineStr">
        <is>
          <t>%</t>
        </is>
      </c>
      <c r="O1361" s="5" t="inlineStr">
        <is>
          <t>%</t>
        </is>
      </c>
      <c r="P1361" s="15" t="n">
        <v>0</v>
      </c>
      <c r="Q1361" s="15" t="n">
        <v>0</v>
      </c>
      <c r="R1361" s="5" t="inlineStr">
        <is>
          <t>266-2025-09-30</t>
        </is>
      </c>
    </row>
    <row r="1362" hidden="1">
      <c r="A1362" s="5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101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5" t="n">
        <v>95</v>
      </c>
      <c r="K1362" s="5" t="n">
        <v>96.2</v>
      </c>
      <c r="L1362" s="14">
        <f>IFERROR(IF(OR(J1362=0,K1362=""),"",IF(E1362="Positivo",MIN(MAX(K1362/J1362,0),1.3),MIN(MAX(J1362/K1362,0),1.3))),"") </f>
        <v/>
      </c>
      <c r="M1362" s="14">
        <f>IFERROR(IF(OR(J1362=0,K1362=""),"",IF(E1362="Positivo",MAX(K1362/J1362,0),MAX(J1362/K1362,0))),"") </f>
        <v/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 t="inlineStr">
        <is>
          <t>266-2025-12-31</t>
        </is>
      </c>
    </row>
    <row r="1363" hidden="1">
      <c r="A1363" s="21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1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10" t="n">
        <v>661</v>
      </c>
      <c r="L1363" s="14">
        <f>IFERROR(IF(OR(J1363=0,K1363=""),"",IF(E1363="Positivo",MIN(MAX(K1363/J1363,0),1.3),MIN(MAX(J1363/K1363,0),1.3))),"") </f>
        <v/>
      </c>
      <c r="M1363" s="14">
        <f>IFERROR(IF(OR(J1363=0,K1363=""),"",IF(E1363="Positivo",MAX(K1363/J1363,0),MAX(J1363/K1363,0))),"") </f>
        <v/>
      </c>
      <c r="N1363" s="5" t="n"/>
      <c r="O1363" s="5" t="inlineStr">
        <is>
          <t>ENT</t>
        </is>
      </c>
      <c r="P1363" s="15" t="n">
        <v>0</v>
      </c>
      <c r="Q1363" s="15" t="n">
        <v>0</v>
      </c>
      <c r="R1363" s="5" t="inlineStr">
        <is>
          <t>268-2023-06-30</t>
        </is>
      </c>
    </row>
    <row r="1364" hidden="1">
      <c r="A1364" s="21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00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03" t="n">
        <v>727</v>
      </c>
      <c r="L1364" s="14">
        <f>IFERROR(IF(OR(J1364=0,K1364=""),"",IF(E1364="Positivo",MIN(MAX(K1364/J1364,0),1.3),MIN(MAX(J1364/K1364,0),1.3))),"") </f>
        <v/>
      </c>
      <c r="M1364" s="14">
        <f>IFERROR(IF(OR(J1364=0,K1364=""),"",IF(E1364="Positivo",MAX(K1364/J1364,0),MAX(J1364/K1364,0))),"") </f>
        <v/>
      </c>
      <c r="N1364" s="5" t="n"/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268-2023-12-31</t>
        </is>
      </c>
    </row>
    <row r="1365" hidden="1">
      <c r="A1365" s="26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01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103" t="n">
        <v>743</v>
      </c>
      <c r="L1365" s="14">
        <f>IFERROR(IF(OR(J1365=0,K1365=""),"",IF(E1365="Positivo",MIN(MAX(K1365/J1365,0),1.3),MIN(MAX(J1365/K1365,0),1.3))),"") </f>
        <v/>
      </c>
      <c r="M1365" s="14">
        <f>IFERROR(IF(OR(J1365=0,K1365=""),"",IF(E1365="Positivo",MAX(K1365/J1365,0),MAX(J1365/K1365,0))),"") </f>
        <v/>
      </c>
      <c r="N1365" s="5" t="n"/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268-2024-06-30</t>
        </is>
      </c>
    </row>
    <row r="1366" hidden="1">
      <c r="A1366" s="5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101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5" t="n">
        <v>732</v>
      </c>
      <c r="L1366" s="14">
        <f>IFERROR(IF(OR(J1366=0,K1366=""),"",IF(E1366="Positivo",MIN(MAX(K1366/J1366,0),1.3),MIN(MAX(J1366/K1366,0),1.3))),"") </f>
        <v/>
      </c>
      <c r="M1366" s="14">
        <f>IFERROR(IF(OR(J1366=0,K1366=""),"",IF(E1366="Positivo",MAX(K1366/J1366,0),MAX(J1366/K1366,0))),"") </f>
        <v/>
      </c>
      <c r="N1366" s="5" t="n"/>
      <c r="O1366" s="5" t="inlineStr">
        <is>
          <t>ENT</t>
        </is>
      </c>
      <c r="P1366" s="5" t="n">
        <v>0</v>
      </c>
      <c r="Q1366" s="5" t="n">
        <v>0</v>
      </c>
      <c r="R1366" s="5" t="inlineStr">
        <is>
          <t>268-2024-12-31</t>
        </is>
      </c>
    </row>
    <row r="1367" hidden="1">
      <c r="A1367" s="21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01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10" t="n">
        <v>765</v>
      </c>
      <c r="L1367" s="14" t="n"/>
      <c r="M1367" s="14" t="n"/>
      <c r="N1367" s="5" t="inlineStr">
        <is>
          <t>%</t>
        </is>
      </c>
      <c r="O1367" s="5" t="inlineStr">
        <is>
          <t>ENT</t>
        </is>
      </c>
      <c r="P1367" s="15" t="n">
        <v>0</v>
      </c>
      <c r="Q1367" s="15" t="n">
        <v>0</v>
      </c>
      <c r="R1367" s="5" t="inlineStr">
        <is>
          <t>268-2025-06-30</t>
        </is>
      </c>
      <c r="S1367" t="inlineStr">
        <is>
          <t>Metrica</t>
        </is>
      </c>
    </row>
    <row r="1368" hidden="1">
      <c r="A1368" s="21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100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9" t="n"/>
      <c r="K1368" s="9" t="n">
        <v>877</v>
      </c>
      <c r="L1368" s="14" t="n"/>
      <c r="M1368" s="14" t="n"/>
      <c r="N1368" s="5" t="inlineStr">
        <is>
          <t>%</t>
        </is>
      </c>
      <c r="O1368" s="5" t="inlineStr">
        <is>
          <t>ENT</t>
        </is>
      </c>
      <c r="P1368" s="15" t="n">
        <v>0</v>
      </c>
      <c r="Q1368" s="15" t="n">
        <v>0</v>
      </c>
      <c r="R1368" s="5" t="inlineStr">
        <is>
          <t>268-2025-12-31</t>
        </is>
      </c>
      <c r="S1368" t="inlineStr">
        <is>
          <t>Metrica</t>
        </is>
      </c>
    </row>
    <row r="1369" hidden="1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01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9" t="n"/>
      <c r="K1369" s="9" t="n">
        <v>0.4</v>
      </c>
      <c r="L1369" s="14" t="n"/>
      <c r="M1369" s="14" t="n"/>
      <c r="N1369" s="5" t="n"/>
      <c r="O1369" s="5" t="inlineStr">
        <is>
          <t>DEC</t>
        </is>
      </c>
      <c r="P1369" s="15" t="n">
        <v>2</v>
      </c>
      <c r="Q1369" s="15" t="n">
        <v>2</v>
      </c>
      <c r="R1369" s="5" t="inlineStr">
        <is>
          <t>269-2023-06-30</t>
        </is>
      </c>
    </row>
    <row r="1370" hidden="1">
      <c r="A1370" s="26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01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9" t="n"/>
      <c r="K1370" s="103" t="n">
        <v>1.276978417266187</v>
      </c>
      <c r="L1370" s="14" t="n"/>
      <c r="M1370" s="14" t="n"/>
      <c r="N1370" s="5" t="n"/>
      <c r="O1370" s="5" t="inlineStr">
        <is>
          <t>DEC</t>
        </is>
      </c>
      <c r="P1370" s="15" t="n">
        <v>0</v>
      </c>
      <c r="Q1370" s="15" t="n">
        <v>0</v>
      </c>
      <c r="R1370" s="5" t="inlineStr">
        <is>
          <t>269-2023-12-31</t>
        </is>
      </c>
    </row>
    <row r="1371" hidden="1">
      <c r="A1371" s="21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01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/>
      <c r="K1371" s="10" t="n">
        <v>3</v>
      </c>
      <c r="L1371" s="14" t="n"/>
      <c r="M1371" s="14" t="n"/>
      <c r="N1371" s="5" t="n"/>
      <c r="O1371" s="5" t="inlineStr">
        <is>
          <t>DEC</t>
        </is>
      </c>
      <c r="P1371" s="15" t="n">
        <v>2</v>
      </c>
      <c r="Q1371" s="15" t="n">
        <v>2</v>
      </c>
      <c r="R1371" s="5" t="inlineStr">
        <is>
          <t>269-2024-06-30</t>
        </is>
      </c>
    </row>
    <row r="1372" hidden="1">
      <c r="A1372" s="21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101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/>
      <c r="K1372" s="9" t="n">
        <v>1.28</v>
      </c>
      <c r="L1372" s="14" t="n"/>
      <c r="M1372" s="14" t="n"/>
      <c r="N1372" s="5" t="n"/>
      <c r="O1372" s="5" t="inlineStr">
        <is>
          <t>DEC</t>
        </is>
      </c>
      <c r="P1372" s="15" t="n">
        <v>2</v>
      </c>
      <c r="Q1372" s="15" t="n">
        <v>2</v>
      </c>
      <c r="R1372" s="5" t="inlineStr">
        <is>
          <t>269-2024-12-31</t>
        </is>
      </c>
    </row>
    <row r="1373" hidden="1">
      <c r="A1373" s="26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01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9" t="n">
        <v>1.83</v>
      </c>
      <c r="L1373" s="14" t="n"/>
      <c r="M1373" s="14" t="n"/>
      <c r="N1373" s="5" t="inlineStr">
        <is>
          <t>DEC</t>
        </is>
      </c>
      <c r="O1373" s="5" t="inlineStr">
        <is>
          <t>DEC</t>
        </is>
      </c>
      <c r="P1373" s="15" t="n">
        <v>2</v>
      </c>
      <c r="Q1373" s="15" t="n">
        <v>2</v>
      </c>
      <c r="R1373" s="5" t="inlineStr">
        <is>
          <t>269-2025-06-30</t>
        </is>
      </c>
      <c r="S1373" t="inlineStr">
        <is>
          <t>Metrica</t>
        </is>
      </c>
    </row>
    <row r="1374" hidden="1">
      <c r="A1374" s="21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101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10" t="n">
        <v>1.65</v>
      </c>
      <c r="L1374" s="14" t="n"/>
      <c r="M1374" s="14" t="n"/>
      <c r="N1374" s="5" t="inlineStr">
        <is>
          <t>DEC</t>
        </is>
      </c>
      <c r="O1374" s="5" t="inlineStr">
        <is>
          <t>DEC</t>
        </is>
      </c>
      <c r="P1374" s="15" t="n">
        <v>2</v>
      </c>
      <c r="Q1374" s="15" t="n">
        <v>2</v>
      </c>
      <c r="R1374" s="5" t="inlineStr">
        <is>
          <t>269-2025-12-31</t>
        </is>
      </c>
      <c r="S1374" t="inlineStr">
        <is>
          <t>Metrica</t>
        </is>
      </c>
    </row>
    <row r="1375" hidden="1">
      <c r="A1375" s="5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01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5" t="n">
        <v>6.55</v>
      </c>
      <c r="L1375" s="14">
        <f>IFERROR(IF(OR(J1375=0,K1375=""),"",IF(E1375="Positivo",MIN(MAX(K1375/J1375,0),1.3),MIN(MAX(J1375/K1375,0),1.3))),"") </f>
        <v/>
      </c>
      <c r="M1375" s="14">
        <f>IFERROR(IF(OR(J1375=0,K1375=""),"",IF(E1375="Positivo",MAX(K1375/J1375,0),MAX(J1375/K1375,0))),"") </f>
        <v/>
      </c>
      <c r="N1375" s="5" t="inlineStr">
        <is>
          <t>DEC</t>
        </is>
      </c>
      <c r="O1375" s="5" t="inlineStr">
        <is>
          <t>DEC</t>
        </is>
      </c>
      <c r="P1375" s="5" t="n">
        <v>0</v>
      </c>
      <c r="Q1375" s="5" t="n">
        <v>0</v>
      </c>
      <c r="R1375" s="5" t="inlineStr">
        <is>
          <t>270-2023-06-30</t>
        </is>
      </c>
    </row>
    <row r="1376" hidden="1">
      <c r="A1376" s="21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01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10" t="n">
        <v>3.83</v>
      </c>
      <c r="L1376" s="14">
        <f>IFERROR(IF(OR(J1376=0,K1376=""),"",IF(E1376="Positivo",MIN(MAX(K1376/J1376,0),1.3),MIN(MAX(J1376/K1376,0),1.3))),"") </f>
        <v/>
      </c>
      <c r="M1376" s="14">
        <f>IFERROR(IF(OR(J1376=0,K1376=""),"",IF(E1376="Positivo",MAX(K1376/J1376,0),MAX(J1376/K1376,0))),"") </f>
        <v/>
      </c>
      <c r="N1376" s="5" t="inlineStr">
        <is>
          <t>DEC</t>
        </is>
      </c>
      <c r="O1376" s="5" t="inlineStr">
        <is>
          <t>DEC</t>
        </is>
      </c>
      <c r="P1376" s="15" t="n">
        <v>0</v>
      </c>
      <c r="Q1376" s="15" t="n">
        <v>0</v>
      </c>
      <c r="R1376" s="5" t="inlineStr">
        <is>
          <t>270-2023-12-31</t>
        </is>
      </c>
    </row>
    <row r="1377" hidden="1">
      <c r="A1377" s="21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01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0" t="n">
        <v>4.88</v>
      </c>
      <c r="L1377" s="14">
        <f>IFERROR(IF(OR(J1377=0,K1377=""),"",IF(E1377="Positivo",MIN(MAX(K1377/J1377,0),1.3),MIN(MAX(J1377/K1377,0),1.3))),"") </f>
        <v/>
      </c>
      <c r="M1377" s="14">
        <f>IFERROR(IF(OR(J1377=0,K1377=""),"",IF(E1377="Positivo",MAX(K1377/J1377,0),MAX(J1377/K1377,0))),"") </f>
        <v/>
      </c>
      <c r="N1377" s="5" t="n">
        <v>0</v>
      </c>
      <c r="O1377" s="5" t="inlineStr">
        <is>
          <t>ENT</t>
        </is>
      </c>
      <c r="P1377" s="15" t="n">
        <v>1</v>
      </c>
      <c r="Q1377" s="15" t="n">
        <v>1</v>
      </c>
      <c r="R1377" s="5" t="inlineStr">
        <is>
          <t>270-2024-06-30</t>
        </is>
      </c>
    </row>
    <row r="1378" hidden="1">
      <c r="A1378" s="21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101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03" t="n">
        <v>4.57</v>
      </c>
      <c r="L1378" s="14">
        <f>IFERROR(IF(OR(J1378=0,K1378=""),"",IF(E1378="Positivo",MIN(MAX(K1378/J1378,0),1.3),MIN(MAX(J1378/K1378,0),1.3))),"") </f>
        <v/>
      </c>
      <c r="M1378" s="14">
        <f>IFERROR(IF(OR(J1378=0,K1378=""),"",IF(E1378="Positivo",MAX(K1378/J1378,0),MAX(J1378/K1378,0))),"") </f>
        <v/>
      </c>
      <c r="N1378" s="5" t="n">
        <v>0</v>
      </c>
      <c r="O1378" s="5" t="inlineStr">
        <is>
          <t>ENT</t>
        </is>
      </c>
      <c r="P1378" s="15" t="n">
        <v>1</v>
      </c>
      <c r="Q1378" s="15" t="n">
        <v>1</v>
      </c>
      <c r="R1378" s="5" t="inlineStr">
        <is>
          <t>270-2024-12-31</t>
        </is>
      </c>
    </row>
    <row r="1379" hidden="1">
      <c r="A1379" s="26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01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103" t="n">
        <v>4.17</v>
      </c>
      <c r="L1379" s="14" t="n"/>
      <c r="M1379" s="14" t="n"/>
      <c r="N1379" s="5" t="inlineStr">
        <is>
          <t>DEC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270-2025-06-30</t>
        </is>
      </c>
      <c r="S1379" t="inlineStr">
        <is>
          <t>Metrica</t>
        </is>
      </c>
    </row>
    <row r="1380" hidden="1">
      <c r="A1380" s="5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101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5" t="n">
        <v>4.3</v>
      </c>
      <c r="L1380" s="14" t="n"/>
      <c r="M1380" s="14" t="n"/>
      <c r="N1380" s="5" t="inlineStr">
        <is>
          <t>DEC</t>
        </is>
      </c>
      <c r="O1380" s="5" t="inlineStr">
        <is>
          <t>ENT</t>
        </is>
      </c>
      <c r="P1380" s="5" t="n">
        <v>0</v>
      </c>
      <c r="Q1380" s="5" t="n">
        <v>0</v>
      </c>
      <c r="R1380" s="5" t="inlineStr">
        <is>
          <t>270-2025-12-31</t>
        </is>
      </c>
      <c r="S1380" t="inlineStr">
        <is>
          <t>Metrica</t>
        </is>
      </c>
    </row>
    <row r="1381" hidden="1">
      <c r="A1381" s="21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01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0" t="n">
        <v>63.29113924050633</v>
      </c>
      <c r="L1381" s="14">
        <f>IFERROR(IF(OR(J1381=0,K1381=""),"",IF(E1381="Positivo",MIN(MAX(K1381/J1381,0),1.3),MIN(MAX(J1381/K1381,0),1.3))),"") </f>
        <v/>
      </c>
      <c r="M1381" s="14">
        <f>IFERROR(IF(OR(J1381=0,K1381=""),"",IF(E1381="Positivo",MAX(K1381/J1381,0),MAX(J1381/K1381,0))),"") </f>
        <v/>
      </c>
      <c r="N1381" s="5" t="n">
        <v>0</v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271-2023-06-30</t>
        </is>
      </c>
    </row>
    <row r="1382" hidden="1">
      <c r="A1382" s="26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01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9" t="n">
        <v>16.17233646643447</v>
      </c>
      <c r="L1382" s="14">
        <f>IFERROR(IF(OR(J1382=0,K1382=""),"",IF(E1382="Positivo",MIN(MAX(K1382/J1382,0),1.3),MIN(MAX(J1382/K1382,0),1.3))),"") </f>
        <v/>
      </c>
      <c r="M1382" s="14">
        <f>IFERROR(IF(OR(J1382=0,K1382=""),"",IF(E1382="Positivo",MAX(K1382/J1382,0),MAX(J1382/K1382,0))),"") </f>
        <v/>
      </c>
      <c r="N1382" s="5" t="n">
        <v>0</v>
      </c>
      <c r="O1382" s="5" t="inlineStr">
        <is>
          <t>ENT</t>
        </is>
      </c>
      <c r="P1382" s="15" t="n">
        <v>0</v>
      </c>
      <c r="Q1382" s="15" t="n">
        <v>0</v>
      </c>
      <c r="R1382" s="5" t="inlineStr">
        <is>
          <t>271-2023-12-31</t>
        </is>
      </c>
    </row>
    <row r="1383" hidden="1">
      <c r="A1383" s="26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101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9" t="n">
        <v>19.39471652327377</v>
      </c>
      <c r="L1383" s="14">
        <f>IFERROR(IF(OR(J1383=0,K1383=""),"",IF(E1383="Positivo",MIN(MAX(K1383/J1383,0),1.3),MIN(MAX(J1383/K1383,0),1.3))),"") </f>
        <v/>
      </c>
      <c r="M1383" s="14">
        <f>IFERROR(IF(OR(J1383=0,K1383=""),"",IF(E1383="Positivo",MAX(K1383/J1383,0),MAX(J1383/K1383,0))),"") </f>
        <v/>
      </c>
      <c r="N1383" s="5" t="n">
        <v>0</v>
      </c>
      <c r="O1383" s="5" t="inlineStr">
        <is>
          <t>ENT</t>
        </is>
      </c>
      <c r="P1383" s="15" t="n">
        <v>1</v>
      </c>
      <c r="Q1383" s="15" t="n">
        <v>1</v>
      </c>
      <c r="R1383" s="5" t="inlineStr">
        <is>
          <t>271-2024-06-30</t>
        </is>
      </c>
    </row>
    <row r="1384" hidden="1">
      <c r="A1384" s="26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01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9" t="n">
        <v>16.86</v>
      </c>
      <c r="L1384" s="14" t="n"/>
      <c r="M1384" s="14" t="n"/>
      <c r="N1384" s="5" t="n">
        <v>0</v>
      </c>
      <c r="O1384" s="5" t="inlineStr">
        <is>
          <t>ENT</t>
        </is>
      </c>
      <c r="P1384" s="15" t="n">
        <v>0</v>
      </c>
      <c r="Q1384" s="15" t="n">
        <v>0</v>
      </c>
      <c r="R1384" s="5" t="inlineStr">
        <is>
          <t>271-2024-12-31</t>
        </is>
      </c>
      <c r="S1384" t="inlineStr">
        <is>
          <t>Metrica</t>
        </is>
      </c>
    </row>
    <row r="1385" hidden="1">
      <c r="A1385" s="26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01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9" t="n">
        <v>23.85</v>
      </c>
      <c r="L1385" s="14" t="n"/>
      <c r="M1385" s="14" t="n"/>
      <c r="N1385" s="5" t="n">
        <v>0</v>
      </c>
      <c r="O1385" s="5" t="inlineStr">
        <is>
          <t>ENT</t>
        </is>
      </c>
      <c r="P1385" s="15" t="n">
        <v>0</v>
      </c>
      <c r="Q1385" s="15" t="n">
        <v>0</v>
      </c>
      <c r="R1385" s="5" t="inlineStr">
        <is>
          <t>271-2025-06-30</t>
        </is>
      </c>
      <c r="S1385" t="inlineStr">
        <is>
          <t>Metrica</t>
        </is>
      </c>
    </row>
    <row r="1386" hidden="1">
      <c r="A1386" s="21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101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10" t="n">
        <v>19.93</v>
      </c>
      <c r="L1386" s="14" t="n"/>
      <c r="M1386" s="14" t="n"/>
      <c r="N1386" s="5" t="n">
        <v>0</v>
      </c>
      <c r="O1386" s="5" t="inlineStr">
        <is>
          <t>ENT</t>
        </is>
      </c>
      <c r="P1386" s="15" t="n">
        <v>0</v>
      </c>
      <c r="Q1386" s="15" t="n">
        <v>0</v>
      </c>
      <c r="R1386" s="5" t="inlineStr">
        <is>
          <t>271-2025-12-31</t>
        </is>
      </c>
      <c r="S1386" t="inlineStr">
        <is>
          <t>Metrica</t>
        </is>
      </c>
    </row>
    <row r="1387" hidden="1">
      <c r="A1387" s="21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01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10" t="n">
        <v>0</v>
      </c>
      <c r="L1387" s="14">
        <f>IFERROR(IF(OR(J1387=0,K1387=""),"",IF(E1387="Positivo",MIN(MAX(K1387/J1387,0),1.3),MIN(MAX(J1387/K1387,0),1.3))),"") </f>
        <v/>
      </c>
      <c r="M1387" s="14">
        <f>IFERROR(IF(OR(J1387=0,K1387=""),"",IF(E1387="Positivo",MAX(K1387/J1387,0),MAX(J1387/K1387,0))),"") </f>
        <v/>
      </c>
      <c r="N1387" s="5" t="n">
        <v>0</v>
      </c>
      <c r="O1387" s="5" t="inlineStr">
        <is>
          <t>ENT</t>
        </is>
      </c>
      <c r="P1387" s="15" t="n">
        <v>0</v>
      </c>
      <c r="Q1387" s="15" t="n">
        <v>0</v>
      </c>
      <c r="R1387" s="5" t="inlineStr">
        <is>
          <t>272-2023-12-31</t>
        </is>
      </c>
    </row>
    <row r="1388" hidden="1">
      <c r="A1388" s="21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01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14">
        <f>IFERROR(IF(OR(J1388=0,K1388=""),"",IF(E1388="Positivo",MIN(MAX(K1388/J1388,0),1.3),MIN(MAX(J1388/K1388,0),1.3))),"") </f>
        <v/>
      </c>
      <c r="M1388" s="14">
        <f>IFERROR(IF(OR(J1388=0,K1388=""),"",IF(E1388="Positivo",MAX(K1388/J1388,0),MAX(J1388/K1388,0))),"") </f>
        <v/>
      </c>
      <c r="N1388" s="5" t="n"/>
      <c r="O1388" s="5" t="n"/>
      <c r="P1388" s="15" t="n">
        <v>0</v>
      </c>
      <c r="Q1388" s="15" t="n">
        <v>0</v>
      </c>
      <c r="R1388" s="5" t="inlineStr">
        <is>
          <t>272-2024-12-31</t>
        </is>
      </c>
    </row>
    <row r="1389" hidden="1">
      <c r="A1389" s="21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101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0</v>
      </c>
      <c r="K1389" s="10" t="n">
        <v>0</v>
      </c>
      <c r="L1389" s="14">
        <f>IFERROR(IF(OR(J1389=0,K1389=""),"",IF(E1389="Positivo",MIN(MAX(K1389/J1389,0),1.3),MIN(MAX(J1389/K1389,0),1.3))),"") </f>
        <v/>
      </c>
      <c r="M1389" s="14">
        <f>IFERROR(IF(OR(J1389=0,K1389=""),"",IF(E1389="Positivo",MAX(K1389/J1389,0),MAX(J1389/K1389,0))),"") </f>
        <v/>
      </c>
      <c r="N1389" s="5" t="n">
        <v>0</v>
      </c>
      <c r="O1389" s="5" t="inlineStr">
        <is>
          <t>ENT</t>
        </is>
      </c>
      <c r="P1389" s="15" t="n">
        <v>0</v>
      </c>
      <c r="Q1389" s="15" t="n">
        <v>0</v>
      </c>
      <c r="R1389" s="5" t="inlineStr">
        <is>
          <t>272-2025-12-31</t>
        </is>
      </c>
    </row>
    <row r="1390" hidden="1">
      <c r="A1390" s="21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01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100</v>
      </c>
      <c r="K1390" s="10" t="n">
        <v>100</v>
      </c>
      <c r="L1390" s="14">
        <f>IFERROR(IF(OR(J1390=0,K1390=""),"",IF(E1390="Positivo",MIN(MAX(K1390/J1390,0),1.3),MIN(MAX(J1390/K1390,0),1.3))),"") </f>
        <v/>
      </c>
      <c r="M1390" s="14">
        <f>IFERROR(IF(OR(J1390=0,K1390=""),"",IF(E1390="Positivo",MAX(K1390/J1390,0),MAX(J1390/K1390,0))),"") </f>
        <v/>
      </c>
      <c r="N1390" s="5" t="inlineStr">
        <is>
          <t>ENT</t>
        </is>
      </c>
      <c r="O1390" s="5" t="inlineStr">
        <is>
          <t>ENT</t>
        </is>
      </c>
      <c r="P1390" s="15" t="n">
        <v>0</v>
      </c>
      <c r="Q1390" s="15" t="n">
        <v>0</v>
      </c>
      <c r="R1390" s="5" t="inlineStr">
        <is>
          <t>273-2023-06-30</t>
        </is>
      </c>
    </row>
    <row r="1391" hidden="1">
      <c r="A1391" s="5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01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100</v>
      </c>
      <c r="K1391" s="5" t="n">
        <v>100</v>
      </c>
      <c r="L1391" s="14">
        <f>IFERROR(IF(OR(J1391=0,K1391=""),"",IF(E1391="Positivo",MIN(MAX(K1391/J1391,0),1.3),MIN(MAX(J1391/K1391,0),1.3))),"") </f>
        <v/>
      </c>
      <c r="M1391" s="14">
        <f>IFERROR(IF(OR(J1391=0,K1391=""),"",IF(E1391="Positivo",MAX(K1391/J1391,0),MAX(J1391/K1391,0))),"") </f>
        <v/>
      </c>
      <c r="N1391" s="5" t="inlineStr">
        <is>
          <t>ENT</t>
        </is>
      </c>
      <c r="O1391" s="5" t="inlineStr">
        <is>
          <t>ENT</t>
        </is>
      </c>
      <c r="P1391" s="15" t="n">
        <v>0</v>
      </c>
      <c r="Q1391" s="15" t="n">
        <v>0</v>
      </c>
      <c r="R1391" s="5" t="inlineStr">
        <is>
          <t>273-2023-12-31</t>
        </is>
      </c>
    </row>
    <row r="1392" hidden="1">
      <c r="A1392" s="21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01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10" t="n">
        <v>100</v>
      </c>
      <c r="L1392" s="14">
        <f>IFERROR(IF(OR(J1392=0,K1392=""),"",IF(E1392="Positivo",MIN(MAX(K1392/J1392,0),1.3),MIN(MAX(J1392/K1392,0),1.3))),"") </f>
        <v/>
      </c>
      <c r="M1392" s="14">
        <f>IFERROR(IF(OR(J1392=0,K1392=""),"",IF(E1392="Positivo",MAX(K1392/J1392,0),MAX(J1392/K1392,0))),"") </f>
        <v/>
      </c>
      <c r="N1392" s="5" t="inlineStr">
        <is>
          <t>ENT</t>
        </is>
      </c>
      <c r="O1392" s="5" t="inlineStr">
        <is>
          <t>ENT</t>
        </is>
      </c>
      <c r="P1392" s="15" t="n">
        <v>0</v>
      </c>
      <c r="Q1392" s="15" t="n">
        <v>0</v>
      </c>
      <c r="R1392" s="5" t="inlineStr">
        <is>
          <t>273-2024-06-30</t>
        </is>
      </c>
    </row>
    <row r="1393" hidden="1">
      <c r="A1393" s="21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01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0" t="n">
        <v>100</v>
      </c>
      <c r="L1393" s="14">
        <f>IFERROR(IF(OR(J1393=0,K1393=""),"",IF(E1393="Positivo",MIN(MAX(K1393/J1393,0),1.3),MIN(MAX(J1393/K1393,0),1.3))),"") </f>
        <v/>
      </c>
      <c r="M1393" s="14">
        <f>IFERROR(IF(OR(J1393=0,K1393=""),"",IF(E1393="Positivo",MAX(K1393/J1393,0),MAX(J1393/K1393,0))),"") </f>
        <v/>
      </c>
      <c r="N1393" s="5" t="inlineStr">
        <is>
          <t>ENT</t>
        </is>
      </c>
      <c r="O1393" s="5" t="inlineStr">
        <is>
          <t>ENT</t>
        </is>
      </c>
      <c r="P1393" s="15" t="n">
        <v>0</v>
      </c>
      <c r="Q1393" s="15" t="n">
        <v>0</v>
      </c>
      <c r="R1393" s="5" t="inlineStr">
        <is>
          <t>273-2024-12-31</t>
        </is>
      </c>
    </row>
    <row r="1394" hidden="1">
      <c r="A1394" s="21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Semestral</t>
        </is>
      </c>
      <c r="E1394" s="5" t="inlineStr">
        <is>
          <t>Positivo</t>
        </is>
      </c>
      <c r="F1394" s="101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0" t="n">
        <v>150</v>
      </c>
      <c r="L1394" s="14">
        <f>IFERROR(IF(OR(J1394=0,K1394=""),"",IF(E1394="Positivo",MIN(MAX(K1394/J1394,0),1.3),MIN(MAX(J1394/K1394,0),1.3))),"") </f>
        <v/>
      </c>
      <c r="M1394" s="14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ENT</t>
        </is>
      </c>
      <c r="P1394" s="15" t="n">
        <v>0</v>
      </c>
      <c r="Q1394" s="15" t="n">
        <v>0</v>
      </c>
      <c r="R1394" s="5" t="inlineStr">
        <is>
          <t>273-2025-06-30</t>
        </is>
      </c>
    </row>
    <row r="1395" hidden="1">
      <c r="A1395" s="21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101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14">
        <f>IFERROR(IF(OR(J1395=0,K1395=""),"",IF(E1395="Positivo",MIN(MAX(K1395/J1395,0),1.3),MIN(MAX(J1395/K1395,0),1.3))),"") </f>
        <v/>
      </c>
      <c r="M1395" s="14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ENT</t>
        </is>
      </c>
      <c r="P1395" s="15" t="n">
        <v>0</v>
      </c>
      <c r="Q1395" s="15" t="n">
        <v>0</v>
      </c>
      <c r="R1395" s="5" t="inlineStr">
        <is>
          <t>273-2025-12-31</t>
        </is>
      </c>
    </row>
    <row r="1396" hidden="1">
      <c r="A1396" s="21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01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10" t="n">
        <v>97.85502035108701</v>
      </c>
      <c r="L1396" s="14">
        <f>IFERROR(IF(OR(J1396=0,K1396=""),"",IF(E1396="Positivo",MIN(MAX(K1396/J1396,0),1.3),MIN(MAX(J1396/K1396,0),1.3))),"") </f>
        <v/>
      </c>
      <c r="M1396" s="14">
        <f>IFERROR(IF(OR(J1396=0,K1396=""),"",IF(E1396="Positivo",MAX(K1396/J1396,0),MAX(J1396/K1396,0))),"") </f>
        <v/>
      </c>
      <c r="N1396" s="5" t="inlineStr">
        <is>
          <t>ENT</t>
        </is>
      </c>
      <c r="O1396" s="5" t="inlineStr">
        <is>
          <t>ENT</t>
        </is>
      </c>
      <c r="P1396" s="15" t="n">
        <v>0</v>
      </c>
      <c r="Q1396" s="15" t="n">
        <v>0</v>
      </c>
      <c r="R1396" s="5" t="inlineStr">
        <is>
          <t>274-2023-06-30</t>
        </is>
      </c>
    </row>
    <row r="1397" hidden="1">
      <c r="A1397" s="21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01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14">
        <f>IFERROR(IF(OR(J1397=0,K1397=""),"",IF(E1397="Positivo",MIN(MAX(K1397/J1397,0),1.3),MIN(MAX(J1397/K1397,0),1.3))),"") </f>
        <v/>
      </c>
      <c r="M1397" s="14">
        <f>IFERROR(IF(OR(J1397=0,K1397=""),"",IF(E1397="Positivo",MAX(K1397/J1397,0),MAX(J1397/K1397,0))),"") </f>
        <v/>
      </c>
      <c r="N1397" s="5" t="inlineStr">
        <is>
          <t>ENT</t>
        </is>
      </c>
      <c r="O1397" s="5" t="inlineStr">
        <is>
          <t>ENT</t>
        </is>
      </c>
      <c r="P1397" s="15" t="n">
        <v>0</v>
      </c>
      <c r="Q1397" s="15" t="n">
        <v>0</v>
      </c>
      <c r="R1397" s="5" t="inlineStr">
        <is>
          <t>274-2023-12-31</t>
        </is>
      </c>
    </row>
    <row r="1398" hidden="1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01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5" t="n">
        <v>102.33930181631</v>
      </c>
      <c r="L1398" s="14">
        <f>IFERROR(IF(OR(J1398=0,K1398=""),"",IF(E1398="Positivo",MIN(MAX(K1398/J1398,0),1.3),MIN(MAX(J1398/K1398,0),1.3))),"") </f>
        <v/>
      </c>
      <c r="M1398" s="14">
        <f>IFERROR(IF(OR(J1398=0,K1398=""),"",IF(E1398="Positivo",MAX(K1398/J1398,0),MAX(J1398/K1398,0))),"") </f>
        <v/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 t="inlineStr">
        <is>
          <t>274-2024-06-30</t>
        </is>
      </c>
    </row>
    <row r="1399" hidden="1">
      <c r="A1399" s="21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01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0" t="n">
        <v>101.6087500306545</v>
      </c>
      <c r="L1399" s="14">
        <f>IFERROR(IF(OR(J1399=0,K1399=""),"",IF(E1399="Positivo",MIN(MAX(K1399/J1399,0),1.3),MIN(MAX(J1399/K1399,0),1.3))),"") </f>
        <v/>
      </c>
      <c r="M1399" s="14">
        <f>IFERROR(IF(OR(J1399=0,K1399=""),"",IF(E1399="Positivo",MAX(K1399/J1399,0),MAX(J1399/K1399,0))),"") </f>
        <v/>
      </c>
      <c r="N1399" s="5" t="inlineStr">
        <is>
          <t>ENT</t>
        </is>
      </c>
      <c r="O1399" s="5" t="inlineStr">
        <is>
          <t>ENT</t>
        </is>
      </c>
      <c r="P1399" s="15" t="n">
        <v>0</v>
      </c>
      <c r="Q1399" s="15" t="n">
        <v>0</v>
      </c>
      <c r="R1399" s="5" t="inlineStr">
        <is>
          <t>274-2024-12-31</t>
        </is>
      </c>
    </row>
    <row r="1400" hidden="1">
      <c r="A1400" s="26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Semestral</t>
        </is>
      </c>
      <c r="E1400" s="5" t="inlineStr">
        <is>
          <t>Positivo</t>
        </is>
      </c>
      <c r="F1400" s="101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03" t="n">
        <v>105.8</v>
      </c>
      <c r="L1400" s="14">
        <f>IFERROR(IF(OR(J1400=0,K1400=""),"",IF(E1400="Positivo",MIN(MAX(K1400/J1400,0),1.3),MIN(MAX(J1400/K1400,0),1.3))),"") </f>
        <v/>
      </c>
      <c r="M1400" s="14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ENT</t>
        </is>
      </c>
      <c r="P1400" s="15" t="n">
        <v>0</v>
      </c>
      <c r="Q1400" s="15" t="n">
        <v>0</v>
      </c>
      <c r="R1400" s="5" t="inlineStr">
        <is>
          <t>274-2025-06-30</t>
        </is>
      </c>
    </row>
    <row r="1401" hidden="1">
      <c r="A1401" s="26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Semestral</t>
        </is>
      </c>
      <c r="E1401" s="5" t="inlineStr">
        <is>
          <t>Positivo</t>
        </is>
      </c>
      <c r="F1401" s="101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3" t="n">
        <v>102.03</v>
      </c>
      <c r="L1401" s="14">
        <f>IFERROR(IF(OR(J1401=0,K1401=""),"",IF(E1401="Positivo",MIN(MAX(K1401/J1401,0),1.3),MIN(MAX(J1401/K1401,0),1.3))),"") </f>
        <v/>
      </c>
      <c r="M1401" s="14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ENT</t>
        </is>
      </c>
      <c r="P1401" s="15" t="n">
        <v>0</v>
      </c>
      <c r="Q1401" s="15" t="n">
        <v>0</v>
      </c>
      <c r="R1401" s="5" t="inlineStr">
        <is>
          <t>274-2025-12-31</t>
        </is>
      </c>
    </row>
    <row r="1402" hidden="1">
      <c r="A1402" s="26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01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103" t="n"/>
      <c r="L1402" s="14" t="n"/>
      <c r="M1402" s="8" t="n"/>
      <c r="N1402" s="5" t="inlineStr">
        <is>
          <t>%</t>
        </is>
      </c>
      <c r="O1402" s="5" t="inlineStr">
        <is>
          <t>No Aplica</t>
        </is>
      </c>
      <c r="P1402" s="15" t="n">
        <v>0</v>
      </c>
      <c r="Q1402" s="15" t="n">
        <v>0</v>
      </c>
      <c r="R1402" s="5" t="inlineStr">
        <is>
          <t>275-2023-03-31</t>
        </is>
      </c>
      <c r="S1402" t="inlineStr">
        <is>
          <t>No Aplica</t>
        </is>
      </c>
    </row>
    <row r="1403" hidden="1">
      <c r="A1403" s="26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01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3" t="n"/>
      <c r="L1403" s="14" t="n"/>
      <c r="M1403" s="14" t="n"/>
      <c r="N1403" s="5" t="inlineStr">
        <is>
          <t>%</t>
        </is>
      </c>
      <c r="O1403" s="5" t="inlineStr">
        <is>
          <t>No Aplica</t>
        </is>
      </c>
      <c r="P1403" s="15" t="n">
        <v>0</v>
      </c>
      <c r="Q1403" s="15" t="n">
        <v>0</v>
      </c>
      <c r="R1403" s="5" t="inlineStr">
        <is>
          <t>275-2023-06-30</t>
        </is>
      </c>
      <c r="S1403" t="inlineStr">
        <is>
          <t>No Aplica</t>
        </is>
      </c>
    </row>
    <row r="1404" hidden="1">
      <c r="A1404" s="26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01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3" t="n"/>
      <c r="L1404" s="14" t="n"/>
      <c r="M1404" s="8" t="n"/>
      <c r="N1404" s="5" t="inlineStr">
        <is>
          <t>%</t>
        </is>
      </c>
      <c r="O1404" s="5" t="inlineStr">
        <is>
          <t>No Aplica</t>
        </is>
      </c>
      <c r="P1404" s="15" t="n">
        <v>0</v>
      </c>
      <c r="Q1404" s="15" t="n">
        <v>0</v>
      </c>
      <c r="R1404" s="5" t="inlineStr">
        <is>
          <t>275-2023-09-30</t>
        </is>
      </c>
      <c r="S1404" t="inlineStr">
        <is>
          <t>No Aplica</t>
        </is>
      </c>
    </row>
    <row r="1405" hidden="1">
      <c r="A1405" s="26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101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103" t="n">
        <v>0</v>
      </c>
      <c r="L1405" s="14">
        <f>IFERROR(IF(OR(J1405=0,K1405=""),"",IF(E1405="Positivo",MIN(MAX(K1405/J1405,0),1.3),MIN(MAX(J1405/K1405,0),1.3))),"") </f>
        <v/>
      </c>
      <c r="M1405" s="14">
        <f>IFERROR(IF(OR(J1405=0,K1405=""),"",IF(E1405="Positivo",MAX(K1405/J1405,0),MAX(J1405/K1405,0))),"") </f>
        <v/>
      </c>
      <c r="N1405" s="5" t="inlineStr">
        <is>
          <t>%</t>
        </is>
      </c>
      <c r="O1405" s="5" t="inlineStr">
        <is>
          <t>%</t>
        </is>
      </c>
      <c r="P1405" s="15" t="n">
        <v>0</v>
      </c>
      <c r="Q1405" s="15" t="n">
        <v>0</v>
      </c>
      <c r="R1405" s="5" t="inlineStr">
        <is>
          <t>275-2023-12-31</t>
        </is>
      </c>
    </row>
    <row r="1406" hidden="1">
      <c r="A1406" s="21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01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0" t="n">
        <v>103.75</v>
      </c>
      <c r="L1406" s="14">
        <f>IFERROR(IF(OR(J1406=0,K1406=""),"",IF(E1406="Positivo",MIN(MAX(K1406/J1406,0),1.3),MIN(MAX(J1406/K1406,0),1.3))),"") </f>
        <v/>
      </c>
      <c r="M1406" s="14">
        <f>IFERROR(IF(OR(J1406=0,K1406=""),"",IF(E1406="Positivo",MAX(K1406/J1406,0),MAX(J1406/K1406,0))),"") </f>
        <v/>
      </c>
      <c r="N1406" s="5" t="inlineStr">
        <is>
          <t>%</t>
        </is>
      </c>
      <c r="O1406" s="5" t="inlineStr">
        <is>
          <t>%</t>
        </is>
      </c>
      <c r="P1406" s="15" t="n">
        <v>0</v>
      </c>
      <c r="Q1406" s="15" t="n">
        <v>0</v>
      </c>
      <c r="R1406" s="5" t="inlineStr">
        <is>
          <t>275-2024-06-30</t>
        </is>
      </c>
    </row>
    <row r="1407" hidden="1">
      <c r="A1407" s="21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01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10" t="n">
        <v>109.58</v>
      </c>
      <c r="L1407" s="14">
        <f>IFERROR(IF(OR(J1407=0,K1407=""),"",IF(E1407="Positivo",MIN(MAX(K1407/J1407,0),1.3),MIN(MAX(J1407/K1407,0),1.3))),"") </f>
        <v/>
      </c>
      <c r="M1407" s="14">
        <f>IFERROR(IF(OR(J1407=0,K1407=""),"",IF(E1407="Positivo",MAX(K1407/J1407,0),MAX(J1407/K1407,0))),"") </f>
        <v/>
      </c>
      <c r="N1407" s="5" t="inlineStr">
        <is>
          <t>%</t>
        </is>
      </c>
      <c r="O1407" s="5" t="inlineStr">
        <is>
          <t>%</t>
        </is>
      </c>
      <c r="P1407" s="15" t="n">
        <v>0</v>
      </c>
      <c r="Q1407" s="15" t="n">
        <v>0</v>
      </c>
      <c r="R1407" s="5" t="inlineStr">
        <is>
          <t>275-2024-12-31</t>
        </is>
      </c>
    </row>
    <row r="1408" hidden="1">
      <c r="A1408" s="21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Semestral</t>
        </is>
      </c>
      <c r="E1408" s="5" t="inlineStr">
        <is>
          <t>Positivo</t>
        </is>
      </c>
      <c r="F1408" s="101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10" t="n">
        <v>90</v>
      </c>
      <c r="L1408" s="14">
        <f>IFERROR(IF(OR(J1408=0,K1408=""),"",IF(E1408="Positivo",MIN(MAX(K1408/J1408,0),1.3),MIN(MAX(J1408/K1408,0),1.3))),"") </f>
        <v/>
      </c>
      <c r="M1408" s="14">
        <f>IFERROR(IF(OR(J1408=0,K1408=""),"",IF(E1408="Positivo",MAX(K1408/J1408,0),MAX(J1408/K1408,0))),"") </f>
        <v/>
      </c>
      <c r="N1408" s="5" t="inlineStr">
        <is>
          <t>%</t>
        </is>
      </c>
      <c r="O1408" s="5" t="inlineStr">
        <is>
          <t>%</t>
        </is>
      </c>
      <c r="P1408" s="15" t="n">
        <v>0</v>
      </c>
      <c r="Q1408" s="15" t="n">
        <v>0</v>
      </c>
      <c r="R1408" s="5" t="inlineStr">
        <is>
          <t>275-2025-06-30</t>
        </is>
      </c>
    </row>
    <row r="1409" hidden="1">
      <c r="A1409" s="21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101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10" t="n">
        <v>91.67</v>
      </c>
      <c r="L1409" s="14">
        <f>IFERROR(IF(OR(J1409=0,K1409=""),"",IF(E1409="Positivo",MIN(MAX(K1409/J1409,0),1.3),MIN(MAX(J1409/K1409,0),1.3))),"") </f>
        <v/>
      </c>
      <c r="M1409" s="14">
        <f>IFERROR(IF(OR(J1409=0,K1409=""),"",IF(E1409="Positivo",MAX(K1409/J1409,0),MAX(J1409/K1409,0))),"") </f>
        <v/>
      </c>
      <c r="N1409" s="5" t="inlineStr">
        <is>
          <t>%</t>
        </is>
      </c>
      <c r="O1409" s="5" t="inlineStr">
        <is>
          <t>%</t>
        </is>
      </c>
      <c r="P1409" s="15" t="n">
        <v>0</v>
      </c>
      <c r="Q1409" s="15" t="n">
        <v>0</v>
      </c>
      <c r="R1409" s="5" t="inlineStr">
        <is>
          <t>275-2025-12-31</t>
        </is>
      </c>
    </row>
    <row r="1410" hidden="1">
      <c r="A1410" s="21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01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10" t="n">
        <v>89.98999999999999</v>
      </c>
      <c r="L1410" s="14">
        <f>IFERROR(IF(OR(J1410=0,K1410=""),"",IF(E1410="Positivo",MIN(MAX(K1410/J1410,0),1.3),MIN(MAX(J1410/K1410,0),1.3))),"") </f>
        <v/>
      </c>
      <c r="M1410" s="14">
        <f>IFERROR(IF(OR(J1410=0,K1410=""),"",IF(E1410="Positivo",MAX(K1410/J1410,0),MAX(J1410/K1410,0))),"") </f>
        <v/>
      </c>
      <c r="N1410" s="5" t="n"/>
      <c r="O1410" s="5" t="n"/>
      <c r="P1410" s="15" t="n">
        <v>0</v>
      </c>
      <c r="Q1410" s="15" t="n">
        <v>0</v>
      </c>
      <c r="R1410" s="5" t="inlineStr">
        <is>
          <t>276-2023-06-30</t>
        </is>
      </c>
    </row>
    <row r="1411" hidden="1">
      <c r="A1411" s="5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01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5" t="n">
        <v>84.5</v>
      </c>
      <c r="L1411" s="14">
        <f>IFERROR(IF(OR(J1411=0,K1411=""),"",IF(E1411="Positivo",MIN(MAX(K1411/J1411,0),1.3),MIN(MAX(J1411/K1411,0),1.3))),"") </f>
        <v/>
      </c>
      <c r="M1411" s="14">
        <f>IFERROR(IF(OR(J1411=0,K1411=""),"",IF(E1411="Positivo",MAX(K1411/J1411,0),MAX(J1411/K1411,0))),"") </f>
        <v/>
      </c>
      <c r="N1411" s="5" t="n"/>
      <c r="O1411" s="5" t="n"/>
      <c r="P1411" s="15" t="n">
        <v>1</v>
      </c>
      <c r="Q1411" s="15" t="n">
        <v>1</v>
      </c>
      <c r="R1411" s="5" t="inlineStr">
        <is>
          <t>276-2023-12-31</t>
        </is>
      </c>
    </row>
    <row r="1412" hidden="1">
      <c r="A1412" s="21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01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10" t="n">
        <v>83.65000000000001</v>
      </c>
      <c r="L1412" s="14">
        <f>IFERROR(IF(OR(J1412=0,K1412=""),"",IF(E1412="Positivo",MIN(MAX(K1412/J1412,0),1.3),MIN(MAX(J1412/K1412,0),1.3))),"") </f>
        <v/>
      </c>
      <c r="M1412" s="14">
        <f>IFERROR(IF(OR(J1412=0,K1412=""),"",IF(E1412="Positivo",MAX(K1412/J1412,0),MAX(J1412/K1412,0))),"") </f>
        <v/>
      </c>
      <c r="N1412" s="5" t="inlineStr">
        <is>
          <t>DEC</t>
        </is>
      </c>
      <c r="O1412" s="5" t="inlineStr">
        <is>
          <t>DEC</t>
        </is>
      </c>
      <c r="P1412" s="15" t="n">
        <v>0</v>
      </c>
      <c r="Q1412" s="15" t="n">
        <v>0</v>
      </c>
      <c r="R1412" s="5" t="inlineStr">
        <is>
          <t>276-2024-06-30</t>
        </is>
      </c>
    </row>
    <row r="1413" hidden="1">
      <c r="A1413" s="21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01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14">
        <f>IFERROR(IF(OR(J1413=0,K1413=""),"",IF(E1413="Positivo",MIN(MAX(K1413/J1413,0),1.3),MIN(MAX(J1413/K1413,0),1.3))),"") </f>
        <v/>
      </c>
      <c r="M1413" s="14">
        <f>IFERROR(IF(OR(J1413=0,K1413=""),"",IF(E1413="Positivo",MAX(K1413/J1413,0),MAX(J1413/K1413,0))),"") </f>
        <v/>
      </c>
      <c r="N1413" s="5" t="inlineStr">
        <is>
          <t>DEC</t>
        </is>
      </c>
      <c r="O1413" s="5" t="inlineStr">
        <is>
          <t>DEC</t>
        </is>
      </c>
      <c r="P1413" s="15" t="n">
        <v>0</v>
      </c>
      <c r="Q1413" s="15" t="n">
        <v>0</v>
      </c>
      <c r="R1413" s="5" t="inlineStr">
        <is>
          <t>276-2024-12-31</t>
        </is>
      </c>
    </row>
    <row r="1414" hidden="1">
      <c r="A1414" s="21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Negativo</t>
        </is>
      </c>
      <c r="F1414" s="101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14">
        <f>IFERROR(IF(OR(J1414=0,K1414=""),"",IF(E1414="Positivo",MIN(MAX(K1414/J1414,0),1.3),MIN(MAX(J1414/K1414,0),1.3))),"") </f>
        <v/>
      </c>
      <c r="M1414" s="14">
        <f>IFERROR(IF(OR(J1414=0,K1414=""),"",IF(E1414="Positivo",MAX(K1414/J1414,0),MAX(J1414/K1414,0))),"") </f>
        <v/>
      </c>
      <c r="N1414" s="5" t="inlineStr">
        <is>
          <t>ENT</t>
        </is>
      </c>
      <c r="O1414" s="5" t="inlineStr">
        <is>
          <t>DEC</t>
        </is>
      </c>
      <c r="P1414" s="15" t="n">
        <v>0</v>
      </c>
      <c r="Q1414" s="15" t="n">
        <v>1</v>
      </c>
      <c r="R1414" s="5" t="inlineStr">
        <is>
          <t>276-2025-06-30</t>
        </is>
      </c>
    </row>
    <row r="1415" hidden="1">
      <c r="A1415" s="21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101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14">
        <f>IFERROR(IF(OR(J1415=0,K1415=""),"",IF(E1415="Positivo",MIN(MAX(K1415/J1415,0),1.3),MIN(MAX(J1415/K1415,0),1.3))),"") </f>
        <v/>
      </c>
      <c r="M1415" s="14">
        <f>IFERROR(IF(OR(J1415=0,K1415=""),"",IF(E1415="Positivo",MAX(K1415/J1415,0),MAX(J1415/K1415,0))),"") </f>
        <v/>
      </c>
      <c r="N1415" s="5" t="inlineStr">
        <is>
          <t>ENT</t>
        </is>
      </c>
      <c r="O1415" s="5" t="inlineStr">
        <is>
          <t>DEC</t>
        </is>
      </c>
      <c r="P1415" s="15" t="n">
        <v>0</v>
      </c>
      <c r="Q1415" s="15" t="n">
        <v>1</v>
      </c>
      <c r="R1415" s="5" t="inlineStr">
        <is>
          <t>276-2025-12-31</t>
        </is>
      </c>
    </row>
    <row r="1416" hidden="1">
      <c r="A1416" s="21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01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14">
        <f>IFERROR(IF(OR(J1416=0,K1416=""),"",IF(E1416="Positivo",MIN(MAX(K1416/J1416,0),1.3),MIN(MAX(J1416/K1416,0),1.3))),"") </f>
        <v/>
      </c>
      <c r="M1416" s="14">
        <f>IFERROR(IF(OR(J1416=0,K1416=""),"",IF(E1416="Positivo",MAX(K1416/J1416,0),MAX(J1416/K1416,0))),"") </f>
        <v/>
      </c>
      <c r="N1416" s="5" t="inlineStr">
        <is>
          <t>DEC</t>
        </is>
      </c>
      <c r="O1416" s="5" t="inlineStr">
        <is>
          <t>DEC</t>
        </is>
      </c>
      <c r="P1416" s="15" t="n">
        <v>0</v>
      </c>
      <c r="Q1416" s="15" t="n">
        <v>0</v>
      </c>
      <c r="R1416" s="5" t="inlineStr">
        <is>
          <t>277-2023-06-30</t>
        </is>
      </c>
    </row>
    <row r="1417" hidden="1">
      <c r="A1417" s="21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01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14">
        <f>IFERROR(IF(OR(J1417=0,K1417=""),"",IF(E1417="Positivo",MIN(MAX(K1417/J1417,0),1.3),MIN(MAX(J1417/K1417,0),1.3))),"") </f>
        <v/>
      </c>
      <c r="M1417" s="14">
        <f>IFERROR(IF(OR(J1417=0,K1417=""),"",IF(E1417="Positivo",MAX(K1417/J1417,0),MAX(J1417/K1417,0))),"") </f>
        <v/>
      </c>
      <c r="N1417" s="5" t="inlineStr">
        <is>
          <t>DEC</t>
        </is>
      </c>
      <c r="O1417" s="5" t="inlineStr">
        <is>
          <t>DEC</t>
        </is>
      </c>
      <c r="P1417" s="15" t="n">
        <v>0</v>
      </c>
      <c r="Q1417" s="15" t="n">
        <v>0</v>
      </c>
      <c r="R1417" s="5" t="inlineStr">
        <is>
          <t>277-2023-12-31</t>
        </is>
      </c>
    </row>
    <row r="1418" hidden="1">
      <c r="A1418" s="21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01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9" t="n">
        <v>71.18000000000001</v>
      </c>
      <c r="L1418" s="14">
        <f>IFERROR(IF(OR(J1418=0,K1418=""),"",IF(E1418="Positivo",MIN(MAX(K1418/J1418,0),1.3),MIN(MAX(J1418/K1418,0),1.3))),"") </f>
        <v/>
      </c>
      <c r="M1418" s="14">
        <f>IFERROR(IF(OR(J1418=0,K1418=""),"",IF(E1418="Positivo",MAX(K1418/J1418,0),MAX(J1418/K1418,0))),"") </f>
        <v/>
      </c>
      <c r="N1418" s="5" t="inlineStr">
        <is>
          <t>DEC</t>
        </is>
      </c>
      <c r="O1418" s="5" t="inlineStr">
        <is>
          <t>DEC</t>
        </is>
      </c>
      <c r="P1418" s="15" t="n">
        <v>0</v>
      </c>
      <c r="Q1418" s="15" t="n">
        <v>0</v>
      </c>
      <c r="R1418" s="5" t="inlineStr">
        <is>
          <t>277-2024-06-30</t>
        </is>
      </c>
    </row>
    <row r="1419" hidden="1">
      <c r="A1419" s="5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01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5" t="n">
        <v>71.23999999999999</v>
      </c>
      <c r="L1419" s="14">
        <f>IFERROR(IF(OR(J1419=0,K1419=""),"",IF(E1419="Positivo",MIN(MAX(K1419/J1419,0),1.3),MIN(MAX(J1419/K1419,0),1.3))),"") </f>
        <v/>
      </c>
      <c r="M1419" s="14">
        <f>IFERROR(IF(OR(J1419=0,K1419=""),"",IF(E1419="Positivo",MAX(K1419/J1419,0),MAX(J1419/K1419,0))),"") </f>
        <v/>
      </c>
      <c r="N1419" s="5" t="inlineStr">
        <is>
          <t>DEC</t>
        </is>
      </c>
      <c r="O1419" s="5" t="inlineStr">
        <is>
          <t>DEC</t>
        </is>
      </c>
      <c r="P1419" s="5" t="n">
        <v>0</v>
      </c>
      <c r="Q1419" s="5" t="n">
        <v>0</v>
      </c>
      <c r="R1419" s="5" t="inlineStr">
        <is>
          <t>277-2024-12-31</t>
        </is>
      </c>
    </row>
    <row r="1420" hidden="1">
      <c r="A1420" s="21" t="n">
        <v>277</v>
      </c>
      <c r="B1420" s="5" t="inlineStr">
        <is>
          <t>Relación estudiante docente Tiempo Completo Equivalente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Negativo</t>
        </is>
      </c>
      <c r="F1420" s="101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14">
        <f>IFERROR(IF(OR(J1420=0,K1420=""),"",IF(E1420="Positivo",MIN(MAX(K1420/J1420,0),1.3),MIN(MAX(J1420/K1420,0),1.3))),"") </f>
        <v/>
      </c>
      <c r="M1420" s="14">
        <f>IFERROR(IF(OR(J1420=0,K1420=""),"",IF(E1420="Positivo",MAX(K1420/J1420,0),MAX(J1420/K1420,0))),"") </f>
        <v/>
      </c>
      <c r="N1420" s="5" t="inlineStr">
        <is>
          <t>DEC</t>
        </is>
      </c>
      <c r="O1420" s="5" t="inlineStr">
        <is>
          <t>DEC</t>
        </is>
      </c>
      <c r="P1420" s="15" t="n">
        <v>0</v>
      </c>
      <c r="Q1420" s="15" t="n">
        <v>0</v>
      </c>
      <c r="R1420" s="5" t="inlineStr">
        <is>
          <t>277-2025-06-30</t>
        </is>
      </c>
    </row>
    <row r="1421" hidden="1">
      <c r="A1421" s="26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101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9" t="n">
        <v>68.40000000000001</v>
      </c>
      <c r="L1421" s="14">
        <f>IFERROR(IF(OR(J1421=0,K1421=""),"",IF(E1421="Positivo",MIN(MAX(K1421/J1421,0),1.3),MIN(MAX(J1421/K1421,0),1.3))),"") </f>
        <v/>
      </c>
      <c r="M1421" s="14">
        <f>IFERROR(IF(OR(J1421=0,K1421=""),"",IF(E1421="Positivo",MAX(K1421/J1421,0),MAX(J1421/K1421,0))),"") </f>
        <v/>
      </c>
      <c r="N1421" s="5" t="inlineStr">
        <is>
          <t>ENT</t>
        </is>
      </c>
      <c r="O1421" s="5" t="inlineStr">
        <is>
          <t>DEC</t>
        </is>
      </c>
      <c r="P1421" s="15" t="n">
        <v>1</v>
      </c>
      <c r="Q1421" s="15" t="n">
        <v>1</v>
      </c>
      <c r="R1421" s="5" t="inlineStr">
        <is>
          <t>277-2025-12-31</t>
        </is>
      </c>
    </row>
    <row r="1422" hidden="1">
      <c r="A1422" s="26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1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9" t="n">
        <v>1015</v>
      </c>
      <c r="L1422" s="14" t="n"/>
      <c r="M1422" s="14" t="n"/>
      <c r="N1422" s="5" t="inlineStr">
        <is>
          <t>DEC</t>
        </is>
      </c>
      <c r="O1422" s="5" t="inlineStr">
        <is>
          <t>DEC</t>
        </is>
      </c>
      <c r="P1422" s="15" t="n">
        <v>0</v>
      </c>
      <c r="Q1422" s="15" t="n">
        <v>0</v>
      </c>
      <c r="R1422" s="5" t="inlineStr">
        <is>
          <t>278-2023-06-30</t>
        </is>
      </c>
    </row>
    <row r="1423" hidden="1">
      <c r="A1423" s="5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1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5" t="n">
        <v>1017</v>
      </c>
      <c r="L1423" s="14">
        <f>IFERROR(IF(OR(J1423=0,K1423=""),"",IF(E1423="Positivo",MIN(MAX(K1423/J1423,0),1.3),MIN(MAX(J1423/K1423,0),1.3))),"") </f>
        <v/>
      </c>
      <c r="M1423" s="14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5" t="n">
        <v>0</v>
      </c>
      <c r="Q1423" s="5" t="n">
        <v>0</v>
      </c>
      <c r="R1423" s="5" t="inlineStr">
        <is>
          <t>278-2023-12-31</t>
        </is>
      </c>
    </row>
    <row r="1424" hidden="1">
      <c r="A1424" s="21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01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14">
        <f>IFERROR(IF(OR(J1424=0,K1424=""),"",IF(E1424="Positivo",MIN(MAX(K1424/J1424,0),1.3),MIN(MAX(J1424/K1424,0),1.3))),"") </f>
        <v/>
      </c>
      <c r="M1424" s="14">
        <f>IFERROR(IF(OR(J1424=0,K1424=""),"",IF(E1424="Positivo",MAX(K1424/J1424,0),MAX(J1424/K1424,0))),"") </f>
        <v/>
      </c>
      <c r="N1424" s="5" t="n">
        <v>0</v>
      </c>
      <c r="O1424" s="5" t="inlineStr">
        <is>
          <t>ENT</t>
        </is>
      </c>
      <c r="P1424" s="15" t="n">
        <v>0</v>
      </c>
      <c r="Q1424" s="15" t="n">
        <v>0</v>
      </c>
      <c r="R1424" s="5" t="inlineStr">
        <is>
          <t>278-2024-06-30</t>
        </is>
      </c>
    </row>
    <row r="1425" hidden="1">
      <c r="A1425" s="26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01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9" t="n">
        <v>1018</v>
      </c>
      <c r="L1425" s="14">
        <f>IFERROR(IF(OR(J1425=0,K1425=""),"",IF(E1425="Positivo",MIN(MAX(K1425/J1425,0),1.3),MIN(MAX(J1425/K1425,0),1.3))),"") </f>
        <v/>
      </c>
      <c r="M1425" s="14">
        <f>IFERROR(IF(OR(J1425=0,K1425=""),"",IF(E1425="Positivo",MAX(K1425/J1425,0),MAX(J1425/K1425,0))),"") </f>
        <v/>
      </c>
      <c r="N1425" s="5" t="n">
        <v>0</v>
      </c>
      <c r="O1425" s="5" t="inlineStr">
        <is>
          <t>ENT</t>
        </is>
      </c>
      <c r="P1425" s="15" t="n">
        <v>0</v>
      </c>
      <c r="Q1425" s="15" t="n">
        <v>0</v>
      </c>
      <c r="R1425" s="5" t="inlineStr">
        <is>
          <t>278-2024-12-31</t>
        </is>
      </c>
    </row>
    <row r="1426" hidden="1">
      <c r="A1426" s="5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01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5" t="n">
        <v>1099</v>
      </c>
      <c r="L1426" s="14" t="n"/>
      <c r="M1426" s="14" t="n"/>
      <c r="N1426" s="5" t="inlineStr">
        <is>
          <t>Metrica</t>
        </is>
      </c>
      <c r="O1426" s="5" t="inlineStr">
        <is>
          <t>Metrica</t>
        </is>
      </c>
      <c r="P1426" s="15" t="n">
        <v>0</v>
      </c>
      <c r="Q1426" s="5" t="n">
        <v>0</v>
      </c>
      <c r="R1426" s="5" t="inlineStr">
        <is>
          <t>278-2025-06-30</t>
        </is>
      </c>
      <c r="S1426" t="inlineStr">
        <is>
          <t>Metrica</t>
        </is>
      </c>
    </row>
    <row r="1427" hidden="1">
      <c r="A1427" s="21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101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0" t="n">
        <v>1071</v>
      </c>
      <c r="L1427" s="14" t="n"/>
      <c r="M1427" s="14" t="n"/>
      <c r="N1427" s="5" t="inlineStr">
        <is>
          <t>Metrica</t>
        </is>
      </c>
      <c r="O1427" s="5" t="inlineStr">
        <is>
          <t>Metrica</t>
        </is>
      </c>
      <c r="P1427" s="15" t="n">
        <v>0</v>
      </c>
      <c r="Q1427" s="15" t="n">
        <v>0</v>
      </c>
      <c r="R1427" s="5" t="inlineStr">
        <is>
          <t>278-2025-12-31</t>
        </is>
      </c>
      <c r="S1427" t="inlineStr">
        <is>
          <t>Metrica</t>
        </is>
      </c>
    </row>
    <row r="1428" hidden="1">
      <c r="A1428" s="21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1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0" t="n">
        <v>572</v>
      </c>
      <c r="L1428" s="14" t="n"/>
      <c r="M1428" s="14" t="n"/>
      <c r="N1428" s="5" t="n"/>
      <c r="O1428" s="11" t="n"/>
      <c r="P1428" s="15" t="n">
        <v>0</v>
      </c>
      <c r="Q1428" s="15" t="n">
        <v>0</v>
      </c>
      <c r="R1428" s="5" t="inlineStr">
        <is>
          <t>279-2023-06-30</t>
        </is>
      </c>
    </row>
    <row r="1429" hidden="1">
      <c r="A1429" s="21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1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10" t="n">
        <v>203</v>
      </c>
      <c r="L1429" s="14" t="n"/>
      <c r="M1429" s="14" t="n"/>
      <c r="N1429" s="5" t="n"/>
      <c r="O1429" s="11" t="n"/>
      <c r="P1429" s="15" t="n">
        <v>0</v>
      </c>
      <c r="Q1429" s="15" t="n">
        <v>0</v>
      </c>
      <c r="R1429" s="5" t="inlineStr">
        <is>
          <t>280-2023-06-30</t>
        </is>
      </c>
    </row>
    <row r="1430" hidden="1">
      <c r="A1430" s="21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1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10" t="n">
        <v>186</v>
      </c>
      <c r="L1430" s="14">
        <f>IFERROR(IF(OR(J1430=0,K1430=""),"",IF(E1430="Positivo",MIN(MAX(K1430/J1430,0),1.3),MIN(MAX(J1430/K1430,0),1.3))),"") </f>
        <v/>
      </c>
      <c r="M1430" s="14">
        <f>IFERROR(IF(OR(J1430=0,K1430=""),"",IF(E1430="Positivo",MAX(K1430/J1430,0),MAX(J1430/K1430,0))),"") </f>
        <v/>
      </c>
      <c r="N1430" s="5" t="n"/>
      <c r="O1430" s="11" t="n"/>
      <c r="P1430" s="15" t="n">
        <v>0</v>
      </c>
      <c r="Q1430" s="15" t="n">
        <v>0</v>
      </c>
      <c r="R1430" s="5" t="inlineStr">
        <is>
          <t>280-2023-12-31</t>
        </is>
      </c>
    </row>
    <row r="1431" hidden="1">
      <c r="A1431" s="21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1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0" t="n">
        <v>240</v>
      </c>
      <c r="L1431" s="14" t="n"/>
      <c r="M1431" s="14" t="n"/>
      <c r="N1431" s="5" t="n"/>
      <c r="O1431" s="11" t="n"/>
      <c r="P1431" s="15" t="n">
        <v>0</v>
      </c>
      <c r="Q1431" s="15" t="n">
        <v>0</v>
      </c>
      <c r="R1431" s="5" t="inlineStr">
        <is>
          <t>281-2023-06-30</t>
        </is>
      </c>
    </row>
    <row r="1432" hidden="1">
      <c r="A1432" s="21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01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10" t="n">
        <v>223</v>
      </c>
      <c r="L1432" s="14" t="n"/>
      <c r="M1432" s="14" t="n"/>
      <c r="N1432" s="5" t="n"/>
      <c r="O1432" s="11" t="n"/>
      <c r="P1432" s="15" t="n">
        <v>0</v>
      </c>
      <c r="Q1432" s="15" t="n">
        <v>0</v>
      </c>
      <c r="R1432" s="5" t="inlineStr">
        <is>
          <t>281-2023-12-31</t>
        </is>
      </c>
    </row>
    <row r="1433" hidden="1">
      <c r="A1433" s="5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1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5" t="n">
        <v>97.02</v>
      </c>
      <c r="L1433" s="14">
        <f>IFERROR(IF(OR(J1433=0,K1433=""),"",IF(E1433="Positivo",MIN(MAX(K1433/J1433,0),1.3),MIN(MAX(J1433/K1433,0),1.3))),"") </f>
        <v/>
      </c>
      <c r="M1433" s="14">
        <f>IFERROR(IF(OR(J1433=0,K1433=""),"",IF(E1433="Positivo",MAX(K1433/J1433,0),MAX(J1433/K1433,0))),"") </f>
        <v/>
      </c>
      <c r="N1433" s="5" t="inlineStr">
        <is>
          <t>%</t>
        </is>
      </c>
      <c r="O1433" s="11" t="inlineStr">
        <is>
          <t>%</t>
        </is>
      </c>
      <c r="P1433" s="5" t="n">
        <v>0</v>
      </c>
      <c r="Q1433" s="5" t="n">
        <v>0</v>
      </c>
      <c r="R1433" s="5" t="inlineStr">
        <is>
          <t>282-2023-06-30</t>
        </is>
      </c>
    </row>
    <row r="1434" hidden="1">
      <c r="A1434" s="21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1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14">
        <f>IFERROR(IF(OR(J1434=0,K1434=""),"",IF(E1434="Positivo",MIN(MAX(K1434/J1434,0),1.3),MIN(MAX(J1434/K1434,0),1.3))),"") </f>
        <v/>
      </c>
      <c r="M1434" s="14">
        <f>IFERROR(IF(OR(J1434=0,K1434=""),"",IF(E1434="Positivo",MAX(K1434/J1434,0),MAX(J1434/K1434,0))),"") </f>
        <v/>
      </c>
      <c r="N1434" s="5" t="inlineStr">
        <is>
          <t>%</t>
        </is>
      </c>
      <c r="O1434" s="11" t="inlineStr">
        <is>
          <t>%</t>
        </is>
      </c>
      <c r="P1434" s="15" t="n">
        <v>0</v>
      </c>
      <c r="Q1434" s="15" t="n">
        <v>0</v>
      </c>
      <c r="R1434" s="5" t="inlineStr">
        <is>
          <t>282-2023-12-31</t>
        </is>
      </c>
    </row>
    <row r="1435" hidden="1">
      <c r="A1435" s="21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1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14">
        <f>IFERROR(IF(OR(J1435=0,K1435=""),"",IF(E1435="Positivo",MIN(MAX(K1435/J1435,0),1.3),MIN(MAX(J1435/K1435,0),1.3))),"") </f>
        <v/>
      </c>
      <c r="M1435" s="14">
        <f>IFERROR(IF(OR(J1435=0,K1435=""),"",IF(E1435="Positivo",MAX(K1435/J1435,0),MAX(J1435/K1435,0))),"") </f>
        <v/>
      </c>
      <c r="N1435" s="5" t="inlineStr">
        <is>
          <t>%</t>
        </is>
      </c>
      <c r="O1435" s="11" t="inlineStr">
        <is>
          <t>%</t>
        </is>
      </c>
      <c r="P1435" s="15" t="n">
        <v>0</v>
      </c>
      <c r="Q1435" s="15" t="n">
        <v>0</v>
      </c>
      <c r="R1435" s="5" t="inlineStr">
        <is>
          <t>282-2024-06-30</t>
        </is>
      </c>
    </row>
    <row r="1436" hidden="1">
      <c r="A1436" s="21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1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14">
        <f>IFERROR(IF(OR(J1436=0,K1436=""),"",IF(E1436="Positivo",MIN(MAX(K1436/J1436,0),1.3),MIN(MAX(J1436/K1436,0),1.3))),"") </f>
        <v/>
      </c>
      <c r="M1436" s="14">
        <f>IFERROR(IF(OR(J1436=0,K1436=""),"",IF(E1436="Positivo",MAX(K1436/J1436,0),MAX(J1436/K1436,0))),"") </f>
        <v/>
      </c>
      <c r="N1436" s="5" t="inlineStr">
        <is>
          <t>%</t>
        </is>
      </c>
      <c r="O1436" s="11" t="inlineStr">
        <is>
          <t>%</t>
        </is>
      </c>
      <c r="P1436" s="15" t="n">
        <v>0</v>
      </c>
      <c r="Q1436" s="15" t="n">
        <v>0</v>
      </c>
      <c r="R1436" s="5" t="inlineStr">
        <is>
          <t>282-2024-12-31</t>
        </is>
      </c>
    </row>
    <row r="1437" hidden="1">
      <c r="A1437" s="21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Semestral</t>
        </is>
      </c>
      <c r="E1437" s="5" t="inlineStr">
        <is>
          <t>Positivo</t>
        </is>
      </c>
      <c r="F1437" s="101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14">
        <f>IFERROR(IF(OR(J1437=0,K1437=""),"",IF(E1437="Positivo",MIN(MAX(K1437/J1437,0),1.3),MIN(MAX(J1437/K1437,0),1.3))),"") </f>
        <v/>
      </c>
      <c r="M1437" s="14">
        <f>IFERROR(IF(OR(J1437=0,K1437=""),"",IF(E1437="Positivo",MAX(K1437/J1437,0),MAX(J1437/K1437,0))),"") </f>
        <v/>
      </c>
      <c r="N1437" s="5" t="inlineStr">
        <is>
          <t>%</t>
        </is>
      </c>
      <c r="O1437" s="11" t="inlineStr">
        <is>
          <t>%</t>
        </is>
      </c>
      <c r="P1437" s="15" t="n">
        <v>0</v>
      </c>
      <c r="Q1437" s="15" t="n">
        <v>0</v>
      </c>
      <c r="R1437" s="5" t="inlineStr">
        <is>
          <t>282-2025-06-30</t>
        </is>
      </c>
    </row>
    <row r="1438" hidden="1">
      <c r="A1438" s="21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01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10" t="n">
        <v>97.56</v>
      </c>
      <c r="L1438" s="14">
        <f>IFERROR(IF(OR(J1438=0,K1438=""),"",IF(E1438="Positivo",MIN(MAX(K1438/J1438,0),1.3),MIN(MAX(J1438/K1438,0),1.3))),"") </f>
        <v/>
      </c>
      <c r="M1438" s="14">
        <f>IFERROR(IF(OR(J1438=0,K1438=""),"",IF(E1438="Positivo",MAX(K1438/J1438,0),MAX(J1438/K1438,0))),"") </f>
        <v/>
      </c>
      <c r="N1438" s="5" t="inlineStr">
        <is>
          <t>%</t>
        </is>
      </c>
      <c r="O1438" s="11" t="inlineStr">
        <is>
          <t>%</t>
        </is>
      </c>
      <c r="P1438" s="15" t="n">
        <v>0</v>
      </c>
      <c r="Q1438" s="15" t="n">
        <v>0</v>
      </c>
      <c r="R1438" s="5" t="inlineStr">
        <is>
          <t>282-2025-12-31</t>
        </is>
      </c>
    </row>
    <row r="1439" hidden="1">
      <c r="A1439" s="21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1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14">
        <f>IFERROR(IF(OR(J1439=0,K1439=""),"",IF(E1439="Positivo",MIN(MAX(K1439/J1439,0),1.3),MIN(MAX(J1439/K1439,0),1.3))),"") </f>
        <v/>
      </c>
      <c r="M1439" s="14">
        <f>IFERROR(IF(OR(J1439=0,K1439=""),"",IF(E1439="Positivo",MAX(K1439/J1439,0),MAX(J1439/K1439,0))),"") </f>
        <v/>
      </c>
      <c r="N1439" s="5" t="inlineStr">
        <is>
          <t>%</t>
        </is>
      </c>
      <c r="O1439" s="11" t="inlineStr">
        <is>
          <t>%</t>
        </is>
      </c>
      <c r="P1439" s="15" t="n">
        <v>2</v>
      </c>
      <c r="Q1439" s="15" t="n">
        <v>2</v>
      </c>
      <c r="R1439" s="5" t="inlineStr">
        <is>
          <t>283-2023-06-30</t>
        </is>
      </c>
    </row>
    <row r="1440" hidden="1">
      <c r="A1440" s="5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1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5" t="n">
        <v>4.55</v>
      </c>
      <c r="L1440" s="14">
        <f>IFERROR(IF(OR(J1440=0,K1440=""),"",IF(E1440="Positivo",MIN(MAX(K1440/J1440,0),1.3),MIN(MAX(J1440/K1440,0),1.3))),"") </f>
        <v/>
      </c>
      <c r="M1440" s="14">
        <f>IFERROR(IF(OR(J1440=0,K1440=""),"",IF(E1440="Positivo",MAX(K1440/J1440,0),MAX(J1440/K1440,0))),"") </f>
        <v/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 t="inlineStr">
        <is>
          <t>283-2023-12-31</t>
        </is>
      </c>
    </row>
    <row r="1441" hidden="1">
      <c r="A1441" s="21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1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14">
        <f>IFERROR(IF(OR(J1441=0,K1441=""),"",IF(E1441="Positivo",MIN(MAX(K1441/J1441,0),1.3),MIN(MAX(J1441/K1441,0),1.3))),"") </f>
        <v/>
      </c>
      <c r="M1441" s="14">
        <f>IFERROR(IF(OR(J1441=0,K1441=""),"",IF(E1441="Positivo",MAX(K1441/J1441,0),MAX(J1441/K1441,0))),"") </f>
        <v/>
      </c>
      <c r="N1441" s="5" t="inlineStr">
        <is>
          <t>DEC</t>
        </is>
      </c>
      <c r="O1441" s="5" t="inlineStr">
        <is>
          <t>DEC</t>
        </is>
      </c>
      <c r="P1441" s="15" t="n">
        <v>2</v>
      </c>
      <c r="Q1441" s="15" t="n">
        <v>2</v>
      </c>
      <c r="R1441" s="5" t="inlineStr">
        <is>
          <t>283-2024-06-30</t>
        </is>
      </c>
    </row>
    <row r="1442" hidden="1">
      <c r="A1442" s="5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01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5" t="n">
        <v>4.64</v>
      </c>
      <c r="L1442" s="14">
        <f>IFERROR(IF(OR(J1442=0,K1442=""),"",IF(E1442="Positivo",MIN(MAX(K1442/J1442,0),1.3),MIN(MAX(J1442/K1442,0),1.3))),"") </f>
        <v/>
      </c>
      <c r="M1442" s="14">
        <f>IFERROR(IF(OR(J1442=0,K1442=""),"",IF(E1442="Positivo",MAX(K1442/J1442,0),MAX(J1442/K1442,0))),"") </f>
        <v/>
      </c>
      <c r="N1442" s="5" t="inlineStr">
        <is>
          <t>DEC</t>
        </is>
      </c>
      <c r="O1442" s="5" t="inlineStr">
        <is>
          <t>DEC</t>
        </is>
      </c>
      <c r="P1442" s="5" t="n">
        <v>2</v>
      </c>
      <c r="Q1442" s="5" t="n">
        <v>2</v>
      </c>
      <c r="R1442" s="5" t="inlineStr">
        <is>
          <t>283-2024-12-31</t>
        </is>
      </c>
    </row>
    <row r="1443" hidden="1">
      <c r="A1443" s="21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Semestral</t>
        </is>
      </c>
      <c r="E1443" s="5" t="inlineStr">
        <is>
          <t>Positivo</t>
        </is>
      </c>
      <c r="F1443" s="101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14">
        <f>IFERROR(IF(OR(J1443=0,K1443=""),"",IF(E1443="Positivo",MIN(MAX(K1443/J1443,0),1.3),MIN(MAX(J1443/K1443,0),1.3))),"") </f>
        <v/>
      </c>
      <c r="M1443" s="14">
        <f>IFERROR(IF(OR(J1443=0,K1443=""),"",IF(E1443="Positivo",MAX(K1443/J1443,0),MAX(J1443/K1443,0))),"") </f>
        <v/>
      </c>
      <c r="N1443" s="5" t="inlineStr">
        <is>
          <t>DEC</t>
        </is>
      </c>
      <c r="O1443" s="5" t="inlineStr">
        <is>
          <t>DEC</t>
        </is>
      </c>
      <c r="P1443" s="15" t="n">
        <v>1</v>
      </c>
      <c r="Q1443" s="15" t="n">
        <v>2</v>
      </c>
      <c r="R1443" s="5" t="inlineStr">
        <is>
          <t>283-2025-06-30</t>
        </is>
      </c>
    </row>
    <row r="1444" hidden="1">
      <c r="A1444" s="21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101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14">
        <f>IFERROR(IF(OR(J1444=0,K1444=""),"",IF(E1444="Positivo",MIN(MAX(K1444/J1444,0),1.3),MIN(MAX(J1444/K1444,0),1.3))),"") </f>
        <v/>
      </c>
      <c r="M1444" s="14">
        <f>IFERROR(IF(OR(J1444=0,K1444=""),"",IF(E1444="Positivo",MAX(K1444/J1444,0),MAX(J1444/K1444,0))),"") </f>
        <v/>
      </c>
      <c r="N1444" s="5" t="inlineStr">
        <is>
          <t>DEC</t>
        </is>
      </c>
      <c r="O1444" s="5" t="inlineStr">
        <is>
          <t>DEC</t>
        </is>
      </c>
      <c r="P1444" s="15" t="n">
        <v>1</v>
      </c>
      <c r="Q1444" s="15" t="n">
        <v>2</v>
      </c>
      <c r="R1444" s="5" t="inlineStr">
        <is>
          <t>283-2025-12-31</t>
        </is>
      </c>
    </row>
    <row r="1445" hidden="1">
      <c r="A1445" s="5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01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5" t="n">
        <v>15047</v>
      </c>
      <c r="L1445" s="14" t="n"/>
      <c r="M1445" s="14" t="n"/>
      <c r="N1445" s="5" t="inlineStr">
        <is>
          <t>DEC</t>
        </is>
      </c>
      <c r="O1445" s="5" t="inlineStr">
        <is>
          <t>DEC</t>
        </is>
      </c>
      <c r="P1445" s="5" t="n">
        <v>0</v>
      </c>
      <c r="Q1445" s="5" t="n">
        <v>0</v>
      </c>
      <c r="R1445" s="5" t="inlineStr">
        <is>
          <t>284-2023-06-30</t>
        </is>
      </c>
    </row>
    <row r="1446" hidden="1">
      <c r="A1446" s="21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01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10" t="n">
        <v>16281</v>
      </c>
      <c r="L1446" s="14" t="n"/>
      <c r="M1446" s="14" t="n"/>
      <c r="N1446" s="5" t="inlineStr">
        <is>
          <t>DEC</t>
        </is>
      </c>
      <c r="O1446" s="5" t="inlineStr">
        <is>
          <t>DEC</t>
        </is>
      </c>
      <c r="P1446" s="15" t="n">
        <v>0</v>
      </c>
      <c r="Q1446" s="15" t="n">
        <v>0</v>
      </c>
      <c r="R1446" s="5" t="inlineStr">
        <is>
          <t>284-2023-12-31</t>
        </is>
      </c>
    </row>
    <row r="1447" hidden="1">
      <c r="A1447" s="5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01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5" t="n">
        <v>100</v>
      </c>
      <c r="L1447" s="14">
        <f>IFERROR(IF(OR(J1447=0,K1447=""),"",IF(E1447="Positivo",MIN(MAX(K1447/J1447,0),1.3),MIN(MAX(J1447/K1447,0),1.3))),"") </f>
        <v/>
      </c>
      <c r="M1447" s="14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285-2023-06-30</t>
        </is>
      </c>
    </row>
    <row r="1448" hidden="1">
      <c r="A1448" s="21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01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0" t="n">
        <v>100</v>
      </c>
      <c r="L1448" s="14">
        <f>IFERROR(IF(OR(J1448=0,K1448=""),"",IF(E1448="Positivo",MIN(MAX(K1448/J1448,0),1.3),MIN(MAX(J1448/K1448,0),1.3))),"") </f>
        <v/>
      </c>
      <c r="M1448" s="14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285-2023-12-31</t>
        </is>
      </c>
    </row>
    <row r="1449" hidden="1">
      <c r="A1449" s="5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01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5" t="n">
        <v>100</v>
      </c>
      <c r="L1449" s="14">
        <f>IFERROR(IF(OR(J1449=0,K1449=""),"",IF(E1449="Positivo",MIN(MAX(K1449/J1449,0),1.3),MIN(MAX(J1449/K1449,0),1.3))),"") </f>
        <v/>
      </c>
      <c r="M1449" s="14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285-2024-06-30</t>
        </is>
      </c>
    </row>
    <row r="1450" hidden="1">
      <c r="A1450" s="21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01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10" t="n">
        <v>100</v>
      </c>
      <c r="L1450" s="14">
        <f>IFERROR(IF(OR(J1450=0,K1450=""),"",IF(E1450="Positivo",MIN(MAX(K1450/J1450,0),1.3),MIN(MAX(J1450/K1450,0),1.3))),"") </f>
        <v/>
      </c>
      <c r="M1450" s="14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285-2024-12-31</t>
        </is>
      </c>
    </row>
    <row r="1451" hidden="1">
      <c r="A1451" s="21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Semestral</t>
        </is>
      </c>
      <c r="E1451" s="5" t="inlineStr">
        <is>
          <t>Positivo</t>
        </is>
      </c>
      <c r="F1451" s="101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14">
        <f>IFERROR(IF(OR(J1451=0,K1451=""),"",IF(E1451="Positivo",MIN(MAX(K1451/J1451,0),1.3),MIN(MAX(J1451/K1451,0),1.3))),"") </f>
        <v/>
      </c>
      <c r="M1451" s="14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285-2025-06-30</t>
        </is>
      </c>
    </row>
    <row r="1452" hidden="1">
      <c r="A1452" s="21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101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10" t="n">
        <v>100</v>
      </c>
      <c r="L1452" s="14">
        <f>IFERROR(IF(OR(J1452=0,K1452=""),"",IF(E1452="Positivo",MIN(MAX(K1452/J1452,0),1.3),MIN(MAX(J1452/K1452,0),1.3))),"") </f>
        <v/>
      </c>
      <c r="M1452" s="14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15" t="n">
        <v>0</v>
      </c>
      <c r="Q1452" s="15" t="n">
        <v>0</v>
      </c>
      <c r="R1452" s="5" t="inlineStr">
        <is>
          <t>285-2025-12-31</t>
        </is>
      </c>
    </row>
    <row r="1453" hidden="1">
      <c r="A1453" s="21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01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10" t="n">
        <v>1015</v>
      </c>
      <c r="L1453" s="14" t="n"/>
      <c r="M1453" s="14" t="n"/>
      <c r="N1453" s="5" t="inlineStr">
        <is>
          <t>%</t>
        </is>
      </c>
      <c r="O1453" s="5" t="inlineStr">
        <is>
          <t>%</t>
        </is>
      </c>
      <c r="P1453" s="15" t="n">
        <v>0</v>
      </c>
      <c r="Q1453" s="15" t="n">
        <v>0</v>
      </c>
      <c r="R1453" s="5" t="inlineStr">
        <is>
          <t>286-2023-06-30</t>
        </is>
      </c>
    </row>
    <row r="1454" hidden="1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01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5" t="n">
        <v>1017</v>
      </c>
      <c r="L1454" s="14" t="n"/>
      <c r="M1454" s="14" t="n"/>
      <c r="N1454" s="5" t="inlineStr">
        <is>
          <t>%</t>
        </is>
      </c>
      <c r="O1454" s="5" t="inlineStr">
        <is>
          <t>%</t>
        </is>
      </c>
      <c r="P1454" s="5" t="n">
        <v>0</v>
      </c>
      <c r="Q1454" s="5" t="n">
        <v>0</v>
      </c>
      <c r="R1454" s="5" t="inlineStr">
        <is>
          <t>286-2023-12-31</t>
        </is>
      </c>
    </row>
    <row r="1455" hidden="1">
      <c r="A1455" s="21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01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14">
        <f>IFERROR(IF(OR(J1455=0,K1455=""),"",IF(E1455="Positivo",MIN(MAX(K1455/J1455,0),1.3),MIN(MAX(J1455/K1455,0),1.3))),"") </f>
        <v/>
      </c>
      <c r="M1455" s="14">
        <f>IFERROR(IF(OR(J1455=0,K1455=""),"",IF(E1455="Positivo",MAX(K1455/J1455,0),MAX(J1455/K1455,0))),"") </f>
        <v/>
      </c>
      <c r="N1455" s="5" t="n">
        <v>0</v>
      </c>
      <c r="O1455" s="5" t="inlineStr">
        <is>
          <t>ENT</t>
        </is>
      </c>
      <c r="P1455" s="15" t="n">
        <v>0</v>
      </c>
      <c r="Q1455" s="15" t="n">
        <v>0</v>
      </c>
      <c r="R1455" s="5" t="inlineStr">
        <is>
          <t>286-2024-06-30</t>
        </is>
      </c>
    </row>
    <row r="1456" hidden="1">
      <c r="A1456" s="21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101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10" t="n">
        <v>1018</v>
      </c>
      <c r="L1456" s="14">
        <f>IFERROR(IF(OR(J1456=0,K1456=""),"",IF(E1456="Positivo",MIN(MAX(K1456/J1456,0),1.3),MIN(MAX(J1456/K1456,0),1.3))),"") </f>
        <v/>
      </c>
      <c r="M1456" s="14">
        <f>IFERROR(IF(OR(J1456=0,K1456=""),"",IF(E1456="Positivo",MAX(K1456/J1456,0),MAX(J1456/K1456,0))),"") </f>
        <v/>
      </c>
      <c r="N1456" s="5" t="n">
        <v>0</v>
      </c>
      <c r="O1456" s="5" t="inlineStr">
        <is>
          <t>ENT</t>
        </is>
      </c>
      <c r="P1456" s="15" t="n">
        <v>0</v>
      </c>
      <c r="Q1456" s="15" t="n">
        <v>0</v>
      </c>
      <c r="R1456" s="5" t="inlineStr">
        <is>
          <t>286-2024-12-31</t>
        </is>
      </c>
    </row>
    <row r="1457" hidden="1">
      <c r="A1457" s="21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01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14" t="n"/>
      <c r="M1457" s="14" t="n"/>
      <c r="N1457" s="5" t="inlineStr">
        <is>
          <t>Metrica</t>
        </is>
      </c>
      <c r="O1457" s="5" t="inlineStr">
        <is>
          <t>Metrica</t>
        </is>
      </c>
      <c r="P1457" s="15" t="n">
        <v>0</v>
      </c>
      <c r="Q1457" s="15" t="n">
        <v>0</v>
      </c>
      <c r="R1457" s="5" t="inlineStr">
        <is>
          <t>286-2025-06-30</t>
        </is>
      </c>
      <c r="S1457" t="inlineStr">
        <is>
          <t>Metrica</t>
        </is>
      </c>
    </row>
    <row r="1458" hidden="1">
      <c r="A1458" s="5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101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5" t="n">
        <v>1071</v>
      </c>
      <c r="L1458" s="14" t="n"/>
      <c r="M1458" s="14" t="n"/>
      <c r="N1458" s="5" t="inlineStr">
        <is>
          <t>Metrica</t>
        </is>
      </c>
      <c r="O1458" s="5" t="inlineStr">
        <is>
          <t>Metrica</t>
        </is>
      </c>
      <c r="P1458" s="5" t="n">
        <v>0</v>
      </c>
      <c r="Q1458" s="5" t="n">
        <v>0</v>
      </c>
      <c r="R1458" s="5" t="inlineStr">
        <is>
          <t>286-2025-12-31</t>
        </is>
      </c>
      <c r="S1458" t="inlineStr">
        <is>
          <t>Metrica</t>
        </is>
      </c>
    </row>
    <row r="1459" hidden="1">
      <c r="A1459" s="21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01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14">
        <f>IFERROR(IF(OR(J1459=0,K1459=""),"",IF(E1459="Positivo",MIN(MAX(K1459/J1459,0),1.3),MIN(MAX(J1459/K1459,0),1.3))),"") </f>
        <v/>
      </c>
      <c r="M1459" s="14">
        <f>IFERROR(IF(OR(J1459=0,K1459=""),"",IF(E1459="Positivo",MAX(K1459/J1459,0),MAX(J1459/K1459,0))),"") </f>
        <v/>
      </c>
      <c r="N1459" s="5" t="n">
        <v>0</v>
      </c>
      <c r="O1459" s="5" t="inlineStr">
        <is>
          <t>ENT</t>
        </is>
      </c>
      <c r="P1459" s="15" t="n">
        <v>0</v>
      </c>
      <c r="Q1459" s="15" t="n">
        <v>0</v>
      </c>
      <c r="R1459" s="5" t="inlineStr">
        <is>
          <t>288-2023-06-30</t>
        </is>
      </c>
    </row>
    <row r="1460" hidden="1">
      <c r="A1460" s="21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01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10" t="n">
        <v>112.5</v>
      </c>
      <c r="L1460" s="14">
        <f>IFERROR(IF(OR(J1460=0,K1460=""),"",IF(E1460="Positivo",MIN(MAX(K1460/J1460,0),1.3),MIN(MAX(J1460/K1460,0),1.3))),"") </f>
        <v/>
      </c>
      <c r="M1460" s="14">
        <f>IFERROR(IF(OR(J1460=0,K1460=""),"",IF(E1460="Positivo",MAX(K1460/J1460,0),MAX(J1460/K1460,0))),"") </f>
        <v/>
      </c>
      <c r="N1460" s="5" t="n">
        <v>0</v>
      </c>
      <c r="O1460" s="5" t="inlineStr">
        <is>
          <t>ENT</t>
        </is>
      </c>
      <c r="P1460" s="15" t="n">
        <v>0</v>
      </c>
      <c r="Q1460" s="15" t="n">
        <v>0</v>
      </c>
      <c r="R1460" s="5" t="inlineStr">
        <is>
          <t>288-2023-12-31</t>
        </is>
      </c>
    </row>
    <row r="1461" hidden="1">
      <c r="A1461" s="21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101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10" t="n">
        <v>185.71428571429</v>
      </c>
      <c r="L1461" s="14">
        <f>IFERROR(IF(OR(J1461=0,K1461=""),"",IF(E1461="Positivo",MIN(MAX(K1461/J1461,0),1.3),MIN(MAX(J1461/K1461,0),1.3))),"") </f>
        <v/>
      </c>
      <c r="M1461" s="14">
        <f>IFERROR(IF(OR(J1461=0,K1461=""),"",IF(E1461="Positivo",MAX(K1461/J1461,0),MAX(J1461/K1461,0))),"") </f>
        <v/>
      </c>
      <c r="N1461" s="5" t="inlineStr">
        <is>
          <t>ENT</t>
        </is>
      </c>
      <c r="O1461" s="5" t="inlineStr">
        <is>
          <t>ENT</t>
        </is>
      </c>
      <c r="P1461" s="15" t="n">
        <v>0</v>
      </c>
      <c r="Q1461" s="15" t="n">
        <v>0</v>
      </c>
      <c r="R1461" s="5" t="inlineStr">
        <is>
          <t>288-2024-06-30</t>
        </is>
      </c>
    </row>
    <row r="1462" hidden="1">
      <c r="A1462" s="21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01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14">
        <f>IFERROR(IF(OR(J1462=0,K1462=""),"",IF(E1462="Positivo",MIN(MAX(K1462/J1462,0),1.3),MIN(MAX(J1462/K1462,0),1.3))),"") </f>
        <v/>
      </c>
      <c r="M1462" s="14">
        <f>IFERROR(IF(OR(J1462=0,K1462=""),"",IF(E1462="Positivo",MAX(K1462/J1462,0),MAX(J1462/K1462,0))),"") </f>
        <v/>
      </c>
      <c r="N1462" s="5" t="inlineStr">
        <is>
          <t>ENT</t>
        </is>
      </c>
      <c r="O1462" s="5" t="inlineStr">
        <is>
          <t>ENT</t>
        </is>
      </c>
      <c r="P1462" s="15" t="n">
        <v>0</v>
      </c>
      <c r="Q1462" s="15" t="n">
        <v>0</v>
      </c>
      <c r="R1462" s="5" t="inlineStr">
        <is>
          <t>288-2024-12-31</t>
        </is>
      </c>
    </row>
    <row r="1463" hidden="1">
      <c r="A1463" s="21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101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14">
        <f>IFERROR(IF(OR(J1463=0,K1463=""),"",IF(E1463="Positivo",MIN(MAX(K1463/J1463,0),1.3),MIN(MAX(J1463/K1463,0),1.3))),"") </f>
        <v/>
      </c>
      <c r="M1463" s="14">
        <f>IFERROR(IF(OR(J1463=0,K1463=""),"",IF(E1463="Positivo",MAX(K1463/J1463,0),MAX(J1463/K1463,0))),"") </f>
        <v/>
      </c>
      <c r="N1463" s="5" t="inlineStr">
        <is>
          <t>ENT</t>
        </is>
      </c>
      <c r="O1463" s="5" t="inlineStr">
        <is>
          <t>ENT</t>
        </is>
      </c>
      <c r="P1463" s="15" t="n">
        <v>0</v>
      </c>
      <c r="Q1463" s="15" t="n">
        <v>0</v>
      </c>
      <c r="R1463" s="5" t="inlineStr">
        <is>
          <t>288-2025-06-30</t>
        </is>
      </c>
    </row>
    <row r="1464" hidden="1">
      <c r="A1464" s="21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01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14">
        <f>IFERROR(IF(OR(J1464=0,K1464=""),"",IF(E1464="Positivo",MIN(MAX(K1464/J1464,0),1.3),MIN(MAX(J1464/K1464,0),1.3))),"") </f>
        <v/>
      </c>
      <c r="M1464" s="14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5" t="n">
        <v>1</v>
      </c>
      <c r="Q1464" s="15" t="n">
        <v>1</v>
      </c>
      <c r="R1464" s="5" t="inlineStr">
        <is>
          <t>289-2023-06-30</t>
        </is>
      </c>
    </row>
    <row r="1465" hidden="1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01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5" t="n">
        <v>87.5</v>
      </c>
      <c r="L1465" s="14">
        <f>IFERROR(IF(OR(J1465=0,K1465=""),"",IF(E1465="Positivo",MIN(MAX(K1465/J1465,0),1.3),MIN(MAX(J1465/K1465,0),1.3))),"") </f>
        <v/>
      </c>
      <c r="M1465" s="14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1</v>
      </c>
      <c r="Q1465" s="5" t="n">
        <v>1</v>
      </c>
      <c r="R1465" s="5" t="inlineStr">
        <is>
          <t>289-2023-09-30</t>
        </is>
      </c>
    </row>
    <row r="1466" hidden="1">
      <c r="A1466" s="21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01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14">
        <f>IFERROR(IF(OR(J1466=0,K1466=""),"",IF(E1466="Positivo",MIN(MAX(K1466/J1466,0),1.3),MIN(MAX(J1466/K1466,0),1.3))),"") </f>
        <v/>
      </c>
      <c r="M1466" s="14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289-2024-06-30</t>
        </is>
      </c>
    </row>
    <row r="1467" hidden="1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01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5" t="n">
        <v>80</v>
      </c>
      <c r="L1467" s="14">
        <f>IFERROR(IF(OR(J1467=0,K1467=""),"",IF(E1467="Positivo",MIN(MAX(K1467/J1467,0),1.3),MIN(MAX(J1467/K1467,0),1.3))),"") </f>
        <v/>
      </c>
      <c r="M1467" s="14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289-2024-09-30</t>
        </is>
      </c>
    </row>
    <row r="1468" hidden="1">
      <c r="A1468" s="21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101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14">
        <f>IFERROR(IF(OR(J1468=0,K1468=""),"",IF(E1468="Positivo",MIN(MAX(K1468/J1468,0),1.3),MIN(MAX(J1468/K1468,0),1.3))),"") </f>
        <v/>
      </c>
      <c r="M1468" s="14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289-2024-12-31</t>
        </is>
      </c>
    </row>
    <row r="1469" hidden="1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01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5" t="n">
        <v>100</v>
      </c>
      <c r="L1469" s="14">
        <f>IFERROR(IF(OR(J1469=0,K1469=""),"",IF(E1469="Positivo",MIN(MAX(K1469/J1469,0),1.3),MIN(MAX(J1469/K1469,0),1.3))),"") </f>
        <v/>
      </c>
      <c r="M1469" s="14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290-2023-06-30</t>
        </is>
      </c>
    </row>
    <row r="1470" hidden="1">
      <c r="A1470" s="21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01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14">
        <f>IFERROR(IF(OR(J1470=0,K1470=""),"",IF(E1470="Positivo",MIN(MAX(K1470/J1470,0),1.3),MIN(MAX(J1470/K1470,0),1.3))),"") </f>
        <v/>
      </c>
      <c r="M1470" s="14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290-2023-08-30</t>
        </is>
      </c>
    </row>
    <row r="1471" hidden="1">
      <c r="A1471" s="21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01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14">
        <f>IFERROR(IF(OR(J1471=0,K1471=""),"",IF(E1471="Positivo",MIN(MAX(K1471/J1471,0),1.3),MIN(MAX(J1471/K1471,0),1.3))),"") </f>
        <v/>
      </c>
      <c r="M1471" s="14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290-2023-10-31</t>
        </is>
      </c>
    </row>
    <row r="1472" hidden="1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01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14">
        <f>IFERROR(IF(OR(J1472=0,K1472=""),"",IF(E1472="Positivo",MIN(MAX(K1472/J1472,0),1.3),MIN(MAX(J1472/K1472,0),1.3))),"") </f>
        <v/>
      </c>
      <c r="M1472" s="14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 hidden="1">
      <c r="A1473" s="21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01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14">
        <f>IFERROR(IF(OR(J1473=0,K1473=""),"",IF(E1473="Positivo",MIN(MAX(K1473/J1473,0),1.3),MIN(MAX(J1473/K1473,0),1.3))),"") </f>
        <v/>
      </c>
      <c r="M1473" s="14">
        <f>IFERROR(IF(OR(J1473=0,K1473=""),"",IF(E1473="Positivo",MAX(K1473/J1473,0),MAX(J1473/K1473,0))),"") </f>
        <v/>
      </c>
      <c r="N1473" s="5" t="n"/>
      <c r="O1473" s="5" t="n"/>
      <c r="P1473" s="15" t="n">
        <v>0</v>
      </c>
      <c r="Q1473" s="15" t="n">
        <v>0</v>
      </c>
      <c r="R1473" s="5" t="inlineStr">
        <is>
          <t>290-2024-02-29</t>
        </is>
      </c>
    </row>
    <row r="1474" hidden="1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01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14">
        <f>IFERROR(IF(OR(J1474=0,K1474=""),"",IF(E1474="Positivo",MIN(MAX(K1474/J1474,0),1.3),MIN(MAX(J1474/K1474,0),1.3))),"") </f>
        <v/>
      </c>
      <c r="M1474" s="14">
        <f>IFERROR(IF(OR(J1474=0,K1474=""),"",IF(E1474="Positivo",MAX(K1474/J1474,0),MAX(J1474/K1474,0))),"") </f>
        <v/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 hidden="1">
      <c r="A1475" s="21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01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14">
        <f>IFERROR(IF(OR(J1475=0,K1475=""),"",IF(E1475="Positivo",MIN(MAX(K1475/J1475,0),1.3),MIN(MAX(J1475/K1475,0),1.3))),"") </f>
        <v/>
      </c>
      <c r="M1475" s="14">
        <f>IFERROR(IF(OR(J1475=0,K1475=""),"",IF(E1475="Positivo",MAX(K1475/J1475,0),MAX(J1475/K1475,0))),"") </f>
        <v/>
      </c>
      <c r="N1475" s="5" t="n"/>
      <c r="O1475" s="5" t="n"/>
      <c r="P1475" s="15" t="n">
        <v>0</v>
      </c>
      <c r="Q1475" s="15" t="n">
        <v>0</v>
      </c>
      <c r="R1475" s="5" t="inlineStr">
        <is>
          <t>290-2024-06-30</t>
        </is>
      </c>
    </row>
    <row r="1476" hidden="1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01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14">
        <f>IFERROR(IF(OR(J1476=0,K1476=""),"",IF(E1476="Positivo",MIN(MAX(K1476/J1476,0),1.3),MIN(MAX(J1476/K1476,0),1.3))),"") </f>
        <v/>
      </c>
      <c r="M1476" s="14">
        <f>IFERROR(IF(OR(J1476=0,K1476=""),"",IF(E1476="Positivo",MAX(K1476/J1476,0),MAX(J1476/K1476,0))),"") </f>
        <v/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 hidden="1">
      <c r="A1477" s="21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01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4">
        <f>IFERROR(IF(OR(J1477=0,K1477=""),"",IF(E1477="Positivo",MIN(MAX(K1477/J1477,0),1.3),MIN(MAX(J1477/K1477,0),1.3))),"") </f>
        <v/>
      </c>
      <c r="M1477" s="14">
        <f>IFERROR(IF(OR(J1477=0,K1477=""),"",IF(E1477="Positivo",MAX(K1477/J1477,0),MAX(J1477/K1477,0))),"") </f>
        <v/>
      </c>
      <c r="N1477" s="5" t="n"/>
      <c r="O1477" s="5" t="n"/>
      <c r="P1477" s="15" t="n">
        <v>0</v>
      </c>
      <c r="Q1477" s="15" t="n">
        <v>0</v>
      </c>
      <c r="R1477" s="5" t="inlineStr">
        <is>
          <t>290-2024-10-31</t>
        </is>
      </c>
    </row>
    <row r="1478" hidden="1">
      <c r="A1478" s="5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01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5" t="n">
        <v>100</v>
      </c>
      <c r="L1478" s="14">
        <f>IFERROR(IF(OR(J1478=0,K1478=""),"",IF(E1478="Positivo",MIN(MAX(K1478/J1478,0),1.3),MIN(MAX(J1478/K1478,0),1.3))),"") </f>
        <v/>
      </c>
      <c r="M1478" s="14">
        <f>IFERROR(IF(OR(J1478=0,K1478=""),"",IF(E1478="Positivo",MAX(K1478/J1478,0),MAX(J1478/K1478,0))),"") </f>
        <v/>
      </c>
      <c r="N1478" s="5" t="n"/>
      <c r="O1478" s="5" t="n"/>
      <c r="P1478" s="5" t="n">
        <v>0</v>
      </c>
      <c r="Q1478" s="5" t="n">
        <v>0</v>
      </c>
      <c r="R1478" s="5" t="inlineStr">
        <is>
          <t>290-2024-12-31</t>
        </is>
      </c>
    </row>
    <row r="1479" hidden="1">
      <c r="A1479" s="21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01" t="n">
        <v>45716</v>
      </c>
      <c r="G1479" s="5" t="n">
        <v>2025</v>
      </c>
      <c r="H1479" s="5" t="inlineStr">
        <is>
          <t>Febrero</t>
        </is>
      </c>
      <c r="I1479" s="6" t="inlineStr">
        <is>
          <t>2025-1</t>
        </is>
      </c>
      <c r="J1479" s="5" t="n">
        <v>90</v>
      </c>
      <c r="K1479" s="10" t="n">
        <v>80</v>
      </c>
      <c r="L1479" s="14">
        <f>IFERROR(IF(OR(J1479=0,K1479=""),"",IF(E1479="Positivo",MIN(MAX(K1479/J1479,0),1.3),MIN(MAX(J1479/K1479,0),1.3))),"") </f>
        <v/>
      </c>
      <c r="M1479" s="14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290-2025-02-28</t>
        </is>
      </c>
    </row>
    <row r="1480" hidden="1">
      <c r="A1480" s="5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01" t="n">
        <v>45777</v>
      </c>
      <c r="G1480" s="5" t="n">
        <v>2025</v>
      </c>
      <c r="H1480" s="5" t="inlineStr">
        <is>
          <t>Abril</t>
        </is>
      </c>
      <c r="I1480" s="6" t="inlineStr">
        <is>
          <t>2025-1</t>
        </is>
      </c>
      <c r="J1480" s="5" t="n">
        <v>90</v>
      </c>
      <c r="K1480" s="5" t="n">
        <v>100</v>
      </c>
      <c r="L1480" s="14">
        <f>IFERROR(IF(OR(J1480=0,K1480=""),"",IF(E1480="Positivo",MIN(MAX(K1480/J1480,0),1.3),MIN(MAX(J1480/K1480,0),1.3))),"") </f>
        <v/>
      </c>
      <c r="M1480" s="14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290-2025-04-30</t>
        </is>
      </c>
    </row>
    <row r="1481" hidden="1">
      <c r="A1481" s="21" t="n">
        <v>290</v>
      </c>
      <c r="B1481" s="5" t="inlineStr">
        <is>
          <t>Cierre eficaz de las oportunidades de mejora</t>
        </is>
      </c>
      <c r="C1481" s="5" t="inlineStr">
        <is>
          <t>Planificación POLISIGS</t>
        </is>
      </c>
      <c r="D1481" s="5" t="inlineStr">
        <is>
          <t>Bimestral</t>
        </is>
      </c>
      <c r="E1481" s="5" t="inlineStr">
        <is>
          <t>Positivo</t>
        </is>
      </c>
      <c r="F1481" s="101" t="n">
        <v>45838</v>
      </c>
      <c r="G1481" s="5" t="n">
        <v>2025</v>
      </c>
      <c r="H1481" s="5" t="inlineStr">
        <is>
          <t>Junio</t>
        </is>
      </c>
      <c r="I1481" s="6" t="inlineStr">
        <is>
          <t>2025-1</t>
        </is>
      </c>
      <c r="J1481" s="5" t="n">
        <v>90</v>
      </c>
      <c r="K1481" s="10" t="n">
        <v>100</v>
      </c>
      <c r="L1481" s="14">
        <f>IFERROR(IF(OR(J1481=0,K1481=""),"",IF(E1481="Positivo",MIN(MAX(K1481/J1481,0),1.3),MIN(MAX(J1481/K1481,0),1.3))),"") </f>
        <v/>
      </c>
      <c r="M1481" s="14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290-2025-06-30</t>
        </is>
      </c>
    </row>
    <row r="1482" hidden="1">
      <c r="A1482" s="5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01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100</v>
      </c>
      <c r="K1482" s="5" t="n">
        <v>100</v>
      </c>
      <c r="L1482" s="14">
        <f>IFERROR(IF(OR(J1482=0,K1482=""),"",IF(E1482="Positivo",MIN(MAX(K1482/J1482,0),1.3),MIN(MAX(J1482/K1482,0),1.3))),"") </f>
        <v/>
      </c>
      <c r="M1482" s="14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5" t="n">
        <v>0</v>
      </c>
      <c r="Q1482" s="5" t="n">
        <v>0</v>
      </c>
      <c r="R1482" s="5" t="inlineStr">
        <is>
          <t>291-2023-06-30</t>
        </is>
      </c>
    </row>
    <row r="1483" hidden="1">
      <c r="A1483" s="21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01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100</v>
      </c>
      <c r="K1483" s="10" t="n">
        <v>100</v>
      </c>
      <c r="L1483" s="14">
        <f>IFERROR(IF(OR(J1483=0,K1483=""),"",IF(E1483="Positivo",MIN(MAX(K1483/J1483,0),1.3),MIN(MAX(J1483/K1483,0),1.3))),"") </f>
        <v/>
      </c>
      <c r="M1483" s="14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291-2023-12-31</t>
        </is>
      </c>
    </row>
    <row r="1484" hidden="1">
      <c r="A1484" s="21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01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100</v>
      </c>
      <c r="K1484" s="10" t="n">
        <v>100</v>
      </c>
      <c r="L1484" s="14">
        <f>IFERROR(IF(OR(J1484=0,K1484=""),"",IF(E1484="Positivo",MIN(MAX(K1484/J1484,0),1.3),MIN(MAX(J1484/K1484,0),1.3))),"") </f>
        <v/>
      </c>
      <c r="M1484" s="14">
        <f>IFERROR(IF(OR(J1484=0,K1484=""),"",IF(E1484="Positivo",MAX(K1484/J1484,0),MAX(J1484/K1484,0))),"") </f>
        <v/>
      </c>
      <c r="N1484" s="5" t="inlineStr">
        <is>
          <t>%</t>
        </is>
      </c>
      <c r="O1484" s="5" t="inlineStr">
        <is>
          <t>%</t>
        </is>
      </c>
      <c r="P1484" s="15" t="n">
        <v>0</v>
      </c>
      <c r="Q1484" s="15" t="n">
        <v>0</v>
      </c>
      <c r="R1484" s="5" t="inlineStr">
        <is>
          <t>291-2024-06-30</t>
        </is>
      </c>
    </row>
    <row r="1485" hidden="1">
      <c r="A1485" s="5" t="n">
        <v>291</v>
      </c>
      <c r="B1485" s="5" t="inlineStr">
        <is>
          <t>Cumplimiento del cronograma de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01" t="n">
        <v>45657</v>
      </c>
      <c r="G1485" s="5" t="n">
        <v>2024</v>
      </c>
      <c r="H1485" s="5" t="inlineStr">
        <is>
          <t>Diciembre</t>
        </is>
      </c>
      <c r="I1485" s="6" t="inlineStr">
        <is>
          <t>2024-2</t>
        </is>
      </c>
      <c r="J1485" s="5" t="n">
        <v>100</v>
      </c>
      <c r="K1485" s="5" t="n">
        <v>100</v>
      </c>
      <c r="L1485" s="14">
        <f>IFERROR(IF(OR(J1485=0,K1485=""),"",IF(E1485="Positivo",MIN(MAX(K1485/J1485,0),1.3),MIN(MAX(J1485/K1485,0),1.3))),"") </f>
        <v/>
      </c>
      <c r="M1485" s="14">
        <f>IFERROR(IF(OR(J1485=0,K1485=""),"",IF(E1485="Positivo",MAX(K1485/J1485,0),MAX(J1485/K1485,0))),"") </f>
        <v/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291-2024-12-31</t>
        </is>
      </c>
    </row>
    <row r="1486" hidden="1">
      <c r="A1486" s="21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01" t="n">
        <v>45107</v>
      </c>
      <c r="G1486" s="5" t="n">
        <v>2023</v>
      </c>
      <c r="H1486" s="5" t="inlineStr">
        <is>
          <t>Junio</t>
        </is>
      </c>
      <c r="I1486" s="6" t="inlineStr">
        <is>
          <t>2023-1</t>
        </is>
      </c>
      <c r="J1486" s="5" t="n">
        <v>3</v>
      </c>
      <c r="K1486" s="10" t="n">
        <v>10.990099009901</v>
      </c>
      <c r="L1486" s="14">
        <f>IFERROR(IF(OR(J1486=0,K1486=""),"",IF(E1486="Positivo",MIN(MAX(K1486/J1486,0),1.3),MIN(MAX(J1486/K1486,0),1.3))),"") </f>
        <v/>
      </c>
      <c r="M1486" s="14">
        <f>IFERROR(IF(OR(J1486=0,K1486=""),"",IF(E1486="Positivo",MAX(K1486/J1486,0),MAX(J1486/K1486,0))),"") </f>
        <v/>
      </c>
      <c r="N1486" s="5" t="inlineStr">
        <is>
          <t>%</t>
        </is>
      </c>
      <c r="O1486" s="5" t="inlineStr">
        <is>
          <t>%</t>
        </is>
      </c>
      <c r="P1486" s="15" t="n">
        <v>0</v>
      </c>
      <c r="Q1486" s="15" t="n">
        <v>0</v>
      </c>
      <c r="R1486" s="5" t="inlineStr">
        <is>
          <t>292-2023-06-30</t>
        </is>
      </c>
    </row>
    <row r="1487" hidden="1">
      <c r="A1487" s="21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01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3</v>
      </c>
      <c r="K1487" s="10" t="n">
        <v>27.659574468085</v>
      </c>
      <c r="L1487" s="14">
        <f>IFERROR(IF(OR(J1487=0,K1487=""),"",IF(E1487="Positivo",MIN(MAX(K1487/J1487,0),1.3),MIN(MAX(J1487/K1487,0),1.3))),"") </f>
        <v/>
      </c>
      <c r="M1487" s="14">
        <f>IFERROR(IF(OR(J1487=0,K1487=""),"",IF(E1487="Positivo",MAX(K1487/J1487,0),MAX(J1487/K1487,0))),"") </f>
        <v/>
      </c>
      <c r="N1487" s="5" t="inlineStr">
        <is>
          <t>%</t>
        </is>
      </c>
      <c r="O1487" s="5" t="inlineStr">
        <is>
          <t>%</t>
        </is>
      </c>
      <c r="P1487" s="15" t="n">
        <v>0</v>
      </c>
      <c r="Q1487" s="15" t="n">
        <v>0</v>
      </c>
      <c r="R1487" s="5" t="inlineStr">
        <is>
          <t>292-2023-12-31</t>
        </is>
      </c>
    </row>
    <row r="1488" hidden="1">
      <c r="A1488" s="21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01" t="n">
        <v>45473</v>
      </c>
      <c r="G1488" s="5" t="n">
        <v>2024</v>
      </c>
      <c r="H1488" s="5" t="inlineStr">
        <is>
          <t>Junio</t>
        </is>
      </c>
      <c r="I1488" s="6" t="inlineStr">
        <is>
          <t>2024-1</t>
        </is>
      </c>
      <c r="J1488" s="5" t="n">
        <v>3</v>
      </c>
      <c r="K1488" s="10" t="n">
        <v>23.31390507910074</v>
      </c>
      <c r="L1488" s="14">
        <f>IFERROR(IF(OR(J1488=0,K1488=""),"",IF(E1488="Positivo",MIN(MAX(K1488/J1488,0),1.3),MIN(MAX(J1488/K1488,0),1.3))),"") </f>
        <v/>
      </c>
      <c r="M1488" s="14">
        <f>IFERROR(IF(OR(J1488=0,K1488=""),"",IF(E1488="Positivo",MAX(K1488/J1488,0),MAX(J1488/K1488,0))),"") </f>
        <v/>
      </c>
      <c r="N1488" s="5" t="inlineStr">
        <is>
          <t>%</t>
        </is>
      </c>
      <c r="O1488" s="5" t="inlineStr">
        <is>
          <t>%</t>
        </is>
      </c>
      <c r="P1488" s="15" t="n">
        <v>0</v>
      </c>
      <c r="Q1488" s="15" t="n">
        <v>0</v>
      </c>
      <c r="R1488" s="5" t="inlineStr">
        <is>
          <t>292-2024-06-30</t>
        </is>
      </c>
    </row>
    <row r="1489" hidden="1">
      <c r="A1489" s="5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01" t="n">
        <v>45657</v>
      </c>
      <c r="G1489" s="5" t="n">
        <v>2024</v>
      </c>
      <c r="H1489" s="5" t="inlineStr">
        <is>
          <t>Diciembre</t>
        </is>
      </c>
      <c r="I1489" s="6" t="inlineStr">
        <is>
          <t>2024-2</t>
        </is>
      </c>
      <c r="J1489" s="5" t="n">
        <v>3</v>
      </c>
      <c r="K1489" s="5" t="n">
        <v>14.26386233269599</v>
      </c>
      <c r="L1489" s="14">
        <f>IFERROR(IF(OR(J1489=0,K1489=""),"",IF(E1489="Positivo",MIN(MAX(K1489/J1489,0),1.3),MIN(MAX(J1489/K1489,0),1.3))),"") </f>
        <v/>
      </c>
      <c r="M1489" s="14">
        <f>IFERROR(IF(OR(J1489=0,K1489=""),"",IF(E1489="Positivo",MAX(K1489/J1489,0),MAX(J1489/K1489,0))),"") </f>
        <v/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292-2024-12-31</t>
        </is>
      </c>
    </row>
    <row r="1490" hidden="1">
      <c r="A1490" s="21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101" t="n">
        <v>45838</v>
      </c>
      <c r="G1490" s="5" t="n">
        <v>2025</v>
      </c>
      <c r="H1490" s="5" t="inlineStr">
        <is>
          <t>Junio</t>
        </is>
      </c>
      <c r="I1490" s="6" t="inlineStr">
        <is>
          <t>2025-1</t>
        </is>
      </c>
      <c r="J1490" s="5" t="n">
        <v>8</v>
      </c>
      <c r="K1490" s="10" t="n">
        <v>9.789999999999999</v>
      </c>
      <c r="L1490" s="14">
        <f>IFERROR(IF(OR(J1490=0,K1490=""),"",IF(E1490="Positivo",MIN(MAX(K1490/J1490,0),1.3),MIN(MAX(J1490/K1490,0),1.3))),"") </f>
        <v/>
      </c>
      <c r="M1490" s="14">
        <f>IFERROR(IF(OR(J1490=0,K1490=""),"",IF(E1490="Positivo",MAX(K1490/J1490,0),MAX(J1490/K1490,0))),"") </f>
        <v/>
      </c>
      <c r="N1490" s="5" t="inlineStr">
        <is>
          <t>%</t>
        </is>
      </c>
      <c r="O1490" s="5" t="inlineStr">
        <is>
          <t>%</t>
        </is>
      </c>
      <c r="P1490" s="15" t="n">
        <v>0</v>
      </c>
      <c r="Q1490" s="15" t="n">
        <v>0</v>
      </c>
      <c r="R1490" s="5" t="inlineStr">
        <is>
          <t>292-2025-06-30</t>
        </is>
      </c>
    </row>
    <row r="1491" hidden="1">
      <c r="A1491" s="21" t="n">
        <v>292</v>
      </c>
      <c r="B1491" s="5" t="inlineStr">
        <is>
          <t>Participación en Actividades deportivas</t>
        </is>
      </c>
      <c r="C1491" s="5" t="inlineStr">
        <is>
          <t>Cultura y Deporte</t>
        </is>
      </c>
      <c r="D1491" s="5" t="inlineStr">
        <is>
          <t>Trimestral</t>
        </is>
      </c>
      <c r="E1491" s="5" t="inlineStr">
        <is>
          <t>Positivo</t>
        </is>
      </c>
      <c r="F1491" s="101" t="n">
        <v>46022</v>
      </c>
      <c r="G1491" s="5" t="n">
        <v>2025</v>
      </c>
      <c r="H1491" s="5" t="inlineStr">
        <is>
          <t>Diciembre</t>
        </is>
      </c>
      <c r="I1491" s="6" t="inlineStr">
        <is>
          <t>2025-2</t>
        </is>
      </c>
      <c r="J1491" s="5" t="n">
        <v>8</v>
      </c>
      <c r="K1491" s="10" t="n">
        <v>11.21</v>
      </c>
      <c r="L1491" s="14">
        <f>IFERROR(IF(OR(J1491=0,K1491=""),"",IF(E1491="Positivo",MIN(MAX(K1491/J1491,0),1.3),MIN(MAX(J1491/K1491,0),1.3))),"") </f>
        <v/>
      </c>
      <c r="M1491" s="14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5" t="n">
        <v>0</v>
      </c>
      <c r="Q1491" s="15" t="n">
        <v>0</v>
      </c>
      <c r="R1491" s="5" t="inlineStr">
        <is>
          <t>292-2025-12-31</t>
        </is>
      </c>
    </row>
    <row r="1492" hidden="1">
      <c r="A1492" s="21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01" t="n">
        <v>45107</v>
      </c>
      <c r="G1492" s="5" t="n">
        <v>2023</v>
      </c>
      <c r="H1492" s="5" t="inlineStr">
        <is>
          <t>Junio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>
        <f>IFERROR(IF(OR(J1492=0,K1492=""),"",IF(E1492="Positivo",MIN(MAX(K1492/J1492,0),1.3),MIN(MAX(J1492/K1492,0),1.3))),"") </f>
        <v/>
      </c>
      <c r="M1492" s="14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293-2023-06-30</t>
        </is>
      </c>
    </row>
    <row r="1493" hidden="1">
      <c r="A1493" s="5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01" t="n">
        <v>45291</v>
      </c>
      <c r="G1493" s="5" t="n">
        <v>2023</v>
      </c>
      <c r="H1493" s="5" t="inlineStr">
        <is>
          <t>Diciembre</t>
        </is>
      </c>
      <c r="I1493" s="6" t="inlineStr">
        <is>
          <t>2023-2</t>
        </is>
      </c>
      <c r="J1493" s="5" t="n">
        <v>100</v>
      </c>
      <c r="K1493" s="5" t="n">
        <v>100</v>
      </c>
      <c r="L1493" s="14">
        <f>IFERROR(IF(OR(J1493=0,K1493=""),"",IF(E1493="Positivo",MIN(MAX(K1493/J1493,0),1.3),MIN(MAX(J1493/K1493,0),1.3))),"") </f>
        <v/>
      </c>
      <c r="M1493" s="14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5" t="n">
        <v>0</v>
      </c>
      <c r="Q1493" s="5" t="n">
        <v>0</v>
      </c>
      <c r="R1493" s="5" t="inlineStr">
        <is>
          <t>293-2023-12-31</t>
        </is>
      </c>
    </row>
    <row r="1494" hidden="1">
      <c r="A1494" s="21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01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10" t="n">
        <v>100</v>
      </c>
      <c r="L1494" s="14">
        <f>IFERROR(IF(OR(J1494=0,K1494=""),"",IF(E1494="Positivo",MIN(MAX(K1494/J1494,0),1.3),MIN(MAX(J1494/K1494,0),1.3))),"") </f>
        <v/>
      </c>
      <c r="M1494" s="14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293-2024-06-30</t>
        </is>
      </c>
    </row>
    <row r="1495" hidden="1">
      <c r="A1495" s="21" t="n">
        <v>293</v>
      </c>
      <c r="B1495" s="5" t="inlineStr">
        <is>
          <t>Cumplimiento del cronograma de actividades culturales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01" t="n">
        <v>45657</v>
      </c>
      <c r="G1495" s="5" t="n">
        <v>2024</v>
      </c>
      <c r="H1495" s="5" t="inlineStr">
        <is>
          <t>Diciembre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14">
        <f>IFERROR(IF(OR(J1495=0,K1495=""),"",IF(E1495="Positivo",MIN(MAX(K1495/J1495,0),1.3),MIN(MAX(J1495/K1495,0),1.3))),"") </f>
        <v/>
      </c>
      <c r="M1495" s="14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293-2024-12-31</t>
        </is>
      </c>
    </row>
    <row r="1496" hidden="1">
      <c r="A1496" s="5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01" t="n">
        <v>45107</v>
      </c>
      <c r="G1496" s="5" t="n">
        <v>2023</v>
      </c>
      <c r="H1496" s="5" t="inlineStr">
        <is>
          <t>Junio</t>
        </is>
      </c>
      <c r="I1496" s="6" t="inlineStr">
        <is>
          <t>2023-1</t>
        </is>
      </c>
      <c r="J1496" s="5" t="n">
        <v>3</v>
      </c>
      <c r="K1496" s="5" t="n">
        <v>30.15873015873</v>
      </c>
      <c r="L1496" s="14">
        <f>IFERROR(IF(OR(J1496=0,K1496=""),"",IF(E1496="Positivo",MIN(MAX(K1496/J1496,0),1.3),MIN(MAX(J1496/K1496,0),1.3))),"") </f>
        <v/>
      </c>
      <c r="M1496" s="14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294-2023-06-30</t>
        </is>
      </c>
    </row>
    <row r="1497" hidden="1">
      <c r="A1497" s="21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01" t="n">
        <v>45291</v>
      </c>
      <c r="G1497" s="5" t="n">
        <v>2023</v>
      </c>
      <c r="H1497" s="5" t="inlineStr">
        <is>
          <t>Diciembre</t>
        </is>
      </c>
      <c r="I1497" s="6" t="inlineStr">
        <is>
          <t>2023-2</t>
        </is>
      </c>
      <c r="J1497" s="5" t="n">
        <v>3</v>
      </c>
      <c r="K1497" s="10" t="n">
        <v>41.986754966887</v>
      </c>
      <c r="L1497" s="14">
        <f>IFERROR(IF(OR(J1497=0,K1497=""),"",IF(E1497="Positivo",MIN(MAX(K1497/J1497,0),1.3),MIN(MAX(J1497/K1497,0),1.3))),"") </f>
        <v/>
      </c>
      <c r="M1497" s="14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294-2023-12-31</t>
        </is>
      </c>
    </row>
    <row r="1498" hidden="1">
      <c r="A1498" s="21" t="n">
        <v>294</v>
      </c>
      <c r="B1498" s="20" t="inlineStr">
        <is>
          <t>Participación en actividades culturales presenciales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01" t="n">
        <v>45473</v>
      </c>
      <c r="G1498" s="5" t="n">
        <v>2024</v>
      </c>
      <c r="H1498" s="5" t="inlineStr">
        <is>
          <t>Junio</t>
        </is>
      </c>
      <c r="I1498" s="6" t="inlineStr">
        <is>
          <t>2024-1</t>
        </is>
      </c>
      <c r="J1498" s="5" t="n">
        <v>3</v>
      </c>
      <c r="K1498" s="52" t="n">
        <v>26.27669452181987</v>
      </c>
      <c r="L1498" s="14">
        <f>IFERROR(IF(OR(J1498=0,K1498=""),"",IF(E1498="Positivo",MIN(MAX(K1498/J1498,0),1.3),MIN(MAX(J1498/K1498,0),1.3))),"") </f>
        <v/>
      </c>
      <c r="M1498" s="14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294-2024-06-30</t>
        </is>
      </c>
    </row>
    <row r="1499" hidden="1">
      <c r="A1499" s="21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01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3</v>
      </c>
      <c r="K1499" s="15" t="n">
        <v>5.5</v>
      </c>
      <c r="L1499" s="14">
        <f>IFERROR(IF(OR(J1499=0,K1499=""),"",IF(E1499="Positivo",MIN(MAX(K1499/J1499,0),1.3),MIN(MAX(J1499/K1499,0),1.3))),"") </f>
        <v/>
      </c>
      <c r="M1499" s="14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294-2024-12-31</t>
        </is>
      </c>
    </row>
    <row r="1500" hidden="1">
      <c r="A1500" s="21" t="n">
        <v>294</v>
      </c>
      <c r="B1500" s="20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Semestral</t>
        </is>
      </c>
      <c r="E1500" s="5" t="inlineStr">
        <is>
          <t>Positivo</t>
        </is>
      </c>
      <c r="F1500" s="101" t="n">
        <v>45838</v>
      </c>
      <c r="G1500" s="5" t="n">
        <v>2025</v>
      </c>
      <c r="H1500" s="5" t="inlineStr">
        <is>
          <t>Junio</t>
        </is>
      </c>
      <c r="I1500" s="6" t="inlineStr">
        <is>
          <t>2025-1</t>
        </is>
      </c>
      <c r="J1500" s="5" t="n">
        <v>8</v>
      </c>
      <c r="K1500" s="5" t="n">
        <v>-9.19</v>
      </c>
      <c r="L1500" s="14">
        <f>IFERROR(IF(OR(J1500=0,K1500=""),"",IF(E1500="Positivo",MIN(MAX(K1500/J1500,0),1.3),MIN(MAX(J1500/K1500,0),1.3))),"") </f>
        <v/>
      </c>
      <c r="M1500" s="14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294-2025-06-30</t>
        </is>
      </c>
    </row>
    <row r="1501" hidden="1">
      <c r="A1501" s="21" t="n">
        <v>294</v>
      </c>
      <c r="B1501" s="5" t="inlineStr">
        <is>
          <t>Participación en actividades culturales</t>
        </is>
      </c>
      <c r="C1501" s="5" t="inlineStr">
        <is>
          <t>Cultura y Deporte</t>
        </is>
      </c>
      <c r="D1501" s="5" t="inlineStr">
        <is>
          <t>Trimestral</t>
        </is>
      </c>
      <c r="E1501" s="5" t="inlineStr">
        <is>
          <t>Positivo</t>
        </is>
      </c>
      <c r="F1501" s="101" t="n">
        <v>46022</v>
      </c>
      <c r="G1501" s="5" t="n">
        <v>2025</v>
      </c>
      <c r="H1501" s="5" t="inlineStr">
        <is>
          <t>Diciembre</t>
        </is>
      </c>
      <c r="I1501" s="6" t="inlineStr">
        <is>
          <t>2025-2</t>
        </is>
      </c>
      <c r="J1501" s="5" t="n">
        <v>8</v>
      </c>
      <c r="K1501" s="10" t="n">
        <v>54.02</v>
      </c>
      <c r="L1501" s="14">
        <f>IFERROR(IF(OR(J1501=0,K1501=""),"",IF(E1501="Positivo",MIN(MAX(K1501/J1501,0),1.3),MIN(MAX(J1501/K1501,0),1.3))),"") </f>
        <v/>
      </c>
      <c r="M1501" s="14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294-2025-12-31</t>
        </is>
      </c>
    </row>
    <row r="1502" hidden="1">
      <c r="A1502" s="21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01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11</v>
      </c>
      <c r="K1502" s="10" t="n">
        <v>5</v>
      </c>
      <c r="L1502" s="14">
        <f>IFERROR(IF(OR(J1502=0,K1502=""),"",IF(E1502="Positivo",MIN(MAX(K1502/J1502,0),1.3),MIN(MAX(J1502/K1502,0),1.3))),"") </f>
        <v/>
      </c>
      <c r="M1502" s="14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295-2023-06-30</t>
        </is>
      </c>
    </row>
    <row r="1503" hidden="1">
      <c r="A1503" s="21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01" t="n">
        <v>45291</v>
      </c>
      <c r="G1503" s="5" t="n">
        <v>2023</v>
      </c>
      <c r="H1503" s="5" t="inlineStr">
        <is>
          <t>Diciembre</t>
        </is>
      </c>
      <c r="I1503" s="6" t="inlineStr">
        <is>
          <t>2023-2</t>
        </is>
      </c>
      <c r="J1503" s="5" t="n">
        <v>21</v>
      </c>
      <c r="K1503" s="10" t="n">
        <v>9</v>
      </c>
      <c r="L1503" s="14">
        <f>IFERROR(IF(OR(J1503=0,K1503=""),"",IF(E1503="Positivo",MIN(MAX(K1503/J1503,0),1.3),MIN(MAX(J1503/K1503,0),1.3))),"") </f>
        <v/>
      </c>
      <c r="M1503" s="14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295-2023-12-31</t>
        </is>
      </c>
    </row>
    <row r="1504" hidden="1">
      <c r="A1504" s="21" t="n">
        <v>295</v>
      </c>
      <c r="B1504" s="5" t="inlineStr">
        <is>
          <t>Cumplimiento Del Cierre De Oportunidades De Mejora De Auditoria</t>
        </is>
      </c>
      <c r="C1504" s="5" t="inlineStr">
        <is>
          <t>AUDITORÍA INTERNA</t>
        </is>
      </c>
      <c r="D1504" s="5" t="inlineStr">
        <is>
          <t>Semestral</t>
        </is>
      </c>
      <c r="E1504" s="5" t="inlineStr">
        <is>
          <t>Positivo</t>
        </is>
      </c>
      <c r="F1504" s="101" t="n">
        <v>45473</v>
      </c>
      <c r="G1504" s="5" t="n">
        <v>2024</v>
      </c>
      <c r="H1504" s="5" t="inlineStr">
        <is>
          <t>Junio</t>
        </is>
      </c>
      <c r="I1504" s="6" t="inlineStr">
        <is>
          <t>2024-1</t>
        </is>
      </c>
      <c r="J1504" s="5" t="n">
        <v>60</v>
      </c>
      <c r="K1504" s="10" t="n">
        <v>52.38</v>
      </c>
      <c r="L1504" s="14">
        <f>IFERROR(IF(OR(J1504=0,K1504=""),"",IF(E1504="Positivo",MIN(MAX(K1504/J1504,0),1.3),MIN(MAX(J1504/K1504,0),1.3))),"") </f>
        <v/>
      </c>
      <c r="M1504" s="14">
        <f>IFERROR(IF(OR(J1504=0,K1504=""),"",IF(E1504="Positivo",MAX(K1504/J1504,0),MAX(J1504/K1504,0))),"") </f>
        <v/>
      </c>
      <c r="N1504" s="5" t="inlineStr">
        <is>
          <t>ENT</t>
        </is>
      </c>
      <c r="O1504" s="5" t="inlineStr">
        <is>
          <t>ENT</t>
        </is>
      </c>
      <c r="P1504" s="15" t="n">
        <v>0</v>
      </c>
      <c r="Q1504" s="15" t="n">
        <v>0</v>
      </c>
      <c r="R1504" s="5" t="inlineStr">
        <is>
          <t>295-2024-06-30</t>
        </is>
      </c>
    </row>
    <row r="1505" hidden="1">
      <c r="A1505" s="21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01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70</v>
      </c>
      <c r="K1505" s="10" t="n">
        <v>70.91</v>
      </c>
      <c r="L1505" s="14">
        <f>IFERROR(IF(OR(J1505=0,K1505=""),"",IF(E1505="Positivo",MIN(MAX(K1505/J1505,0),1.3),MIN(MAX(J1505/K1505,0),1.3))),"") </f>
        <v/>
      </c>
      <c r="M1505" s="14">
        <f>IFERROR(IF(OR(J1505=0,K1505=""),"",IF(E1505="Positivo",MAX(K1505/J1505,0),MAX(J1505/K1505,0))),"") </f>
        <v/>
      </c>
      <c r="N1505" s="5" t="inlineStr">
        <is>
          <t>ENT</t>
        </is>
      </c>
      <c r="O1505" s="5" t="inlineStr">
        <is>
          <t>ENT</t>
        </is>
      </c>
      <c r="P1505" s="15" t="n">
        <v>0</v>
      </c>
      <c r="Q1505" s="15" t="n">
        <v>0</v>
      </c>
      <c r="R1505" s="5" t="inlineStr">
        <is>
          <t>296-2023-08-31</t>
        </is>
      </c>
    </row>
    <row r="1506" hidden="1">
      <c r="A1506" s="21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01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80</v>
      </c>
      <c r="K1506" s="10" t="n">
        <v>80</v>
      </c>
      <c r="L1506" s="14">
        <f>IFERROR(IF(OR(J1506=0,K1506=""),"",IF(E1506="Positivo",MIN(MAX(K1506/J1506,0),1.3),MIN(MAX(J1506/K1506,0),1.3))),"") </f>
        <v/>
      </c>
      <c r="M1506" s="14">
        <f>IFERROR(IF(OR(J1506=0,K1506=""),"",IF(E1506="Positivo",MAX(K1506/J1506,0),MAX(J1506/K1506,0))),"") </f>
        <v/>
      </c>
      <c r="N1506" s="5" t="inlineStr">
        <is>
          <t>ENT</t>
        </is>
      </c>
      <c r="O1506" s="5" t="inlineStr">
        <is>
          <t>ENT</t>
        </is>
      </c>
      <c r="P1506" s="15" t="n">
        <v>0</v>
      </c>
      <c r="Q1506" s="15" t="n">
        <v>0</v>
      </c>
      <c r="R1506" s="5" t="inlineStr">
        <is>
          <t>296-2023-10-31</t>
        </is>
      </c>
    </row>
    <row r="1507" hidden="1">
      <c r="A1507" s="21" t="n">
        <v>296</v>
      </c>
      <c r="B1507" s="5" t="inlineStr">
        <is>
          <t>Gestión de riesgos por subprocesos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Positivo</t>
        </is>
      </c>
      <c r="F1507" s="101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10" t="n">
        <v>85.45</v>
      </c>
      <c r="L1507" s="14">
        <f>IFERROR(IF(OR(J1507=0,K1507=""),"",IF(E1507="Positivo",MIN(MAX(K1507/J1507,0),1.3),MIN(MAX(J1507/K1507,0),1.3))),"") </f>
        <v/>
      </c>
      <c r="M1507" s="14">
        <f>IFERROR(IF(OR(J1507=0,K1507=""),"",IF(E1507="Positivo",MAX(K1507/J1507,0),MAX(J1507/K1507,0))),"") </f>
        <v/>
      </c>
      <c r="N1507" s="5" t="inlineStr">
        <is>
          <t>ENT</t>
        </is>
      </c>
      <c r="O1507" s="5" t="inlineStr">
        <is>
          <t>ENT</t>
        </is>
      </c>
      <c r="P1507" s="15" t="n">
        <v>0</v>
      </c>
      <c r="Q1507" s="15" t="n">
        <v>0</v>
      </c>
      <c r="R1507" s="5" t="inlineStr">
        <is>
          <t>296-2023-12-31</t>
        </is>
      </c>
    </row>
    <row r="1508" hidden="1">
      <c r="A1508" s="21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01" t="n">
        <v>45169</v>
      </c>
      <c r="G1508" s="5" t="n">
        <v>2023</v>
      </c>
      <c r="H1508" s="5" t="inlineStr">
        <is>
          <t>Agosto</t>
        </is>
      </c>
      <c r="I1508" s="6" t="inlineStr">
        <is>
          <t>2023-2</t>
        </is>
      </c>
      <c r="J1508" s="5" t="n">
        <v>20</v>
      </c>
      <c r="K1508" s="10" t="n">
        <v>0</v>
      </c>
      <c r="L1508" s="14">
        <f>IFERROR(IF(OR(J1508=0,K1508=""),"",IF(E1508="Positivo",MIN(MAX(K1508/J1508,0),1.3),MIN(MAX(J1508/K1508,0),1.3))),"") </f>
        <v/>
      </c>
      <c r="M1508" s="14">
        <f>IFERROR(IF(OR(J1508=0,K1508=""),"",IF(E1508="Positivo",MAX(K1508/J1508,0),MAX(J1508/K1508,0))),"") </f>
        <v/>
      </c>
      <c r="N1508" s="5" t="inlineStr">
        <is>
          <t>ENT</t>
        </is>
      </c>
      <c r="O1508" s="5" t="inlineStr">
        <is>
          <t>ENT</t>
        </is>
      </c>
      <c r="P1508" s="15" t="n">
        <v>0</v>
      </c>
      <c r="Q1508" s="15" t="n">
        <v>0</v>
      </c>
      <c r="R1508" s="5" t="inlineStr">
        <is>
          <t>297-2023-08-31</t>
        </is>
      </c>
    </row>
    <row r="1509" hidden="1">
      <c r="A1509" s="21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01" t="n">
        <v>45230</v>
      </c>
      <c r="G1509" s="5" t="n">
        <v>2023</v>
      </c>
      <c r="H1509" s="5" t="inlineStr">
        <is>
          <t>Octubre</t>
        </is>
      </c>
      <c r="I1509" s="6" t="inlineStr">
        <is>
          <t>2023-2</t>
        </is>
      </c>
      <c r="J1509" s="5" t="n">
        <v>20</v>
      </c>
      <c r="K1509" s="10" t="n">
        <v>1.19</v>
      </c>
      <c r="L1509" s="14">
        <f>IFERROR(IF(OR(J1509=0,K1509=""),"",IF(E1509="Positivo",MIN(MAX(K1509/J1509,0),1.3),MIN(MAX(J1509/K1509,0),1.3))),"") </f>
        <v/>
      </c>
      <c r="M1509" s="14">
        <f>IFERROR(IF(OR(J1509=0,K1509=""),"",IF(E1509="Positivo",MAX(K1509/J1509,0),MAX(J1509/K1509,0))),"") </f>
        <v/>
      </c>
      <c r="N1509" s="5" t="inlineStr">
        <is>
          <t>ENT</t>
        </is>
      </c>
      <c r="O1509" s="5" t="inlineStr">
        <is>
          <t>DEC</t>
        </is>
      </c>
      <c r="P1509" s="15" t="n">
        <v>2</v>
      </c>
      <c r="Q1509" s="15" t="n">
        <v>2</v>
      </c>
      <c r="R1509" s="5" t="inlineStr">
        <is>
          <t>297-2023-10-31</t>
        </is>
      </c>
    </row>
    <row r="1510" hidden="1">
      <c r="A1510" s="21" t="n">
        <v>297</v>
      </c>
      <c r="B1510" s="5" t="inlineStr">
        <is>
          <t>N de riesgos operacionales intervenidos</t>
        </is>
      </c>
      <c r="C1510" s="5" t="inlineStr">
        <is>
          <t>GESTIÓN DE RIESGOS</t>
        </is>
      </c>
      <c r="D1510" s="5" t="inlineStr">
        <is>
          <t>Bimestral</t>
        </is>
      </c>
      <c r="E1510" s="5" t="inlineStr">
        <is>
          <t>Negativo</t>
        </is>
      </c>
      <c r="F1510" s="101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>
        <v>20</v>
      </c>
      <c r="K1510" s="10" t="n">
        <v>0.93</v>
      </c>
      <c r="L1510" s="14">
        <f>IFERROR(IF(OR(J1510=0,K1510=""),"",IF(E1510="Positivo",MIN(MAX(K1510/J1510,0),1.3),MIN(MAX(J1510/K1510,0),1.3))),"") </f>
        <v/>
      </c>
      <c r="M1510" s="14">
        <f>IFERROR(IF(OR(J1510=0,K1510=""),"",IF(E1510="Positivo",MAX(K1510/J1510,0),MAX(J1510/K1510,0))),"") </f>
        <v/>
      </c>
      <c r="N1510" s="5" t="inlineStr">
        <is>
          <t>ENT</t>
        </is>
      </c>
      <c r="O1510" s="5" t="inlineStr">
        <is>
          <t>DEC</t>
        </is>
      </c>
      <c r="P1510" s="15" t="n">
        <v>0</v>
      </c>
      <c r="Q1510" s="15" t="n">
        <v>0</v>
      </c>
      <c r="R1510" s="5" t="inlineStr">
        <is>
          <t>297-2023-12-31</t>
        </is>
      </c>
    </row>
    <row r="1511" hidden="1">
      <c r="A1511" s="21" t="n">
        <v>298</v>
      </c>
      <c r="B1511" s="5" t="inlineStr">
        <is>
          <t>N de riesgos materializados</t>
        </is>
      </c>
      <c r="C1511" s="5" t="inlineStr">
        <is>
          <t>GESTIÓN DE RIESGOS</t>
        </is>
      </c>
      <c r="D1511" s="5" t="inlineStr">
        <is>
          <t>Semestral</t>
        </is>
      </c>
      <c r="E1511" s="5" t="inlineStr">
        <is>
          <t>Negativo</t>
        </is>
      </c>
      <c r="F1511" s="101" t="n">
        <v>45291</v>
      </c>
      <c r="G1511" s="5" t="n">
        <v>2023</v>
      </c>
      <c r="H1511" s="5" t="inlineStr">
        <is>
          <t>Diciembre</t>
        </is>
      </c>
      <c r="I1511" s="6" t="inlineStr">
        <is>
          <t>2023-2</t>
        </is>
      </c>
      <c r="J1511" s="5" t="n"/>
      <c r="K1511" s="10" t="n">
        <v>1</v>
      </c>
      <c r="L1511" s="14" t="n"/>
      <c r="M1511" s="14" t="n"/>
      <c r="N1511" s="5" t="inlineStr">
        <is>
          <t>Linea Base</t>
        </is>
      </c>
      <c r="O1511" s="5" t="inlineStr">
        <is>
          <t>DEC</t>
        </is>
      </c>
      <c r="P1511" s="15" t="n">
        <v>0</v>
      </c>
      <c r="Q1511" s="15" t="n">
        <v>0</v>
      </c>
      <c r="R1511" s="5" t="inlineStr">
        <is>
          <t>298-2023-12-31</t>
        </is>
      </c>
    </row>
    <row r="1512" hidden="1">
      <c r="A1512" s="21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01" t="n">
        <v>45016</v>
      </c>
      <c r="G1512" s="5" t="n">
        <v>2023</v>
      </c>
      <c r="H1512" s="5" t="inlineStr">
        <is>
          <t>Marzo</t>
        </is>
      </c>
      <c r="I1512" s="6" t="inlineStr">
        <is>
          <t>2023-1</t>
        </is>
      </c>
      <c r="J1512" s="5" t="n">
        <v>100</v>
      </c>
      <c r="K1512" s="10" t="n">
        <v>100</v>
      </c>
      <c r="L1512" s="14">
        <f>IFERROR(IF(OR(J1512=0,K1512=""),"",IF(E1512="Positivo",MIN(MAX(K1512/J1512,0),1.3),MIN(MAX(J1512/K1512,0),1.3))),"") </f>
        <v/>
      </c>
      <c r="M1512" s="14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300-2023-03-31</t>
        </is>
      </c>
    </row>
    <row r="1513" hidden="1">
      <c r="A1513" s="21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01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100</v>
      </c>
      <c r="K1513" s="10" t="n">
        <v>100</v>
      </c>
      <c r="L1513" s="14">
        <f>IFERROR(IF(OR(J1513=0,K1513=""),"",IF(E1513="Positivo",MIN(MAX(K1513/J1513,0),1.3),MIN(MAX(J1513/K1513,0),1.3))),"") </f>
        <v/>
      </c>
      <c r="M1513" s="14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300-2023-06-30</t>
        </is>
      </c>
    </row>
    <row r="1514" hidden="1">
      <c r="A1514" s="5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01" t="n">
        <v>45199</v>
      </c>
      <c r="G1514" s="5" t="n">
        <v>2023</v>
      </c>
      <c r="H1514" s="5" t="inlineStr">
        <is>
          <t>Septiembre</t>
        </is>
      </c>
      <c r="I1514" s="6" t="inlineStr">
        <is>
          <t>2023-2</t>
        </is>
      </c>
      <c r="J1514" s="5" t="n">
        <v>100</v>
      </c>
      <c r="K1514" s="5" t="n">
        <v>100</v>
      </c>
      <c r="L1514" s="14">
        <f>IFERROR(IF(OR(J1514=0,K1514=""),"",IF(E1514="Positivo",MIN(MAX(K1514/J1514,0),1.3),MIN(MAX(J1514/K1514,0),1.3))),"") </f>
        <v/>
      </c>
      <c r="M1514" s="14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5" t="n">
        <v>0</v>
      </c>
      <c r="Q1514" s="5" t="n">
        <v>0</v>
      </c>
      <c r="R1514" s="5" t="inlineStr">
        <is>
          <t>300-2023-09-30</t>
        </is>
      </c>
    </row>
    <row r="1515" hidden="1">
      <c r="A1515" s="21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01" t="n">
        <v>45291</v>
      </c>
      <c r="G1515" s="5" t="n">
        <v>2023</v>
      </c>
      <c r="H1515" s="5" t="inlineStr">
        <is>
          <t>Diciembre</t>
        </is>
      </c>
      <c r="I1515" s="6" t="inlineStr">
        <is>
          <t>2023-2</t>
        </is>
      </c>
      <c r="J1515" s="5" t="n">
        <v>100</v>
      </c>
      <c r="K1515" s="10" t="n">
        <v>100</v>
      </c>
      <c r="L1515" s="14">
        <f>IFERROR(IF(OR(J1515=0,K1515=""),"",IF(E1515="Positivo",MIN(MAX(K1515/J1515,0),1.3),MIN(MAX(J1515/K1515,0),1.3))),"") </f>
        <v/>
      </c>
      <c r="M1515" s="14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300-2023-12-31</t>
        </is>
      </c>
    </row>
    <row r="1516" hidden="1">
      <c r="A1516" s="21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01" t="n">
        <v>45382</v>
      </c>
      <c r="G1516" s="5" t="n">
        <v>2024</v>
      </c>
      <c r="H1516" s="5" t="inlineStr">
        <is>
          <t>Marzo</t>
        </is>
      </c>
      <c r="I1516" s="6" t="inlineStr">
        <is>
          <t>2024-1</t>
        </is>
      </c>
      <c r="J1516" s="5" t="n">
        <v>100</v>
      </c>
      <c r="K1516" s="10" t="n">
        <v>100</v>
      </c>
      <c r="L1516" s="14">
        <f>IFERROR(IF(OR(J1516=0,K1516=""),"",IF(E1516="Positivo",MIN(MAX(K1516/J1516,0),1.3),MIN(MAX(J1516/K1516,0),1.3))),"") </f>
        <v/>
      </c>
      <c r="M1516" s="14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300-2024-03-31</t>
        </is>
      </c>
    </row>
    <row r="1517" hidden="1">
      <c r="A1517" s="21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01" t="n">
        <v>45473</v>
      </c>
      <c r="G1517" s="5" t="n">
        <v>2024</v>
      </c>
      <c r="H1517" s="5" t="inlineStr">
        <is>
          <t>Junio</t>
        </is>
      </c>
      <c r="I1517" s="6" t="inlineStr">
        <is>
          <t>2024-1</t>
        </is>
      </c>
      <c r="J1517" s="5" t="n">
        <v>100</v>
      </c>
      <c r="K1517" s="10" t="n">
        <v>100</v>
      </c>
      <c r="L1517" s="14">
        <f>IFERROR(IF(OR(J1517=0,K1517=""),"",IF(E1517="Positivo",MIN(MAX(K1517/J1517,0),1.3),MIN(MAX(J1517/K1517,0),1.3))),"") </f>
        <v/>
      </c>
      <c r="M1517" s="14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300-2024-06-30</t>
        </is>
      </c>
    </row>
    <row r="1518" hidden="1">
      <c r="A1518" s="21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01" t="n">
        <v>45565</v>
      </c>
      <c r="G1518" s="5" t="n">
        <v>2024</v>
      </c>
      <c r="H1518" s="5" t="inlineStr">
        <is>
          <t>Septiembre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14">
        <f>IFERROR(IF(OR(J1518=0,K1518=""),"",IF(E1518="Positivo",MIN(MAX(K1518/J1518,0),1.3),MIN(MAX(J1518/K1518,0),1.3))),"") </f>
        <v/>
      </c>
      <c r="M1518" s="14">
        <f>IFERROR(IF(OR(J1518=0,K1518=""),"",IF(E1518="Positivo",MAX(K1518/J1518,0),MAX(J1518/K1518,0))),"") </f>
        <v/>
      </c>
      <c r="N1518" s="5" t="inlineStr">
        <is>
          <t>%</t>
        </is>
      </c>
      <c r="O1518" s="5" t="inlineStr">
        <is>
          <t>%</t>
        </is>
      </c>
      <c r="P1518" s="15" t="n">
        <v>0</v>
      </c>
      <c r="Q1518" s="15" t="n">
        <v>0</v>
      </c>
      <c r="R1518" s="5" t="inlineStr">
        <is>
          <t>300-2024-09-30</t>
        </is>
      </c>
    </row>
    <row r="1519" hidden="1">
      <c r="A1519" s="21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01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100</v>
      </c>
      <c r="K1519" s="10" t="n">
        <v>100</v>
      </c>
      <c r="L1519" s="14">
        <f>IFERROR(IF(OR(J1519=0,K1519=""),"",IF(E1519="Positivo",MIN(MAX(K1519/J1519,0),1.3),MIN(MAX(J1519/K1519,0),1.3))),"") </f>
        <v/>
      </c>
      <c r="M1519" s="14">
        <f>IFERROR(IF(OR(J1519=0,K1519=""),"",IF(E1519="Positivo",MAX(K1519/J1519,0),MAX(J1519/K1519,0))),"") </f>
        <v/>
      </c>
      <c r="N1519" s="5" t="inlineStr">
        <is>
          <t>%</t>
        </is>
      </c>
      <c r="O1519" s="5" t="inlineStr">
        <is>
          <t>%</t>
        </is>
      </c>
      <c r="P1519" s="15" t="n">
        <v>0</v>
      </c>
      <c r="Q1519" s="15" t="n">
        <v>0</v>
      </c>
      <c r="R1519" s="5" t="inlineStr">
        <is>
          <t>300-2024-12-31</t>
        </is>
      </c>
    </row>
    <row r="1520" hidden="1">
      <c r="A1520" s="21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01" t="n">
        <v>45747</v>
      </c>
      <c r="G1520" s="5" t="n">
        <v>2025</v>
      </c>
      <c r="H1520" s="5" t="inlineStr">
        <is>
          <t>Marzo</t>
        </is>
      </c>
      <c r="I1520" s="6" t="inlineStr">
        <is>
          <t>2025-1</t>
        </is>
      </c>
      <c r="J1520" s="5" t="n">
        <v>100</v>
      </c>
      <c r="K1520" s="10" t="n">
        <v>100</v>
      </c>
      <c r="L1520" s="14">
        <f>IFERROR(IF(OR(J1520=0,K1520=""),"",IF(E1520="Positivo",MIN(MAX(K1520/J1520,0),1.3),MIN(MAX(J1520/K1520,0),1.3))),"") </f>
        <v/>
      </c>
      <c r="M1520" s="14">
        <f>IFERROR(IF(OR(J1520=0,K1520=""),"",IF(E1520="Positivo",MAX(K1520/J1520,0),MAX(J1520/K1520,0))),"") </f>
        <v/>
      </c>
      <c r="N1520" s="5" t="inlineStr">
        <is>
          <t>%</t>
        </is>
      </c>
      <c r="O1520" s="5" t="inlineStr">
        <is>
          <t>%</t>
        </is>
      </c>
      <c r="P1520" s="15" t="n">
        <v>0</v>
      </c>
      <c r="Q1520" s="15" t="n">
        <v>0</v>
      </c>
      <c r="R1520" s="5" t="inlineStr">
        <is>
          <t>300-2025-03-31</t>
        </is>
      </c>
    </row>
    <row r="1521" hidden="1">
      <c r="A1521" s="21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101" t="n">
        <v>45838</v>
      </c>
      <c r="G1521" s="5" t="n">
        <v>2025</v>
      </c>
      <c r="H1521" s="5" t="inlineStr">
        <is>
          <t>Junio</t>
        </is>
      </c>
      <c r="I1521" s="6" t="inlineStr">
        <is>
          <t>2025-1</t>
        </is>
      </c>
      <c r="J1521" s="5" t="n">
        <v>100</v>
      </c>
      <c r="K1521" s="10" t="n">
        <v>100</v>
      </c>
      <c r="L1521" s="14">
        <f>IFERROR(IF(OR(J1521=0,K1521=""),"",IF(E1521="Positivo",MIN(MAX(K1521/J1521,0),1.3),MIN(MAX(J1521/K1521,0),1.3))),"") </f>
        <v/>
      </c>
      <c r="M1521" s="14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300-2025-06-30</t>
        </is>
      </c>
    </row>
    <row r="1522" hidden="1">
      <c r="A1522" s="21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01" t="n">
        <v>45930</v>
      </c>
      <c r="G1522" s="5" t="n">
        <v>2025</v>
      </c>
      <c r="H1522" s="5" t="inlineStr">
        <is>
          <t>Septiembre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14">
        <f>IFERROR(IF(OR(J1522=0,K1522=""),"",IF(E1522="Positivo",MIN(MAX(K1522/J1522,0),1.3),MIN(MAX(J1522/K1522,0),1.3))),"") </f>
        <v/>
      </c>
      <c r="M1522" s="14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300-2025-09-30</t>
        </is>
      </c>
    </row>
    <row r="1523" hidden="1">
      <c r="A1523" s="21" t="n">
        <v>300</v>
      </c>
      <c r="B1523" s="5" t="inlineStr">
        <is>
          <t>Cumplimiento de Inspecciones de control</t>
        </is>
      </c>
      <c r="C1523" s="5" t="inlineStr">
        <is>
          <t>Administración de Servicios Generales</t>
        </is>
      </c>
      <c r="D1523" s="5" t="inlineStr">
        <is>
          <t>Semestral</t>
        </is>
      </c>
      <c r="E1523" s="5" t="inlineStr">
        <is>
          <t>Positivo</t>
        </is>
      </c>
      <c r="F1523" s="101" t="n">
        <v>46022</v>
      </c>
      <c r="G1523" s="5" t="n">
        <v>2025</v>
      </c>
      <c r="H1523" s="5" t="inlineStr">
        <is>
          <t>Diciembre</t>
        </is>
      </c>
      <c r="I1523" s="6" t="inlineStr">
        <is>
          <t>2025-2</t>
        </is>
      </c>
      <c r="J1523" s="5" t="n">
        <v>100</v>
      </c>
      <c r="K1523" s="10" t="n">
        <v>100</v>
      </c>
      <c r="L1523" s="14">
        <f>IFERROR(IF(OR(J1523=0,K1523=""),"",IF(E1523="Positivo",MIN(MAX(K1523/J1523,0),1.3),MIN(MAX(J1523/K1523,0),1.3))),"") </f>
        <v/>
      </c>
      <c r="M1523" s="14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300-2025-12-31</t>
        </is>
      </c>
    </row>
    <row r="1524" hidden="1">
      <c r="A1524" s="21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01" t="n">
        <v>45016</v>
      </c>
      <c r="G1524" s="5" t="n">
        <v>2023</v>
      </c>
      <c r="H1524" s="5" t="inlineStr">
        <is>
          <t>Marzo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14">
        <f>IFERROR(IF(OR(J1524=0,K1524=""),"",IF(E1524="Positivo",MIN(MAX(K1524/J1524,0),1.3),MIN(MAX(J1524/K1524,0),1.3))),"") </f>
        <v/>
      </c>
      <c r="M1524" s="14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301-2023-03-31</t>
        </is>
      </c>
    </row>
    <row r="1525" hidden="1">
      <c r="A1525" s="21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01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10" t="n">
        <v>100</v>
      </c>
      <c r="L1525" s="14">
        <f>IFERROR(IF(OR(J1525=0,K1525=""),"",IF(E1525="Positivo",MIN(MAX(K1525/J1525,0),1.3),MIN(MAX(J1525/K1525,0),1.3))),"") </f>
        <v/>
      </c>
      <c r="M1525" s="14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301-2023-06-30</t>
        </is>
      </c>
    </row>
    <row r="1526" hidden="1">
      <c r="A1526" s="21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01" t="n">
        <v>45199</v>
      </c>
      <c r="G1526" s="5" t="n">
        <v>2023</v>
      </c>
      <c r="H1526" s="5" t="inlineStr">
        <is>
          <t>Septiembre</t>
        </is>
      </c>
      <c r="I1526" s="6" t="inlineStr">
        <is>
          <t>2023-2</t>
        </is>
      </c>
      <c r="J1526" s="5" t="n">
        <v>100</v>
      </c>
      <c r="K1526" s="10" t="n">
        <v>100</v>
      </c>
      <c r="L1526" s="14">
        <f>IFERROR(IF(OR(J1526=0,K1526=""),"",IF(E1526="Positivo",MIN(MAX(K1526/J1526,0),1.3),MIN(MAX(J1526/K1526,0),1.3))),"") </f>
        <v/>
      </c>
      <c r="M1526" s="14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301-2023-09-30</t>
        </is>
      </c>
    </row>
    <row r="1527" hidden="1">
      <c r="A1527" s="21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01" t="n">
        <v>45291</v>
      </c>
      <c r="G1527" s="5" t="n">
        <v>2023</v>
      </c>
      <c r="H1527" s="5" t="inlineStr">
        <is>
          <t>Diciembre</t>
        </is>
      </c>
      <c r="I1527" s="6" t="inlineStr">
        <is>
          <t>2023-2</t>
        </is>
      </c>
      <c r="J1527" s="5" t="n">
        <v>100</v>
      </c>
      <c r="K1527" s="10" t="n">
        <v>100</v>
      </c>
      <c r="L1527" s="14">
        <f>IFERROR(IF(OR(J1527=0,K1527=""),"",IF(E1527="Positivo",MIN(MAX(K1527/J1527,0),1.3),MIN(MAX(J1527/K1527,0),1.3))),"") </f>
        <v/>
      </c>
      <c r="M1527" s="14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301-2023-12-31</t>
        </is>
      </c>
    </row>
    <row r="1528" hidden="1">
      <c r="A1528" s="21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01" t="n">
        <v>45382</v>
      </c>
      <c r="G1528" s="5" t="n">
        <v>2024</v>
      </c>
      <c r="H1528" s="5" t="inlineStr">
        <is>
          <t>Marzo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14">
        <f>IFERROR(IF(OR(J1528=0,K1528=""),"",IF(E1528="Positivo",MIN(MAX(K1528/J1528,0),1.3),MIN(MAX(J1528/K1528,0),1.3))),"") </f>
        <v/>
      </c>
      <c r="M1528" s="14">
        <f>IFERROR(IF(OR(J1528=0,K1528=""),"",IF(E1528="Positivo",MAX(K1528/J1528,0),MAX(J1528/K1528,0))),"") </f>
        <v/>
      </c>
      <c r="N1528" s="5" t="inlineStr">
        <is>
          <t>%</t>
        </is>
      </c>
      <c r="O1528" s="5" t="inlineStr">
        <is>
          <t>%</t>
        </is>
      </c>
      <c r="P1528" s="15" t="n">
        <v>0</v>
      </c>
      <c r="Q1528" s="15" t="n">
        <v>0</v>
      </c>
      <c r="R1528" s="5" t="inlineStr">
        <is>
          <t>301-2024-03-31</t>
        </is>
      </c>
    </row>
    <row r="1529" hidden="1">
      <c r="A1529" s="21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01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100</v>
      </c>
      <c r="K1529" s="10" t="n">
        <v>100</v>
      </c>
      <c r="L1529" s="14">
        <f>IFERROR(IF(OR(J1529=0,K1529=""),"",IF(E1529="Positivo",MIN(MAX(K1529/J1529,0),1.3),MIN(MAX(J1529/K1529,0),1.3))),"") </f>
        <v/>
      </c>
      <c r="M1529" s="14">
        <f>IFERROR(IF(OR(J1529=0,K1529=""),"",IF(E1529="Positivo",MAX(K1529/J1529,0),MAX(J1529/K1529,0))),"") </f>
        <v/>
      </c>
      <c r="N1529" s="5" t="inlineStr">
        <is>
          <t>%</t>
        </is>
      </c>
      <c r="O1529" s="5" t="inlineStr">
        <is>
          <t>%</t>
        </is>
      </c>
      <c r="P1529" s="15" t="n">
        <v>0</v>
      </c>
      <c r="Q1529" s="15" t="n">
        <v>0</v>
      </c>
      <c r="R1529" s="5" t="inlineStr">
        <is>
          <t>301-2024-06-30</t>
        </is>
      </c>
    </row>
    <row r="1530" hidden="1">
      <c r="A1530" s="21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01" t="n">
        <v>45565</v>
      </c>
      <c r="G1530" s="5" t="n">
        <v>2024</v>
      </c>
      <c r="H1530" s="5" t="inlineStr">
        <is>
          <t>Septiembre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14">
        <f>IFERROR(IF(OR(J1530=0,K1530=""),"",IF(E1530="Positivo",MIN(MAX(K1530/J1530,0),1.3),MIN(MAX(J1530/K1530,0),1.3))),"") </f>
        <v/>
      </c>
      <c r="M1530" s="14">
        <f>IFERROR(IF(OR(J1530=0,K1530=""),"",IF(E1530="Positivo",MAX(K1530/J1530,0),MAX(J1530/K1530,0))),"") </f>
        <v/>
      </c>
      <c r="N1530" s="5" t="inlineStr">
        <is>
          <t>%</t>
        </is>
      </c>
      <c r="O1530" s="5" t="inlineStr">
        <is>
          <t>%</t>
        </is>
      </c>
      <c r="P1530" s="15" t="n">
        <v>0</v>
      </c>
      <c r="Q1530" s="15" t="n">
        <v>0</v>
      </c>
      <c r="R1530" s="5" t="inlineStr">
        <is>
          <t>301-2024-09-30</t>
        </is>
      </c>
    </row>
    <row r="1531" hidden="1">
      <c r="A1531" s="21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01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100</v>
      </c>
      <c r="L1531" s="14">
        <f>IFERROR(IF(OR(J1531=0,K1531=""),"",IF(E1531="Positivo",MIN(MAX(K1531/J1531,0),1.3),MIN(MAX(J1531/K1531,0),1.3))),"") </f>
        <v/>
      </c>
      <c r="M1531" s="14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5" t="n">
        <v>0</v>
      </c>
      <c r="Q1531" s="15" t="n">
        <v>0</v>
      </c>
      <c r="R1531" s="5" t="inlineStr">
        <is>
          <t>301-2024-12-31</t>
        </is>
      </c>
    </row>
    <row r="1532" hidden="1">
      <c r="A1532" s="21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01" t="n">
        <v>45747</v>
      </c>
      <c r="G1532" s="5" t="n">
        <v>2025</v>
      </c>
      <c r="H1532" s="5" t="inlineStr">
        <is>
          <t>Marzo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14">
        <f>IFERROR(IF(OR(J1532=0,K1532=""),"",IF(E1532="Positivo",MIN(MAX(K1532/J1532,0),1.3),MIN(MAX(J1532/K1532,0),1.3))),"") </f>
        <v/>
      </c>
      <c r="M1532" s="14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5" t="n">
        <v>0</v>
      </c>
      <c r="Q1532" s="15" t="n">
        <v>0</v>
      </c>
      <c r="R1532" s="5" t="inlineStr">
        <is>
          <t>301-2025-03-31</t>
        </is>
      </c>
    </row>
    <row r="1533" hidden="1">
      <c r="A1533" s="21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Trimestral</t>
        </is>
      </c>
      <c r="E1533" s="5" t="inlineStr">
        <is>
          <t>Positivo</t>
        </is>
      </c>
      <c r="F1533" s="101" t="n">
        <v>45838</v>
      </c>
      <c r="G1533" s="5" t="n">
        <v>2025</v>
      </c>
      <c r="H1533" s="5" t="inlineStr">
        <is>
          <t>Junio</t>
        </is>
      </c>
      <c r="I1533" s="6" t="inlineStr">
        <is>
          <t>2025-1</t>
        </is>
      </c>
      <c r="J1533" s="5" t="n">
        <v>100</v>
      </c>
      <c r="K1533" s="10" t="n">
        <v>100</v>
      </c>
      <c r="L1533" s="14">
        <f>IFERROR(IF(OR(J1533=0,K1533=""),"",IF(E1533="Positivo",MIN(MAX(K1533/J1533,0),1.3),MIN(MAX(J1533/K1533,0),1.3))),"") </f>
        <v/>
      </c>
      <c r="M1533" s="14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5" t="n">
        <v>0</v>
      </c>
      <c r="Q1533" s="15" t="n">
        <v>0</v>
      </c>
      <c r="R1533" s="5" t="inlineStr">
        <is>
          <t>301-2025-06-30</t>
        </is>
      </c>
    </row>
    <row r="1534" hidden="1">
      <c r="A1534" s="21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01" t="n">
        <v>45930</v>
      </c>
      <c r="G1534" s="5" t="n">
        <v>2025</v>
      </c>
      <c r="H1534" s="5" t="inlineStr">
        <is>
          <t>Septiembre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14">
        <f>IFERROR(IF(OR(J1534=0,K1534=""),"",IF(E1534="Positivo",MIN(MAX(K1534/J1534,0),1.3),MIN(MAX(J1534/K1534,0),1.3))),"") </f>
        <v/>
      </c>
      <c r="M1534" s="14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301-2025-09-30</t>
        </is>
      </c>
    </row>
    <row r="1535" hidden="1">
      <c r="A1535" s="21" t="n">
        <v>301</v>
      </c>
      <c r="B1535" s="5" t="inlineStr">
        <is>
          <t>Cumplimiento plan de trabajo</t>
        </is>
      </c>
      <c r="C1535" s="5" t="inlineStr">
        <is>
          <t>Administración de Servicios Generales</t>
        </is>
      </c>
      <c r="D1535" s="5" t="inlineStr">
        <is>
          <t>Semestral</t>
        </is>
      </c>
      <c r="E1535" s="5" t="inlineStr">
        <is>
          <t>Positivo</t>
        </is>
      </c>
      <c r="F1535" s="101" t="n">
        <v>46022</v>
      </c>
      <c r="G1535" s="5" t="n">
        <v>2025</v>
      </c>
      <c r="H1535" s="5" t="inlineStr">
        <is>
          <t>Diciembre</t>
        </is>
      </c>
      <c r="I1535" s="6" t="inlineStr">
        <is>
          <t>2025-2</t>
        </is>
      </c>
      <c r="J1535" s="5" t="n">
        <v>100</v>
      </c>
      <c r="K1535" s="10" t="n">
        <v>100</v>
      </c>
      <c r="L1535" s="14">
        <f>IFERROR(IF(OR(J1535=0,K1535=""),"",IF(E1535="Positivo",MIN(MAX(K1535/J1535,0),1.3),MIN(MAX(J1535/K1535,0),1.3))),"") </f>
        <v/>
      </c>
      <c r="M1535" s="14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301-2025-12-31</t>
        </is>
      </c>
    </row>
    <row r="1536" hidden="1">
      <c r="A1536" s="21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01" t="n">
        <v>45107</v>
      </c>
      <c r="G1536" s="5" t="n">
        <v>2023</v>
      </c>
      <c r="H1536" s="5" t="inlineStr">
        <is>
          <t>Junio</t>
        </is>
      </c>
      <c r="I1536" s="6" t="inlineStr">
        <is>
          <t>2023-1</t>
        </is>
      </c>
      <c r="J1536" s="5" t="n">
        <v>0</v>
      </c>
      <c r="K1536" s="10" t="n">
        <v>0</v>
      </c>
      <c r="L1536" s="14">
        <f>IFERROR(IF(OR(J1536=0,K1536=""),"",IF(E1536="Positivo",MIN(MAX(K1536/J1536,0),1.3),MIN(MAX(J1536/K1536,0),1.3))),"") </f>
        <v/>
      </c>
      <c r="M1536" s="14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302-2023-06-30</t>
        </is>
      </c>
    </row>
    <row r="1537" hidden="1">
      <c r="A1537" s="21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01" t="n">
        <v>45291</v>
      </c>
      <c r="G1537" s="5" t="n">
        <v>2023</v>
      </c>
      <c r="H1537" s="5" t="inlineStr">
        <is>
          <t>Diciembre</t>
        </is>
      </c>
      <c r="I1537" s="6" t="inlineStr">
        <is>
          <t>2023-2</t>
        </is>
      </c>
      <c r="J1537" s="5" t="n">
        <v>0</v>
      </c>
      <c r="K1537" s="10" t="n">
        <v>0</v>
      </c>
      <c r="L1537" s="14">
        <f>IFERROR(IF(OR(J1537=0,K1537=""),"",IF(E1537="Positivo",MIN(MAX(K1537/J1537,0),1.3),MIN(MAX(J1537/K1537,0),1.3))),"") </f>
        <v/>
      </c>
      <c r="M1537" s="14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5" t="n">
        <v>0</v>
      </c>
      <c r="Q1537" s="15" t="n">
        <v>0</v>
      </c>
      <c r="R1537" s="5" t="inlineStr">
        <is>
          <t>302-2023-12-31</t>
        </is>
      </c>
    </row>
    <row r="1538" hidden="1">
      <c r="A1538" s="21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01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0</v>
      </c>
      <c r="K1538" s="10" t="n">
        <v>17878</v>
      </c>
      <c r="L1538" s="14">
        <f>IFERROR(IF(OR(J1538=0,K1538=""),"",IF(E1538="Positivo",MIN(MAX(K1538/J1538,0),1.3),MIN(MAX(J1538/K1538,0),1.3))),"") </f>
        <v/>
      </c>
      <c r="M1538" s="14">
        <f>IFERROR(IF(OR(J1538=0,K1538=""),"",IF(E1538="Positivo",MAX(K1538/J1538,0),MAX(J1538/K1538,0))),"") </f>
        <v/>
      </c>
      <c r="N1538" s="5" t="n">
        <v>0</v>
      </c>
      <c r="O1538" s="5" t="inlineStr">
        <is>
          <t>ENT</t>
        </is>
      </c>
      <c r="P1538" s="15" t="n">
        <v>0</v>
      </c>
      <c r="Q1538" s="15" t="n">
        <v>0</v>
      </c>
      <c r="R1538" s="5" t="inlineStr">
        <is>
          <t>302-2024-06-30</t>
        </is>
      </c>
    </row>
    <row r="1539" hidden="1">
      <c r="A1539" s="21" t="n">
        <v>302</v>
      </c>
      <c r="B1539" s="5" t="inlineStr">
        <is>
          <t>N de solicitudes radicadas</t>
        </is>
      </c>
      <c r="C1539" s="5" t="inlineStr">
        <is>
          <t>Centro de Medios Audiovisuales</t>
        </is>
      </c>
      <c r="D1539" s="5" t="inlineStr">
        <is>
          <t>Semestral</t>
        </is>
      </c>
      <c r="E1539" s="5" t="inlineStr">
        <is>
          <t>Positivo</t>
        </is>
      </c>
      <c r="F1539" s="101" t="n">
        <v>45657</v>
      </c>
      <c r="G1539" s="5" t="n">
        <v>2024</v>
      </c>
      <c r="H1539" s="5" t="inlineStr">
        <is>
          <t>Diciembre</t>
        </is>
      </c>
      <c r="I1539" s="6" t="inlineStr">
        <is>
          <t>2024-2</t>
        </is>
      </c>
      <c r="J1539" s="5" t="n">
        <v>0</v>
      </c>
      <c r="K1539" s="10" t="n">
        <v>19142</v>
      </c>
      <c r="L1539" s="14">
        <f>IFERROR(IF(OR(J1539=0,K1539=""),"",IF(E1539="Positivo",MIN(MAX(K1539/J1539,0),1.3),MIN(MAX(J1539/K1539,0),1.3))),"") </f>
        <v/>
      </c>
      <c r="M1539" s="14">
        <f>IFERROR(IF(OR(J1539=0,K1539=""),"",IF(E1539="Positivo",MAX(K1539/J1539,0),MAX(J1539/K1539,0))),"") </f>
        <v/>
      </c>
      <c r="N1539" s="5" t="n">
        <v>0</v>
      </c>
      <c r="O1539" s="5" t="inlineStr">
        <is>
          <t>ENT</t>
        </is>
      </c>
      <c r="P1539" s="15" t="n">
        <v>0</v>
      </c>
      <c r="Q1539" s="15" t="n">
        <v>0</v>
      </c>
      <c r="R1539" s="5" t="inlineStr">
        <is>
          <t>302-2024-12-31</t>
        </is>
      </c>
    </row>
    <row r="1540" hidden="1">
      <c r="A1540" s="21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01" t="n">
        <v>45838</v>
      </c>
      <c r="G1540" s="5" t="n">
        <v>2025</v>
      </c>
      <c r="H1540" s="5" t="inlineStr">
        <is>
          <t>Junio</t>
        </is>
      </c>
      <c r="I1540" s="6" t="inlineStr">
        <is>
          <t>2025-1</t>
        </is>
      </c>
      <c r="J1540" s="5" t="n"/>
      <c r="K1540" s="10" t="n">
        <v>21712</v>
      </c>
      <c r="L1540" s="14" t="n"/>
      <c r="M1540" s="14" t="n"/>
      <c r="N1540" s="5" t="inlineStr">
        <is>
          <t>%</t>
        </is>
      </c>
      <c r="O1540" s="5" t="inlineStr">
        <is>
          <t>ENT</t>
        </is>
      </c>
      <c r="P1540" s="15" t="n">
        <v>0</v>
      </c>
      <c r="Q1540" s="15" t="n">
        <v>0</v>
      </c>
      <c r="R1540" s="5" t="inlineStr">
        <is>
          <t>302-2025-06-30</t>
        </is>
      </c>
      <c r="S1540" t="inlineStr">
        <is>
          <t>Metrica</t>
        </is>
      </c>
    </row>
    <row r="1541" hidden="1">
      <c r="A1541" s="21" t="n">
        <v>302</v>
      </c>
      <c r="B1541" s="5" t="inlineStr">
        <is>
          <t>N de solicitudes radicadas - (Metrica)</t>
        </is>
      </c>
      <c r="C1541" s="5" t="inlineStr">
        <is>
          <t>Centro de Medios Audiovisuales</t>
        </is>
      </c>
      <c r="D1541" s="5" t="inlineStr">
        <is>
          <t>Trimestral</t>
        </is>
      </c>
      <c r="E1541" s="5" t="inlineStr">
        <is>
          <t>Positivo</t>
        </is>
      </c>
      <c r="F1541" s="101" t="n">
        <v>46022</v>
      </c>
      <c r="G1541" s="5" t="n">
        <v>2025</v>
      </c>
      <c r="H1541" s="5" t="inlineStr">
        <is>
          <t>Diciembre</t>
        </is>
      </c>
      <c r="I1541" s="6" t="inlineStr">
        <is>
          <t>2025-2</t>
        </is>
      </c>
      <c r="J1541" s="5" t="n"/>
      <c r="K1541" s="10" t="n">
        <v>31371</v>
      </c>
      <c r="L1541" s="14" t="n"/>
      <c r="M1541" s="14" t="n"/>
      <c r="N1541" s="5" t="inlineStr">
        <is>
          <t>%</t>
        </is>
      </c>
      <c r="O1541" s="5" t="inlineStr">
        <is>
          <t>ENT</t>
        </is>
      </c>
      <c r="P1541" s="15" t="n">
        <v>0</v>
      </c>
      <c r="Q1541" s="15" t="n">
        <v>0</v>
      </c>
      <c r="R1541" s="5" t="inlineStr">
        <is>
          <t>302-2025-12-31</t>
        </is>
      </c>
      <c r="S1541" t="inlineStr">
        <is>
          <t>Metrica</t>
        </is>
      </c>
    </row>
    <row r="1542" hidden="1">
      <c r="A1542" s="21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01" t="n">
        <v>45107</v>
      </c>
      <c r="G1542" s="5" t="n">
        <v>2023</v>
      </c>
      <c r="H1542" s="5" t="inlineStr">
        <is>
          <t>Junio</t>
        </is>
      </c>
      <c r="I1542" s="6" t="inlineStr">
        <is>
          <t>2023-1</t>
        </is>
      </c>
      <c r="J1542" s="5" t="n">
        <v>100</v>
      </c>
      <c r="K1542" s="10" t="n">
        <v>75.75757575757601</v>
      </c>
      <c r="L1542" s="14">
        <f>IFERROR(IF(OR(J1542=0,K1542=""),"",IF(E1542="Positivo",MIN(MAX(K1542/J1542,0),1.3),MIN(MAX(J1542/K1542,0),1.3))),"") </f>
        <v/>
      </c>
      <c r="M1542" s="14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303-2023-06-30</t>
        </is>
      </c>
    </row>
    <row r="1543" hidden="1">
      <c r="A1543" s="21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01" t="n">
        <v>45291</v>
      </c>
      <c r="G1543" s="5" t="n">
        <v>2023</v>
      </c>
      <c r="H1543" s="5" t="inlineStr">
        <is>
          <t>Diciembre</t>
        </is>
      </c>
      <c r="I1543" s="6" t="inlineStr">
        <is>
          <t>2023-2</t>
        </is>
      </c>
      <c r="J1543" s="5" t="n">
        <v>100</v>
      </c>
      <c r="K1543" s="10" t="n">
        <v>79.54545454545455</v>
      </c>
      <c r="L1543" s="14">
        <f>IFERROR(IF(OR(J1543=0,K1543=""),"",IF(E1543="Positivo",MIN(MAX(K1543/J1543,0),1.3),MIN(MAX(J1543/K1543,0),1.3))),"") </f>
        <v/>
      </c>
      <c r="M1543" s="14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303-2023-12-31</t>
        </is>
      </c>
    </row>
    <row r="1544" hidden="1">
      <c r="A1544" s="21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01" t="n">
        <v>45473</v>
      </c>
      <c r="G1544" s="5" t="n">
        <v>2024</v>
      </c>
      <c r="H1544" s="5" t="inlineStr">
        <is>
          <t>Junio</t>
        </is>
      </c>
      <c r="I1544" s="6" t="inlineStr">
        <is>
          <t>2024-1</t>
        </is>
      </c>
      <c r="J1544" s="5" t="n">
        <v>95</v>
      </c>
      <c r="K1544" s="10" t="n">
        <v>100</v>
      </c>
      <c r="L1544" s="14">
        <f>IFERROR(IF(OR(J1544=0,K1544=""),"",IF(E1544="Positivo",MIN(MAX(K1544/J1544,0),1.3),MIN(MAX(J1544/K1544,0),1.3))),"") </f>
        <v/>
      </c>
      <c r="M1544" s="14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303-2024-06-30</t>
        </is>
      </c>
    </row>
    <row r="1545" hidden="1">
      <c r="A1545" s="21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01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95</v>
      </c>
      <c r="K1545" s="10" t="n">
        <v>95.65217391304348</v>
      </c>
      <c r="L1545" s="14">
        <f>IFERROR(IF(OR(J1545=0,K1545=""),"",IF(E1545="Positivo",MIN(MAX(K1545/J1545,0),1.3),MIN(MAX(J1545/K1545,0),1.3))),"") </f>
        <v/>
      </c>
      <c r="M1545" s="14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303-2024-12-31</t>
        </is>
      </c>
    </row>
    <row r="1546" hidden="1">
      <c r="A1546" s="21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101" t="n">
        <v>45838</v>
      </c>
      <c r="G1546" s="5" t="n">
        <v>2025</v>
      </c>
      <c r="H1546" s="5" t="inlineStr">
        <is>
          <t>Junio</t>
        </is>
      </c>
      <c r="I1546" s="6" t="inlineStr">
        <is>
          <t>2025-1</t>
        </is>
      </c>
      <c r="J1546" s="5" t="n">
        <v>95</v>
      </c>
      <c r="K1546" s="10" t="n">
        <v>90.31999999999999</v>
      </c>
      <c r="L1546" s="14">
        <f>IFERROR(IF(OR(J1546=0,K1546=""),"",IF(E1546="Positivo",MIN(MAX(K1546/J1546,0),1.3),MIN(MAX(J1546/K1546,0),1.3))),"") </f>
        <v/>
      </c>
      <c r="M1546" s="14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303-2025-06-30</t>
        </is>
      </c>
    </row>
    <row r="1547" hidden="1">
      <c r="A1547" s="21" t="n">
        <v>303</v>
      </c>
      <c r="B1547" s="5" t="inlineStr">
        <is>
          <t>Cumplimiento del cronograma de actividades de salud</t>
        </is>
      </c>
      <c r="C1547" s="5" t="inlineStr">
        <is>
          <t>Servicio de Salud</t>
        </is>
      </c>
      <c r="D1547" s="5" t="inlineStr">
        <is>
          <t>Trimestral</t>
        </is>
      </c>
      <c r="E1547" s="5" t="inlineStr">
        <is>
          <t>Positivo</t>
        </is>
      </c>
      <c r="F1547" s="101" t="n">
        <v>46022</v>
      </c>
      <c r="G1547" s="5" t="n">
        <v>2025</v>
      </c>
      <c r="H1547" s="5" t="inlineStr">
        <is>
          <t>Diciembre</t>
        </is>
      </c>
      <c r="I1547" s="6" t="inlineStr">
        <is>
          <t>2025-2</t>
        </is>
      </c>
      <c r="J1547" s="5" t="n">
        <v>95</v>
      </c>
      <c r="K1547" s="10" t="n">
        <v>100</v>
      </c>
      <c r="L1547" s="14">
        <f>IFERROR(IF(OR(J1547=0,K1547=""),"",IF(E1547="Positivo",MIN(MAX(K1547/J1547,0),1.3),MIN(MAX(J1547/K1547,0),1.3))),"") </f>
        <v/>
      </c>
      <c r="M1547" s="14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303-2025-12-31</t>
        </is>
      </c>
    </row>
    <row r="1548" hidden="1">
      <c r="A1548" s="21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01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100</v>
      </c>
      <c r="K1548" s="10" t="n">
        <v>189.86</v>
      </c>
      <c r="L1548" s="14">
        <f>IFERROR(IF(OR(J1548=0,K1548=""),"",IF(E1548="Positivo",MIN(MAX(K1548/J1548,0),1.3),MIN(MAX(J1548/K1548,0),1.3))),"") </f>
        <v/>
      </c>
      <c r="M1548" s="14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5" t="n">
        <v>0</v>
      </c>
      <c r="Q1548" s="15" t="n">
        <v>0</v>
      </c>
      <c r="R1548" s="5" t="inlineStr">
        <is>
          <t>304-2023-06-30</t>
        </is>
      </c>
    </row>
    <row r="1549" hidden="1">
      <c r="A1549" s="21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01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100</v>
      </c>
      <c r="K1549" s="9" t="n">
        <v>176.33</v>
      </c>
      <c r="L1549" s="14">
        <f>IFERROR(IF(OR(J1549=0,K1549=""),"",IF(E1549="Positivo",MIN(MAX(K1549/J1549,0),1.3),MIN(MAX(J1549/K1549,0),1.3))),"") </f>
        <v/>
      </c>
      <c r="M1549" s="14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304-2023-12-31</t>
        </is>
      </c>
    </row>
    <row r="1550" hidden="1">
      <c r="A1550" s="21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01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10" t="n">
        <v>100.12</v>
      </c>
      <c r="L1550" s="14">
        <f>IFERROR(IF(OR(J1550=0,K1550=""),"",IF(E1550="Positivo",MIN(MAX(K1550/J1550,0),1.3),MIN(MAX(J1550/K1550,0),1.3))),"") </f>
        <v/>
      </c>
      <c r="M1550" s="14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304-2024-06-30</t>
        </is>
      </c>
    </row>
    <row r="1551" hidden="1">
      <c r="A1551" s="21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01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11" t="n">
        <v>83.56</v>
      </c>
      <c r="L1551" s="14">
        <f>IFERROR(IF(OR(J1551=0,K1551=""),"",IF(E1551="Positivo",MIN(MAX(K1551/J1551,0),1.3),MIN(MAX(J1551/K1551,0),1.3))),"") </f>
        <v/>
      </c>
      <c r="M1551" s="14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304-2024-12-31</t>
        </is>
      </c>
    </row>
    <row r="1552" hidden="1">
      <c r="A1552" s="21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Semestral</t>
        </is>
      </c>
      <c r="E1552" s="5" t="inlineStr">
        <is>
          <t>Positivo</t>
        </is>
      </c>
      <c r="F1552" s="101" t="n">
        <v>45838</v>
      </c>
      <c r="G1552" s="5" t="n">
        <v>2025</v>
      </c>
      <c r="H1552" s="5" t="inlineStr">
        <is>
          <t>Junio</t>
        </is>
      </c>
      <c r="I1552" s="6" t="inlineStr">
        <is>
          <t>2025-1</t>
        </is>
      </c>
      <c r="J1552" s="5" t="n">
        <v>100</v>
      </c>
      <c r="K1552" s="110" t="n">
        <v>98.47</v>
      </c>
      <c r="L1552" s="14">
        <f>IFERROR(IF(OR(J1552=0,K1552=""),"",IF(E1552="Positivo",MIN(MAX(K1552/J1552,0),1.3),MIN(MAX(J1552/K1552,0),1.3))),"") </f>
        <v/>
      </c>
      <c r="M1552" s="14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304-2025-06-30</t>
        </is>
      </c>
    </row>
    <row r="1553" hidden="1">
      <c r="A1553" s="21" t="n">
        <v>304</v>
      </c>
      <c r="B1553" s="5" t="inlineStr">
        <is>
          <t>Impacto de Campañas de promoción y prevención</t>
        </is>
      </c>
      <c r="C1553" s="5" t="inlineStr">
        <is>
          <t>Servicio de Salud</t>
        </is>
      </c>
      <c r="D1553" s="5" t="inlineStr">
        <is>
          <t>Trimestral</t>
        </is>
      </c>
      <c r="E1553" s="5" t="inlineStr">
        <is>
          <t>Positivo</t>
        </is>
      </c>
      <c r="F1553" s="101" t="n">
        <v>46022</v>
      </c>
      <c r="G1553" s="5" t="n">
        <v>2025</v>
      </c>
      <c r="H1553" s="5" t="inlineStr">
        <is>
          <t>Diciembre</t>
        </is>
      </c>
      <c r="I1553" s="6" t="inlineStr">
        <is>
          <t>2025-2</t>
        </is>
      </c>
      <c r="J1553" s="5" t="n">
        <v>100</v>
      </c>
      <c r="K1553" s="110" t="n">
        <v>116.09</v>
      </c>
      <c r="L1553" s="14">
        <f>IFERROR(IF(OR(J1553=0,K1553=""),"",IF(E1553="Positivo",MIN(MAX(K1553/J1553,0),1.3),MIN(MAX(J1553/K1553,0),1.3))),"") </f>
        <v/>
      </c>
      <c r="M1553" s="14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304-2025-12-31</t>
        </is>
      </c>
    </row>
    <row r="1554" hidden="1">
      <c r="A1554" s="21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01" t="n">
        <v>45291</v>
      </c>
      <c r="G1554" s="5" t="n">
        <v>2023</v>
      </c>
      <c r="H1554" s="5" t="inlineStr">
        <is>
          <t>Diciembre</t>
        </is>
      </c>
      <c r="I1554" s="6" t="inlineStr">
        <is>
          <t>2023-2</t>
        </is>
      </c>
      <c r="J1554" s="5" t="n">
        <v>100</v>
      </c>
      <c r="K1554" s="110" t="n">
        <v>100</v>
      </c>
      <c r="L1554" s="14">
        <f>IFERROR(IF(OR(J1554=0,K1554=""),"",IF(E1554="Positivo",MIN(MAX(K1554/J1554,0),1.3),MIN(MAX(J1554/K1554,0),1.3))),"") </f>
        <v/>
      </c>
      <c r="M1554" s="14">
        <f>IFERROR(IF(OR(J1554=0,K1554=""),"",IF(E1554="Positivo",MAX(K1554/J1554,0),MAX(J1554/K1554,0))),"") </f>
        <v/>
      </c>
      <c r="N1554" s="5" t="inlineStr">
        <is>
          <t>%</t>
        </is>
      </c>
      <c r="O1554" s="5" t="inlineStr">
        <is>
          <t>%</t>
        </is>
      </c>
      <c r="P1554" s="15" t="n">
        <v>0</v>
      </c>
      <c r="Q1554" s="15" t="n">
        <v>0</v>
      </c>
      <c r="R1554" s="5" t="inlineStr">
        <is>
          <t>305-2023-12-31</t>
        </is>
      </c>
    </row>
    <row r="1555" hidden="1">
      <c r="A1555" s="21" t="n">
        <v>305</v>
      </c>
      <c r="B1555" s="5" t="inlineStr">
        <is>
          <t>Cumplimiento del plan anual de mantenimiento de equipos médicos</t>
        </is>
      </c>
      <c r="C1555" s="5" t="inlineStr">
        <is>
          <t>Servicio de Salud</t>
        </is>
      </c>
      <c r="D1555" s="5" t="inlineStr">
        <is>
          <t>Anual</t>
        </is>
      </c>
      <c r="E1555" s="5" t="inlineStr">
        <is>
          <t>Positivo</t>
        </is>
      </c>
      <c r="F1555" s="101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10" t="n">
        <v>100</v>
      </c>
      <c r="L1555" s="14">
        <f>IFERROR(IF(OR(J1555=0,K1555=""),"",IF(E1555="Positivo",MIN(MAX(K1555/J1555,0),1.3),MIN(MAX(J1555/K1555,0),1.3))),"") </f>
        <v/>
      </c>
      <c r="M1555" s="14">
        <f>IFERROR(IF(OR(J1555=0,K1555=""),"",IF(E1555="Positivo",MAX(K1555/J1555,0),MAX(J1555/K1555,0))),"") </f>
        <v/>
      </c>
      <c r="N1555" s="5" t="inlineStr">
        <is>
          <t>%</t>
        </is>
      </c>
      <c r="O1555" s="5" t="inlineStr">
        <is>
          <t>%</t>
        </is>
      </c>
      <c r="P1555" s="15" t="n">
        <v>0</v>
      </c>
      <c r="Q1555" s="15" t="n">
        <v>0</v>
      </c>
      <c r="R1555" s="5" t="inlineStr">
        <is>
          <t>305-2024-12-31</t>
        </is>
      </c>
    </row>
    <row r="1556" hidden="1">
      <c r="A1556" s="21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Semestral</t>
        </is>
      </c>
      <c r="E1556" s="5" t="inlineStr">
        <is>
          <t>Positivo</t>
        </is>
      </c>
      <c r="F1556" s="101" t="n">
        <v>45016</v>
      </c>
      <c r="G1556" s="5" t="n">
        <v>2023</v>
      </c>
      <c r="H1556" s="5" t="inlineStr">
        <is>
          <t>Marzo</t>
        </is>
      </c>
      <c r="I1556" s="6" t="inlineStr">
        <is>
          <t>2023-1</t>
        </is>
      </c>
      <c r="J1556" s="5" t="n">
        <v>100</v>
      </c>
      <c r="K1556" s="10" t="n">
        <v>0</v>
      </c>
      <c r="L1556" s="14">
        <f>IFERROR(IF(OR(J1556=0,K1556=""),"",IF(E1556="Positivo",MIN(MAX(K1556/J1556,0),1.3),MIN(MAX(J1556/K1556,0),1.3))),"") </f>
        <v/>
      </c>
      <c r="M1556" s="14">
        <f>IFERROR(IF(OR(J1556=0,K1556=""),"",IF(E1556="Positivo",MAX(K1556/J1556,0),MAX(J1556/K1556,0))),"") </f>
        <v/>
      </c>
      <c r="N1556" s="5" t="inlineStr">
        <is>
          <t>%</t>
        </is>
      </c>
      <c r="O1556" s="5" t="inlineStr">
        <is>
          <t>%</t>
        </is>
      </c>
      <c r="P1556" s="15" t="n">
        <v>0</v>
      </c>
      <c r="Q1556" s="15" t="n">
        <v>0</v>
      </c>
      <c r="R1556" s="5" t="inlineStr">
        <is>
          <t>306-2023-03-31</t>
        </is>
      </c>
    </row>
    <row r="1557" hidden="1">
      <c r="A1557" s="21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01" t="n">
        <v>45107</v>
      </c>
      <c r="G1557" s="5" t="n">
        <v>2023</v>
      </c>
      <c r="H1557" s="5" t="inlineStr">
        <is>
          <t>Junio</t>
        </is>
      </c>
      <c r="I1557" s="6" t="inlineStr">
        <is>
          <t>2023-1</t>
        </is>
      </c>
      <c r="J1557" s="5" t="n">
        <v>100</v>
      </c>
      <c r="K1557" s="10" t="n">
        <v>723</v>
      </c>
      <c r="L1557" s="14">
        <f>IFERROR(IF(OR(J1557=0,K1557=""),"",IF(E1557="Positivo",MIN(MAX(K1557/J1557,0),1.3),MIN(MAX(J1557/K1557,0),1.3))),"") </f>
        <v/>
      </c>
      <c r="M1557" s="14">
        <f>IFERROR(IF(OR(J1557=0,K1557=""),"",IF(E1557="Positivo",MAX(K1557/J1557,0),MAX(J1557/K1557,0))),"") </f>
        <v/>
      </c>
      <c r="N1557" s="5" t="inlineStr">
        <is>
          <t>%</t>
        </is>
      </c>
      <c r="O1557" s="5" t="inlineStr">
        <is>
          <t>%</t>
        </is>
      </c>
      <c r="P1557" s="15" t="n">
        <v>0</v>
      </c>
      <c r="Q1557" s="15" t="n">
        <v>0</v>
      </c>
      <c r="R1557" s="5" t="inlineStr">
        <is>
          <t>306-2023-06-30</t>
        </is>
      </c>
    </row>
    <row r="1558" hidden="1">
      <c r="A1558" s="21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01" t="n">
        <v>45199</v>
      </c>
      <c r="G1558" s="5" t="n">
        <v>2023</v>
      </c>
      <c r="H1558" s="5" t="inlineStr">
        <is>
          <t>Septiembre</t>
        </is>
      </c>
      <c r="I1558" s="6" t="inlineStr">
        <is>
          <t>2023-2</t>
        </is>
      </c>
      <c r="J1558" s="5" t="n">
        <v>100</v>
      </c>
      <c r="K1558" s="10" t="n">
        <v>98</v>
      </c>
      <c r="L1558" s="14">
        <f>IFERROR(IF(OR(J1558=0,K1558=""),"",IF(E1558="Positivo",MIN(MAX(K1558/J1558,0),1.3),MIN(MAX(J1558/K1558,0),1.3))),"") </f>
        <v/>
      </c>
      <c r="M1558" s="14">
        <f>IFERROR(IF(OR(J1558=0,K1558=""),"",IF(E1558="Positivo",MAX(K1558/J1558,0),MAX(J1558/K1558,0))),"") </f>
        <v/>
      </c>
      <c r="N1558" s="5" t="inlineStr">
        <is>
          <t>%</t>
        </is>
      </c>
      <c r="O1558" s="5" t="inlineStr">
        <is>
          <t>%</t>
        </is>
      </c>
      <c r="P1558" s="15" t="n">
        <v>0</v>
      </c>
      <c r="Q1558" s="15" t="n">
        <v>0</v>
      </c>
      <c r="R1558" s="5" t="inlineStr">
        <is>
          <t>306-2023-09-30</t>
        </is>
      </c>
    </row>
    <row r="1559" hidden="1">
      <c r="A1559" s="21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01" t="n">
        <v>45291</v>
      </c>
      <c r="G1559" s="5" t="n">
        <v>2023</v>
      </c>
      <c r="H1559" s="5" t="inlineStr">
        <is>
          <t>Diciembre</t>
        </is>
      </c>
      <c r="I1559" s="6" t="inlineStr">
        <is>
          <t>2023-2</t>
        </is>
      </c>
      <c r="J1559" s="5" t="n">
        <v>100</v>
      </c>
      <c r="K1559" s="9" t="n">
        <v>626</v>
      </c>
      <c r="L1559" s="14">
        <f>IFERROR(IF(OR(J1559=0,K1559=""),"",IF(E1559="Positivo",MIN(MAX(K1559/J1559,0),1.3),MIN(MAX(J1559/K1559,0),1.3))),"") </f>
        <v/>
      </c>
      <c r="M1559" s="14">
        <f>IFERROR(IF(OR(J1559=0,K1559=""),"",IF(E1559="Positivo",MAX(K1559/J1559,0),MAX(J1559/K1559,0))),"") </f>
        <v/>
      </c>
      <c r="N1559" s="5" t="inlineStr">
        <is>
          <t>%</t>
        </is>
      </c>
      <c r="O1559" s="5" t="inlineStr">
        <is>
          <t>%</t>
        </is>
      </c>
      <c r="P1559" s="15" t="n">
        <v>0</v>
      </c>
      <c r="Q1559" s="15" t="n">
        <v>0</v>
      </c>
      <c r="R1559" s="5" t="inlineStr">
        <is>
          <t>306-2023-12-31</t>
        </is>
      </c>
    </row>
    <row r="1560" hidden="1">
      <c r="A1560" s="21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01" t="n">
        <v>45382</v>
      </c>
      <c r="G1560" s="5" t="n">
        <v>2024</v>
      </c>
      <c r="H1560" s="5" t="inlineStr">
        <is>
          <t>Marzo</t>
        </is>
      </c>
      <c r="I1560" s="6" t="inlineStr">
        <is>
          <t>2024-1</t>
        </is>
      </c>
      <c r="J1560" s="5" t="n">
        <v>100</v>
      </c>
      <c r="K1560" s="9" t="n">
        <v>0</v>
      </c>
      <c r="L1560" s="14">
        <f>IFERROR(IF(OR(J1560=0,K1560=""),"",IF(E1560="Positivo",MIN(MAX(K1560/J1560,0),1.3),MIN(MAX(J1560/K1560,0),1.3))),"") </f>
        <v/>
      </c>
      <c r="M1560" s="14">
        <f>IFERROR(IF(OR(J1560=0,K1560=""),"",IF(E1560="Positivo",MAX(K1560/J1560,0),MAX(J1560/K1560,0))),"") </f>
        <v/>
      </c>
      <c r="N1560" s="5" t="inlineStr">
        <is>
          <t>%</t>
        </is>
      </c>
      <c r="O1560" s="5" t="inlineStr">
        <is>
          <t>%</t>
        </is>
      </c>
      <c r="P1560" s="15" t="n">
        <v>0</v>
      </c>
      <c r="Q1560" s="15" t="n">
        <v>0</v>
      </c>
      <c r="R1560" s="5" t="inlineStr">
        <is>
          <t>306-2024-03-31</t>
        </is>
      </c>
    </row>
    <row r="1561" hidden="1">
      <c r="A1561" s="21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01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9" t="n">
        <v>601</v>
      </c>
      <c r="L1561" s="14">
        <f>IFERROR(IF(OR(J1561=0,K1561=""),"",IF(E1561="Positivo",MIN(MAX(K1561/J1561,0),1.3),MIN(MAX(J1561/K1561,0),1.3))),"") </f>
        <v/>
      </c>
      <c r="M1561" s="14">
        <f>IFERROR(IF(OR(J1561=0,K1561=""),"",IF(E1561="Positivo",MAX(K1561/J1561,0),MAX(J1561/K1561,0))),"") </f>
        <v/>
      </c>
      <c r="N1561" s="5" t="inlineStr">
        <is>
          <t>%</t>
        </is>
      </c>
      <c r="O1561" s="5" t="inlineStr">
        <is>
          <t>%</t>
        </is>
      </c>
      <c r="P1561" s="15" t="n">
        <v>0</v>
      </c>
      <c r="Q1561" s="15" t="n">
        <v>0</v>
      </c>
      <c r="R1561" s="5" t="inlineStr">
        <is>
          <t>306-2024-06-30</t>
        </is>
      </c>
    </row>
    <row r="1562" hidden="1">
      <c r="A1562" s="21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01" t="n">
        <v>45565</v>
      </c>
      <c r="G1562" s="5" t="n">
        <v>2024</v>
      </c>
      <c r="H1562" s="5" t="inlineStr">
        <is>
          <t>Septiembre</t>
        </is>
      </c>
      <c r="I1562" s="6" t="inlineStr">
        <is>
          <t>2024-2</t>
        </is>
      </c>
      <c r="J1562" s="5" t="n">
        <v>100</v>
      </c>
      <c r="K1562" s="9" t="n">
        <v>0</v>
      </c>
      <c r="L1562" s="14">
        <f>IFERROR(IF(OR(J1562=0,K1562=""),"",IF(E1562="Positivo",MIN(MAX(K1562/J1562,0),1.3),MIN(MAX(J1562/K1562,0),1.3))),"") </f>
        <v/>
      </c>
      <c r="M1562" s="14">
        <f>IFERROR(IF(OR(J1562=0,K1562=""),"",IF(E1562="Positivo",MAX(K1562/J1562,0),MAX(J1562/K1562,0))),"") </f>
        <v/>
      </c>
      <c r="N1562" s="5" t="inlineStr">
        <is>
          <t>%</t>
        </is>
      </c>
      <c r="O1562" s="5" t="inlineStr">
        <is>
          <t>%</t>
        </is>
      </c>
      <c r="P1562" s="15" t="n">
        <v>0</v>
      </c>
      <c r="Q1562" s="15" t="n">
        <v>0</v>
      </c>
      <c r="R1562" s="5" t="inlineStr">
        <is>
          <t>306-2024-09-30</t>
        </is>
      </c>
    </row>
    <row r="1563" hidden="1">
      <c r="A1563" s="21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Trimestral</t>
        </is>
      </c>
      <c r="E1563" s="5" t="inlineStr">
        <is>
          <t>Positivo</t>
        </is>
      </c>
      <c r="F1563" s="101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9" t="n">
        <v>101</v>
      </c>
      <c r="L1563" s="14">
        <f>IFERROR(IF(OR(J1563=0,K1563=""),"",IF(E1563="Positivo",MIN(MAX(K1563/J1563,0),1.3),MIN(MAX(J1563/K1563,0),1.3))),"") </f>
        <v/>
      </c>
      <c r="M1563" s="14">
        <f>IFERROR(IF(OR(J1563=0,K1563=""),"",IF(E1563="Positivo",MAX(K1563/J1563,0),MAX(J1563/K1563,0))),"") </f>
        <v/>
      </c>
      <c r="N1563" s="5" t="inlineStr">
        <is>
          <t>%</t>
        </is>
      </c>
      <c r="O1563" s="5" t="inlineStr">
        <is>
          <t>%</t>
        </is>
      </c>
      <c r="P1563" s="15" t="n">
        <v>0</v>
      </c>
      <c r="Q1563" s="15" t="n">
        <v>0</v>
      </c>
      <c r="R1563" s="5" t="inlineStr">
        <is>
          <t>306-2024-12-31</t>
        </is>
      </c>
    </row>
    <row r="1564" hidden="1">
      <c r="A1564" s="21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01" t="n">
        <v>45838</v>
      </c>
      <c r="G1564" s="5" t="n">
        <v>2025</v>
      </c>
      <c r="H1564" s="5" t="inlineStr">
        <is>
          <t>Junio</t>
        </is>
      </c>
      <c r="I1564" s="6" t="inlineStr">
        <is>
          <t>2025-1</t>
        </is>
      </c>
      <c r="J1564" s="5" t="n">
        <v>100</v>
      </c>
      <c r="K1564" s="10" t="n">
        <v>108.67</v>
      </c>
      <c r="L1564" s="14">
        <f>IFERROR(IF(OR(J1564=0,K1564=""),"",IF(E1564="Positivo",MIN(MAX(K1564/J1564,0),1.3),MIN(MAX(J1564/K1564,0),1.3))),"") </f>
        <v/>
      </c>
      <c r="M1564" s="14">
        <f>IFERROR(IF(OR(J1564=0,K1564=""),"",IF(E1564="Positivo",MAX(K1564/J1564,0),MAX(J1564/K1564,0))),"") </f>
        <v/>
      </c>
      <c r="N1564" s="5" t="inlineStr">
        <is>
          <t>%</t>
        </is>
      </c>
      <c r="O1564" s="5" t="inlineStr">
        <is>
          <t>%</t>
        </is>
      </c>
      <c r="P1564" s="15" t="n">
        <v>0</v>
      </c>
      <c r="Q1564" s="15" t="n">
        <v>0</v>
      </c>
      <c r="R1564" s="5" t="inlineStr">
        <is>
          <t>306-2025-06-30</t>
        </is>
      </c>
    </row>
    <row r="1565" hidden="1">
      <c r="A1565" s="21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01" t="n">
        <v>45930</v>
      </c>
      <c r="G1565" s="5" t="n">
        <v>2025</v>
      </c>
      <c r="H1565" s="5" t="inlineStr">
        <is>
          <t>Septiembre</t>
        </is>
      </c>
      <c r="I1565" s="6" t="inlineStr">
        <is>
          <t>2025-2</t>
        </is>
      </c>
      <c r="J1565" s="5" t="n">
        <v>100</v>
      </c>
      <c r="K1565" s="9" t="n">
        <v>105.83</v>
      </c>
      <c r="L1565" s="14">
        <f>IFERROR(IF(OR(J1565=0,K1565=""),"",IF(E1565="Positivo",MIN(MAX(K1565/J1565,0),1.3),MIN(MAX(J1565/K1565,0),1.3))),"") </f>
        <v/>
      </c>
      <c r="M1565" s="14">
        <f>IFERROR(IF(OR(J1565=0,K1565=""),"",IF(E1565="Positivo",MAX(K1565/J1565,0),MAX(J1565/K1565,0))),"") </f>
        <v/>
      </c>
      <c r="N1565" s="5" t="inlineStr">
        <is>
          <t>%</t>
        </is>
      </c>
      <c r="O1565" s="5" t="inlineStr">
        <is>
          <t>%</t>
        </is>
      </c>
      <c r="P1565" s="15" t="n">
        <v>0</v>
      </c>
      <c r="Q1565" s="15" t="n">
        <v>0</v>
      </c>
      <c r="R1565" s="5" t="inlineStr">
        <is>
          <t>306-2025-09-30</t>
        </is>
      </c>
    </row>
    <row r="1566" hidden="1">
      <c r="A1566" s="21" t="n">
        <v>306</v>
      </c>
      <c r="B1566" s="5" t="inlineStr">
        <is>
          <t>Seguimiento KPI Plan de Desarrollo Institucional</t>
        </is>
      </c>
      <c r="C1566" s="5" t="inlineStr">
        <is>
          <t>Desempeño Institucional</t>
        </is>
      </c>
      <c r="D1566" s="5" t="inlineStr">
        <is>
          <t>Semestral</t>
        </is>
      </c>
      <c r="E1566" s="5" t="inlineStr">
        <is>
          <t>Positivo</t>
        </is>
      </c>
      <c r="F1566" s="101" t="n">
        <v>46022</v>
      </c>
      <c r="G1566" s="5" t="n">
        <v>2025</v>
      </c>
      <c r="H1566" s="5" t="inlineStr">
        <is>
          <t>Diciembre</t>
        </is>
      </c>
      <c r="I1566" s="6" t="inlineStr">
        <is>
          <t>2025-2</t>
        </is>
      </c>
      <c r="J1566" s="5" t="n">
        <v>100</v>
      </c>
      <c r="K1566" s="9" t="n">
        <v>107.62</v>
      </c>
      <c r="L1566" s="14">
        <f>IFERROR(IF(OR(J1566=0,K1566=""),"",IF(E1566="Positivo",MIN(MAX(K1566/J1566,0),1.3),MIN(MAX(J1566/K1566,0),1.3))),"") </f>
        <v/>
      </c>
      <c r="M1566" s="14">
        <f>IFERROR(IF(OR(J1566=0,K1566=""),"",IF(E1566="Positivo",MAX(K1566/J1566,0),MAX(J1566/K1566,0))),"") </f>
        <v/>
      </c>
      <c r="N1566" s="5" t="inlineStr">
        <is>
          <t>%</t>
        </is>
      </c>
      <c r="O1566" s="5" t="inlineStr">
        <is>
          <t>%</t>
        </is>
      </c>
      <c r="P1566" s="15" t="n">
        <v>0</v>
      </c>
      <c r="Q1566" s="15" t="n">
        <v>0</v>
      </c>
      <c r="R1566" s="5" t="inlineStr">
        <is>
          <t>306-2025-12-31</t>
        </is>
      </c>
    </row>
    <row r="1567" hidden="1">
      <c r="A1567" s="21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01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20</v>
      </c>
      <c r="K1567" s="9" t="n">
        <v>25</v>
      </c>
      <c r="L1567" s="14">
        <f>IFERROR(IF(OR(J1567=0,K1567=""),"",IF(E1567="Positivo",MIN(MAX(K1567/J1567,0),1.3),MIN(MAX(J1567/K1567,0),1.3))),"") </f>
        <v/>
      </c>
      <c r="M1567" s="14">
        <f>IFERROR(IF(OR(J1567=0,K1567=""),"",IF(E1567="Positivo",MAX(K1567/J1567,0),MAX(J1567/K1567,0))),"") </f>
        <v/>
      </c>
      <c r="N1567" s="5" t="inlineStr">
        <is>
          <t>%</t>
        </is>
      </c>
      <c r="O1567" s="5" t="inlineStr">
        <is>
          <t>%</t>
        </is>
      </c>
      <c r="P1567" s="15" t="n">
        <v>0</v>
      </c>
      <c r="Q1567" s="15" t="n">
        <v>0</v>
      </c>
      <c r="R1567" s="5" t="inlineStr">
        <is>
          <t>307-2023-06-30</t>
        </is>
      </c>
    </row>
    <row r="1568" hidden="1">
      <c r="A1568" s="21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01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26</v>
      </c>
      <c r="K1568" s="9" t="n">
        <v>82</v>
      </c>
      <c r="L1568" s="14">
        <f>IFERROR(IF(OR(J1568=0,K1568=""),"",IF(E1568="Positivo",MIN(MAX(K1568/J1568,0),1.3),MIN(MAX(J1568/K1568,0),1.3))),"") </f>
        <v/>
      </c>
      <c r="M1568" s="14">
        <f>IFERROR(IF(OR(J1568=0,K1568=""),"",IF(E1568="Positivo",MAX(K1568/J1568,0),MAX(J1568/K1568,0))),"") </f>
        <v/>
      </c>
      <c r="N1568" s="5" t="inlineStr">
        <is>
          <t>%</t>
        </is>
      </c>
      <c r="O1568" s="5" t="inlineStr">
        <is>
          <t>%</t>
        </is>
      </c>
      <c r="P1568" s="15" t="n">
        <v>0</v>
      </c>
      <c r="Q1568" s="15" t="n">
        <v>0</v>
      </c>
      <c r="R1568" s="5" t="inlineStr">
        <is>
          <t>307-2023-12-31</t>
        </is>
      </c>
    </row>
    <row r="1569" hidden="1">
      <c r="A1569" s="21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01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9" t="n">
        <v>112</v>
      </c>
      <c r="L1569" s="14">
        <f>IFERROR(IF(OR(J1569=0,K1569=""),"",IF(E1569="Positivo",MIN(MAX(K1569/J1569,0),1.3),MIN(MAX(J1569/K1569,0),1.3))),"") </f>
        <v/>
      </c>
      <c r="M1569" s="14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307-2024-06-30</t>
        </is>
      </c>
    </row>
    <row r="1570" hidden="1">
      <c r="A1570" s="21" t="n">
        <v>307</v>
      </c>
      <c r="B1570" s="5" t="inlineStr">
        <is>
          <t>Organización de escenarios de visibilidad nacional e internacional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01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0" t="n">
        <v>413.33</v>
      </c>
      <c r="L1570" s="14">
        <f>IFERROR(IF(OR(J1570=0,K1570=""),"",IF(E1570="Positivo",MIN(MAX(K1570/J1570,0),1.3),MIN(MAX(J1570/K1570,0),1.3))),"") </f>
        <v/>
      </c>
      <c r="M1570" s="14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307-2024-12-31</t>
        </is>
      </c>
    </row>
    <row r="1571" hidden="1">
      <c r="A1571" s="21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01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12</v>
      </c>
      <c r="K1571" s="9" t="n">
        <v>27</v>
      </c>
      <c r="L1571" s="14">
        <f>IFERROR(IF(OR(J1571=0,K1571=""),"",IF(E1571="Positivo",MIN(MAX(K1571/J1571,0),1.3),MIN(MAX(J1571/K1571,0),1.3))),"") </f>
        <v/>
      </c>
      <c r="M1571" s="14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308-2023-06-30</t>
        </is>
      </c>
    </row>
    <row r="1572" hidden="1">
      <c r="A1572" s="21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1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20</v>
      </c>
      <c r="K1572" s="9" t="n">
        <v>54</v>
      </c>
      <c r="L1572" s="14">
        <f>IFERROR(IF(OR(J1572=0,K1572=""),"",IF(E1572="Positivo",MIN(MAX(K1572/J1572,0),1.3),MIN(MAX(J1572/K1572,0),1.3))),"") </f>
        <v/>
      </c>
      <c r="M1572" s="14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308-2023-12-31</t>
        </is>
      </c>
    </row>
    <row r="1573" hidden="1">
      <c r="A1573" s="21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1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9" t="n">
        <v>100</v>
      </c>
      <c r="L1573" s="14">
        <f>IFERROR(IF(OR(J1573=0,K1573=""),"",IF(E1573="Positivo",MIN(MAX(K1573/J1573,0),1.3),MIN(MAX(J1573/K1573,0),1.3))),"") </f>
        <v/>
      </c>
      <c r="M1573" s="14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308-2024-06-30</t>
        </is>
      </c>
    </row>
    <row r="1574" hidden="1">
      <c r="A1574" s="21" t="n">
        <v>308</v>
      </c>
      <c r="B1574" s="5" t="inlineStr">
        <is>
          <t>Movilidad Física Entrantes Profesores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1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9" t="n">
        <v>100</v>
      </c>
      <c r="L1574" s="14">
        <f>IFERROR(IF(OR(J1574=0,K1574=""),"",IF(E1574="Positivo",MIN(MAX(K1574/J1574,0),1.3),MIN(MAX(J1574/K1574,0),1.3))),"") </f>
        <v/>
      </c>
      <c r="M1574" s="14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308-2024-12-31</t>
        </is>
      </c>
    </row>
    <row r="1575" hidden="1">
      <c r="A1575" s="21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8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19</v>
      </c>
      <c r="K1575" s="103" t="n">
        <v>27</v>
      </c>
      <c r="L1575" s="14">
        <f>IFERROR(IF(OR(J1575=0,K1575=""),"",IF(E1575="Positivo",MIN(MAX(K1575/J1575,0),1.3),MIN(MAX(J1575/K1575,0),1.3))),"") </f>
        <v/>
      </c>
      <c r="M1575" s="14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309-2023-06-30</t>
        </is>
      </c>
    </row>
    <row r="1576" hidden="1">
      <c r="A1576" s="21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8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45</v>
      </c>
      <c r="K1576" s="103" t="n">
        <v>76</v>
      </c>
      <c r="L1576" s="14">
        <f>IFERROR(IF(OR(J1576=0,K1576=""),"",IF(E1576="Positivo",MIN(MAX(K1576/J1576,0),1.3),MIN(MAX(J1576/K1576,0),1.3))),"") </f>
        <v/>
      </c>
      <c r="M1576" s="14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309-2023-12-31</t>
        </is>
      </c>
    </row>
    <row r="1577" hidden="1">
      <c r="A1577" s="21" t="n">
        <v>309</v>
      </c>
      <c r="B1577" s="5" t="inlineStr">
        <is>
          <t>Movilidad Física Profesores Salientes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8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03" t="n">
        <v>216</v>
      </c>
      <c r="L1577" s="14">
        <f>IFERROR(IF(OR(J1577=0,K1577=""),"",IF(E1577="Positivo",MIN(MAX(K1577/J1577,0),1.3),MIN(MAX(J1577/K1577,0),1.3))),"") </f>
        <v/>
      </c>
      <c r="M1577" s="14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309-2024-06-30</t>
        </is>
      </c>
    </row>
    <row r="1578" hidden="1">
      <c r="A1578" s="21" t="n">
        <v>309</v>
      </c>
      <c r="B1578" s="5" t="inlineStr">
        <is>
          <t>Movilidad Física Salientes Profesores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8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03" t="n">
        <v>154.67</v>
      </c>
      <c r="L1578" s="14">
        <f>IFERROR(IF(OR(J1578=0,K1578=""),"",IF(E1578="Positivo",MIN(MAX(K1578/J1578,0),1.3),MIN(MAX(J1578/K1578,0),1.3))),"") </f>
        <v/>
      </c>
      <c r="M1578" s="14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309-2024-12-31</t>
        </is>
      </c>
    </row>
    <row r="1579" hidden="1">
      <c r="A1579" s="21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8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14</v>
      </c>
      <c r="K1579" s="103" t="n">
        <v>48</v>
      </c>
      <c r="L1579" s="14">
        <f>IFERROR(IF(OR(J1579=0,K1579=""),"",IF(E1579="Positivo",MIN(MAX(K1579/J1579,0),1.3),MIN(MAX(J1579/K1579,0),1.3))),"") </f>
        <v/>
      </c>
      <c r="M1579" s="14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310-2023-06-30</t>
        </is>
      </c>
    </row>
    <row r="1580" hidden="1">
      <c r="A1580" s="21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8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70</v>
      </c>
      <c r="K1580" s="5" t="n">
        <v>118</v>
      </c>
      <c r="L1580" s="14">
        <f>IFERROR(IF(OR(J1580=0,K1580=""),"",IF(E1580="Positivo",MIN(MAX(K1580/J1580,0),1.3),MIN(MAX(J1580/K1580,0),1.3))),"") </f>
        <v/>
      </c>
      <c r="M1580" s="14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310-2023-12-31</t>
        </is>
      </c>
    </row>
    <row r="1581" hidden="1">
      <c r="A1581" s="21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8" t="n">
        <v>45473</v>
      </c>
      <c r="G1581" s="5" t="n">
        <v>2024</v>
      </c>
      <c r="H1581" s="5" t="inlineStr">
        <is>
          <t>Junio</t>
        </is>
      </c>
      <c r="I1581" s="6" t="inlineStr">
        <is>
          <t>2024-1</t>
        </is>
      </c>
      <c r="J1581" s="5" t="n">
        <v>100</v>
      </c>
      <c r="K1581" s="9" t="n">
        <v>95.56</v>
      </c>
      <c r="L1581" s="14">
        <f>IFERROR(IF(OR(J1581=0,K1581=""),"",IF(E1581="Positivo",MIN(MAX(K1581/J1581,0),1.3),MIN(MAX(J1581/K1581,0),1.3))),"") </f>
        <v/>
      </c>
      <c r="M1581" s="14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15" t="n">
        <v>0</v>
      </c>
      <c r="Q1581" s="15" t="n">
        <v>0</v>
      </c>
      <c r="R1581" s="5" t="inlineStr">
        <is>
          <t>310-2024-06-30</t>
        </is>
      </c>
    </row>
    <row r="1582" hidden="1">
      <c r="A1582" s="21" t="n">
        <v>310</v>
      </c>
      <c r="B1582" s="5" t="inlineStr">
        <is>
          <t>Movilidad Física Entrante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08" t="n">
        <v>45657</v>
      </c>
      <c r="G1582" s="5" t="n">
        <v>2024</v>
      </c>
      <c r="H1582" s="5" t="inlineStr">
        <is>
          <t>Diciembre</t>
        </is>
      </c>
      <c r="I1582" s="6" t="inlineStr">
        <is>
          <t>2024-2</t>
        </is>
      </c>
      <c r="J1582" s="5" t="n">
        <v>100</v>
      </c>
      <c r="K1582" s="9" t="n">
        <v>79.13</v>
      </c>
      <c r="L1582" s="14">
        <f>IFERROR(IF(OR(J1582=0,K1582=""),"",IF(E1582="Positivo",MIN(MAX(K1582/J1582,0),1.3),MIN(MAX(J1582/K1582,0),1.3))),"") </f>
        <v/>
      </c>
      <c r="M1582" s="14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310-2024-12-31</t>
        </is>
      </c>
    </row>
    <row r="1583" hidden="1">
      <c r="A1583" s="21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08" t="n">
        <v>45107</v>
      </c>
      <c r="G1583" s="5" t="n">
        <v>2023</v>
      </c>
      <c r="H1583" s="5" t="inlineStr">
        <is>
          <t>Junio</t>
        </is>
      </c>
      <c r="I1583" s="6" t="inlineStr">
        <is>
          <t>2023-1</t>
        </is>
      </c>
      <c r="J1583" s="5" t="n">
        <v>22</v>
      </c>
      <c r="K1583" s="9" t="n">
        <v>85</v>
      </c>
      <c r="L1583" s="14">
        <f>IFERROR(IF(OR(J1583=0,K1583=""),"",IF(E1583="Positivo",MIN(MAX(K1583/J1583,0),1.3),MIN(MAX(J1583/K1583,0),1.3))),"") </f>
        <v/>
      </c>
      <c r="M1583" s="14">
        <f>IFERROR(IF(OR(J1583=0,K1583=""),"",IF(E1583="Positivo",MAX(K1583/J1583,0),MAX(J1583/K1583,0))),"") </f>
        <v/>
      </c>
      <c r="N1583" s="5" t="inlineStr">
        <is>
          <t>ENT</t>
        </is>
      </c>
      <c r="O1583" s="5" t="inlineStr">
        <is>
          <t>ENT</t>
        </is>
      </c>
      <c r="P1583" s="15" t="n">
        <v>0</v>
      </c>
      <c r="Q1583" s="15" t="n">
        <v>0</v>
      </c>
      <c r="R1583" s="5" t="inlineStr">
        <is>
          <t>311-2023-06-30</t>
        </is>
      </c>
    </row>
    <row r="1584" hidden="1">
      <c r="A1584" s="21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8" t="n">
        <v>45291</v>
      </c>
      <c r="G1584" s="5" t="n">
        <v>2023</v>
      </c>
      <c r="H1584" s="5" t="inlineStr">
        <is>
          <t>Diciembre</t>
        </is>
      </c>
      <c r="I1584" s="6" t="inlineStr">
        <is>
          <t>2023-2</t>
        </is>
      </c>
      <c r="J1584" s="5" t="n">
        <v>245</v>
      </c>
      <c r="K1584" s="9" t="n">
        <v>247</v>
      </c>
      <c r="L1584" s="14">
        <f>IFERROR(IF(OR(J1584=0,K1584=""),"",IF(E1584="Positivo",MIN(MAX(K1584/J1584,0),1.3),MIN(MAX(J1584/K1584,0),1.3))),"") </f>
        <v/>
      </c>
      <c r="M1584" s="14">
        <f>IFERROR(IF(OR(J1584=0,K1584=""),"",IF(E1584="Positivo",MAX(K1584/J1584,0),MAX(J1584/K1584,0))),"") </f>
        <v/>
      </c>
      <c r="N1584" s="5" t="inlineStr">
        <is>
          <t>ENT</t>
        </is>
      </c>
      <c r="O1584" s="5" t="inlineStr">
        <is>
          <t>ENT</t>
        </is>
      </c>
      <c r="P1584" s="15" t="n">
        <v>0</v>
      </c>
      <c r="Q1584" s="15" t="n">
        <v>0</v>
      </c>
      <c r="R1584" s="5" t="inlineStr">
        <is>
          <t>311-2023-12-31</t>
        </is>
      </c>
    </row>
    <row r="1585" hidden="1">
      <c r="A1585" s="21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1" t="n">
        <v>45473</v>
      </c>
      <c r="G1585" s="5" t="n">
        <v>2024</v>
      </c>
      <c r="H1585" s="5" t="inlineStr">
        <is>
          <t>Junio</t>
        </is>
      </c>
      <c r="I1585" s="6" t="inlineStr">
        <is>
          <t>2024-1</t>
        </is>
      </c>
      <c r="J1585" s="5" t="n">
        <v>100</v>
      </c>
      <c r="K1585" s="5" t="n">
        <v>117.65</v>
      </c>
      <c r="L1585" s="14">
        <f>IFERROR(IF(OR(J1585=0,K1585=""),"",IF(E1585="Positivo",MIN(MAX(K1585/J1585,0),1.3),MIN(MAX(J1585/K1585,0),1.3))),"") </f>
        <v/>
      </c>
      <c r="M1585" s="14">
        <f>IFERROR(IF(OR(J1585=0,K1585=""),"",IF(E1585="Positivo",MAX(K1585/J1585,0),MAX(J1585/K1585,0))),"") </f>
        <v/>
      </c>
      <c r="N1585" s="5" t="inlineStr">
        <is>
          <t>ENT</t>
        </is>
      </c>
      <c r="O1585" s="5" t="inlineStr">
        <is>
          <t>ENT</t>
        </is>
      </c>
      <c r="P1585" s="15" t="n">
        <v>0</v>
      </c>
      <c r="Q1585" s="15" t="n">
        <v>0</v>
      </c>
      <c r="R1585" s="5" t="inlineStr">
        <is>
          <t>311-2024-06-30</t>
        </is>
      </c>
    </row>
    <row r="1586" hidden="1">
      <c r="A1586" s="21" t="n">
        <v>311</v>
      </c>
      <c r="B1586" s="5" t="inlineStr">
        <is>
          <t>Movilidad Física Saliente Estudiantes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01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100</v>
      </c>
      <c r="K1586" s="5" t="n">
        <v>67.76000000000001</v>
      </c>
      <c r="L1586" s="14">
        <f>IFERROR(IF(OR(J1586=0,K1586=""),"",IF(E1586="Positivo",MIN(MAX(K1586/J1586,0),1.3),MIN(MAX(J1586/K1586,0),1.3))),"") </f>
        <v/>
      </c>
      <c r="M1586" s="14">
        <f>IFERROR(IF(OR(J1586=0,K1586=""),"",IF(E1586="Positivo",MAX(K1586/J1586,0),MAX(J1586/K1586,0))),"") </f>
        <v/>
      </c>
      <c r="N1586" s="5" t="inlineStr">
        <is>
          <t>ENT</t>
        </is>
      </c>
      <c r="O1586" s="5" t="inlineStr">
        <is>
          <t>ENT</t>
        </is>
      </c>
      <c r="P1586" s="15" t="n">
        <v>0</v>
      </c>
      <c r="Q1586" s="15" t="n">
        <v>0</v>
      </c>
      <c r="R1586" s="5" t="inlineStr">
        <is>
          <t>311-2024-12-31</t>
        </is>
      </c>
    </row>
    <row r="1587" hidden="1">
      <c r="A1587" s="21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01" t="n">
        <v>45107</v>
      </c>
      <c r="G1587" s="5" t="n">
        <v>2023</v>
      </c>
      <c r="H1587" s="5" t="inlineStr">
        <is>
          <t>Junio</t>
        </is>
      </c>
      <c r="I1587" s="6" t="inlineStr">
        <is>
          <t>2023-1</t>
        </is>
      </c>
      <c r="J1587" s="5" t="n">
        <v>113</v>
      </c>
      <c r="K1587" s="5" t="n">
        <v>125</v>
      </c>
      <c r="L1587" s="14">
        <f>IFERROR(IF(OR(J1587=0,K1587=""),"",IF(E1587="Positivo",MIN(MAX(K1587/J1587,0),1.3),MIN(MAX(J1587/K1587,0),1.3))),"") </f>
        <v/>
      </c>
      <c r="M1587" s="14">
        <f>IFERROR(IF(OR(J1587=0,K1587=""),"",IF(E1587="Positivo",MAX(K1587/J1587,0),MAX(J1587/K1587,0))),"") </f>
        <v/>
      </c>
      <c r="N1587" s="5" t="inlineStr">
        <is>
          <t>ENT</t>
        </is>
      </c>
      <c r="O1587" s="5" t="inlineStr">
        <is>
          <t>ENT</t>
        </is>
      </c>
      <c r="P1587" s="15" t="n">
        <v>0</v>
      </c>
      <c r="Q1587" s="15" t="n">
        <v>0</v>
      </c>
      <c r="R1587" s="5" t="inlineStr">
        <is>
          <t>312-2023-06-30</t>
        </is>
      </c>
    </row>
    <row r="1588" hidden="1">
      <c r="A1588" s="21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1" t="n">
        <v>45291</v>
      </c>
      <c r="G1588" s="5" t="n">
        <v>2023</v>
      </c>
      <c r="H1588" s="5" t="inlineStr">
        <is>
          <t>Diciembre</t>
        </is>
      </c>
      <c r="I1588" s="6" t="inlineStr">
        <is>
          <t>2023-2</t>
        </is>
      </c>
      <c r="J1588" s="5" t="n">
        <v>108</v>
      </c>
      <c r="K1588" s="5" t="n">
        <v>118</v>
      </c>
      <c r="L1588" s="14">
        <f>IFERROR(IF(OR(J1588=0,K1588=""),"",IF(E1588="Positivo",MIN(MAX(K1588/J1588,0),1.3),MIN(MAX(J1588/K1588,0),1.3))),"") </f>
        <v/>
      </c>
      <c r="M1588" s="14">
        <f>IFERROR(IF(OR(J1588=0,K1588=""),"",IF(E1588="Positivo",MAX(K1588/J1588,0),MAX(J1588/K1588,0))),"") </f>
        <v/>
      </c>
      <c r="N1588" s="5" t="inlineStr">
        <is>
          <t>ENT</t>
        </is>
      </c>
      <c r="O1588" s="5" t="inlineStr">
        <is>
          <t>ENT</t>
        </is>
      </c>
      <c r="P1588" s="15" t="n">
        <v>0</v>
      </c>
      <c r="Q1588" s="15" t="n">
        <v>0</v>
      </c>
      <c r="R1588" s="5" t="inlineStr">
        <is>
          <t>312-2023-12-31</t>
        </is>
      </c>
    </row>
    <row r="1589" hidden="1">
      <c r="A1589" s="21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1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5" t="n">
        <v>126</v>
      </c>
      <c r="L1589" s="14">
        <f>IFERROR(IF(OR(J1589=0,K1589=""),"",IF(E1589="Positivo",MIN(MAX(K1589/J1589,0),1.3),MIN(MAX(J1589/K1589,0),1.3))),"") </f>
        <v/>
      </c>
      <c r="M1589" s="14">
        <f>IFERROR(IF(OR(J1589=0,K1589=""),"",IF(E1589="Positivo",MAX(K1589/J1589,0),MAX(J1589/K1589,0))),"") </f>
        <v/>
      </c>
      <c r="N1589" s="5" t="inlineStr">
        <is>
          <t>ENT</t>
        </is>
      </c>
      <c r="O1589" s="5" t="inlineStr">
        <is>
          <t>ENT</t>
        </is>
      </c>
      <c r="P1589" s="15" t="n">
        <v>0</v>
      </c>
      <c r="Q1589" s="15" t="n">
        <v>0</v>
      </c>
      <c r="R1589" s="5" t="inlineStr">
        <is>
          <t>312-2024-06-30</t>
        </is>
      </c>
    </row>
    <row r="1590" hidden="1">
      <c r="A1590" s="21" t="n">
        <v>312</v>
      </c>
      <c r="B1590" s="5" t="inlineStr">
        <is>
          <t>Clases espejo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1" t="n">
        <v>45657</v>
      </c>
      <c r="G1590" s="5" t="n">
        <v>2024</v>
      </c>
      <c r="H1590" s="5" t="inlineStr">
        <is>
          <t>Diciembre</t>
        </is>
      </c>
      <c r="I1590" s="6" t="inlineStr">
        <is>
          <t>2024-2</t>
        </is>
      </c>
      <c r="J1590" s="5" t="n">
        <v>100</v>
      </c>
      <c r="K1590" s="5" t="n">
        <v>137</v>
      </c>
      <c r="L1590" s="14">
        <f>IFERROR(IF(OR(J1590=0,K1590=""),"",IF(E1590="Positivo",MIN(MAX(K1590/J1590,0),1.3),MIN(MAX(J1590/K1590,0),1.3))),"") </f>
        <v/>
      </c>
      <c r="M1590" s="14">
        <f>IFERROR(IF(OR(J1590=0,K1590=""),"",IF(E1590="Positivo",MAX(K1590/J1590,0),MAX(J1590/K1590,0))),"") </f>
        <v/>
      </c>
      <c r="N1590" s="5" t="inlineStr">
        <is>
          <t>ENT</t>
        </is>
      </c>
      <c r="O1590" s="5" t="inlineStr">
        <is>
          <t>ENT</t>
        </is>
      </c>
      <c r="P1590" s="15" t="n">
        <v>0</v>
      </c>
      <c r="Q1590" s="15" t="n">
        <v>0</v>
      </c>
      <c r="R1590" s="5" t="inlineStr">
        <is>
          <t>312-2024-12-31</t>
        </is>
      </c>
    </row>
    <row r="1591" hidden="1">
      <c r="A1591" s="21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1" t="n">
        <v>45107</v>
      </c>
      <c r="G1591" s="5" t="n">
        <v>2023</v>
      </c>
      <c r="H1591" s="5" t="inlineStr">
        <is>
          <t>Junio</t>
        </is>
      </c>
      <c r="I1591" s="6" t="inlineStr">
        <is>
          <t>2023-1</t>
        </is>
      </c>
      <c r="J1591" s="5" t="n">
        <v>13</v>
      </c>
      <c r="K1591" s="10" t="n">
        <v>13</v>
      </c>
      <c r="L1591" s="14">
        <f>IFERROR(IF(OR(J1591=0,K1591=""),"",IF(E1591="Positivo",MIN(MAX(K1591/J1591,0),1.3),MIN(MAX(J1591/K1591,0),1.3))),"") </f>
        <v/>
      </c>
      <c r="M1591" s="14">
        <f>IFERROR(IF(OR(J1591=0,K1591=""),"",IF(E1591="Positivo",MAX(K1591/J1591,0),MAX(J1591/K1591,0))),"") </f>
        <v/>
      </c>
      <c r="N1591" s="5" t="inlineStr">
        <is>
          <t>ENT</t>
        </is>
      </c>
      <c r="O1591" s="5" t="inlineStr">
        <is>
          <t>ENT</t>
        </is>
      </c>
      <c r="P1591" s="15" t="n">
        <v>0</v>
      </c>
      <c r="Q1591" s="15" t="n">
        <v>0</v>
      </c>
      <c r="R1591" s="5" t="inlineStr">
        <is>
          <t>313-2023-06-30</t>
        </is>
      </c>
    </row>
    <row r="1592" hidden="1">
      <c r="A1592" s="21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1" t="n">
        <v>45291</v>
      </c>
      <c r="G1592" s="5" t="n">
        <v>2023</v>
      </c>
      <c r="H1592" s="5" t="inlineStr">
        <is>
          <t>Diciembre</t>
        </is>
      </c>
      <c r="I1592" s="6" t="inlineStr">
        <is>
          <t>2023-2</t>
        </is>
      </c>
      <c r="J1592" s="5" t="n">
        <v>15</v>
      </c>
      <c r="K1592" s="10" t="n">
        <v>12</v>
      </c>
      <c r="L1592" s="14">
        <f>IFERROR(IF(OR(J1592=0,K1592=""),"",IF(E1592="Positivo",MIN(MAX(K1592/J1592,0),1.3),MIN(MAX(J1592/K1592,0),1.3))),"") </f>
        <v/>
      </c>
      <c r="M1592" s="14">
        <f>IFERROR(IF(OR(J1592=0,K1592=""),"",IF(E1592="Positivo",MAX(K1592/J1592,0),MAX(J1592/K1592,0))),"") </f>
        <v/>
      </c>
      <c r="N1592" s="5" t="inlineStr">
        <is>
          <t>ENT</t>
        </is>
      </c>
      <c r="O1592" s="5" t="inlineStr">
        <is>
          <t>ENT</t>
        </is>
      </c>
      <c r="P1592" s="15" t="n">
        <v>0</v>
      </c>
      <c r="Q1592" s="15" t="n">
        <v>0</v>
      </c>
      <c r="R1592" s="5" t="inlineStr">
        <is>
          <t>313-2023-12-31</t>
        </is>
      </c>
    </row>
    <row r="1593" hidden="1">
      <c r="A1593" s="21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1" t="n">
        <v>45473</v>
      </c>
      <c r="G1593" s="5" t="n">
        <v>2024</v>
      </c>
      <c r="H1593" s="5" t="inlineStr">
        <is>
          <t>Junio</t>
        </is>
      </c>
      <c r="I1593" s="6" t="inlineStr">
        <is>
          <t>2024-1</t>
        </is>
      </c>
      <c r="J1593" s="5" t="n">
        <v>100</v>
      </c>
      <c r="K1593" s="5" t="n">
        <v>100</v>
      </c>
      <c r="L1593" s="14">
        <f>IFERROR(IF(OR(J1593=0,K1593=""),"",IF(E1593="Positivo",MIN(MAX(K1593/J1593,0),1.3),MIN(MAX(J1593/K1593,0),1.3))),"") </f>
        <v/>
      </c>
      <c r="M1593" s="14">
        <f>IFERROR(IF(OR(J1593=0,K1593=""),"",IF(E1593="Positivo",MAX(K1593/J1593,0),MAX(J1593/K1593,0))),"") </f>
        <v/>
      </c>
      <c r="N1593" s="5" t="inlineStr">
        <is>
          <t>ENT</t>
        </is>
      </c>
      <c r="O1593" s="5" t="inlineStr">
        <is>
          <t>ENT</t>
        </is>
      </c>
      <c r="P1593" s="15" t="n">
        <v>0</v>
      </c>
      <c r="Q1593" s="15" t="n">
        <v>0</v>
      </c>
      <c r="R1593" s="5" t="inlineStr">
        <is>
          <t>313-2024-06-30</t>
        </is>
      </c>
    </row>
    <row r="1594" hidden="1">
      <c r="A1594" s="5" t="n">
        <v>313</v>
      </c>
      <c r="B1594" s="5" t="inlineStr">
        <is>
          <t>Seminarios y cursos internacionales virtuales impartidos y certificados por entidades externas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1" t="n">
        <v>45657</v>
      </c>
      <c r="G1594" s="5" t="n">
        <v>2024</v>
      </c>
      <c r="H1594" s="5" t="inlineStr">
        <is>
          <t>Diciembre</t>
        </is>
      </c>
      <c r="I1594" s="6" t="inlineStr">
        <is>
          <t>2024-2</t>
        </is>
      </c>
      <c r="J1594" s="5" t="n">
        <v>100</v>
      </c>
      <c r="K1594" s="5" t="n">
        <v>100</v>
      </c>
      <c r="L1594" s="14">
        <f>IFERROR(IF(OR(J1594=0,K1594=""),"",IF(E1594="Positivo",MIN(MAX(K1594/J1594,0),1.3),MIN(MAX(J1594/K1594,0),1.3))),"") </f>
        <v/>
      </c>
      <c r="M1594" s="14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5" t="n">
        <v>0</v>
      </c>
      <c r="Q1594" s="5" t="n">
        <v>0</v>
      </c>
      <c r="R1594" s="5" t="inlineStr">
        <is>
          <t>313-2024-12-31</t>
        </is>
      </c>
    </row>
    <row r="1595" hidden="1">
      <c r="A1595" s="21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1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9</v>
      </c>
      <c r="K1595" s="10" t="n">
        <v>13</v>
      </c>
      <c r="L1595" s="14">
        <f>IFERROR(IF(OR(J1595=0,K1595=""),"",IF(E1595="Positivo",MIN(MAX(K1595/J1595,0),1.3),MIN(MAX(J1595/K1595,0),1.3))),"") </f>
        <v/>
      </c>
      <c r="M1595" s="14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314-2023-06-30</t>
        </is>
      </c>
    </row>
    <row r="1596" hidden="1">
      <c r="A1596" s="21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1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14</v>
      </c>
      <c r="K1596" s="10" t="n">
        <v>16</v>
      </c>
      <c r="L1596" s="14">
        <f>IFERROR(IF(OR(J1596=0,K1596=""),"",IF(E1596="Positivo",MIN(MAX(K1596/J1596,0),1.3),MIN(MAX(J1596/K1596,0),1.3))),"") </f>
        <v/>
      </c>
      <c r="M1596" s="14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314-2023-12-31</t>
        </is>
      </c>
    </row>
    <row r="1597" hidden="1">
      <c r="A1597" s="26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1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9" t="n">
        <v>140</v>
      </c>
      <c r="L1597" s="14">
        <f>IFERROR(IF(OR(J1597=0,K1597=""),"",IF(E1597="Positivo",MIN(MAX(K1597/J1597,0),1.3),MIN(MAX(J1597/K1597,0),1.3))),"") </f>
        <v/>
      </c>
      <c r="M1597" s="14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314-2024-06-30</t>
        </is>
      </c>
    </row>
    <row r="1598" hidden="1">
      <c r="A1598" s="21" t="n">
        <v>314</v>
      </c>
      <c r="B1598" s="5" t="inlineStr">
        <is>
          <t>N de asignaturas COIL - (Collaborative Online International Learning)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1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0" t="n">
        <v>145</v>
      </c>
      <c r="L1598" s="14">
        <f>IFERROR(IF(OR(J1598=0,K1598=""),"",IF(E1598="Positivo",MIN(MAX(K1598/J1598,0),1.3),MIN(MAX(J1598/K1598,0),1.3))),"") </f>
        <v/>
      </c>
      <c r="M1598" s="14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314-2024-12-31</t>
        </is>
      </c>
    </row>
    <row r="1599" hidden="1">
      <c r="A1599" s="28" t="n">
        <v>315</v>
      </c>
      <c r="B1599" s="5" t="inlineStr">
        <is>
          <t>Convenios con doble titulación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1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5</v>
      </c>
      <c r="K1599" s="9" t="n">
        <v>7</v>
      </c>
      <c r="L1599" s="14">
        <f>IFERROR(IF(OR(J1599=0,K1599=""),"",IF(E1599="Positivo",MIN(MAX(K1599/J1599,0),1.3),MIN(MAX(J1599/K1599,0),1.3))),"") </f>
        <v/>
      </c>
      <c r="M1599" s="14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315-2023-06-30</t>
        </is>
      </c>
    </row>
    <row r="1600" hidden="1">
      <c r="A1600" s="21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01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9</v>
      </c>
      <c r="K1600" s="52" t="n">
        <v>11</v>
      </c>
      <c r="L1600" s="14">
        <f>IFERROR(IF(OR(J1600=0,K1600=""),"",IF(E1600="Positivo",MIN(MAX(K1600/J1600,0),1.3),MIN(MAX(J1600/K1600,0),1.3))),"") </f>
        <v/>
      </c>
      <c r="M1600" s="14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15" t="n">
        <v>0</v>
      </c>
      <c r="Q1600" s="15" t="n">
        <v>0</v>
      </c>
      <c r="R1600" s="5" t="inlineStr">
        <is>
          <t>316-2023-06-30</t>
        </is>
      </c>
    </row>
    <row r="1601" hidden="1">
      <c r="A1601" s="21" t="n">
        <v>316</v>
      </c>
      <c r="B1601" s="5" t="inlineStr">
        <is>
          <t>Asignaturas con sesiones en segundo idioma</t>
        </is>
      </c>
      <c r="C1601" s="5" t="inlineStr">
        <is>
          <t>VISIBILIDAD NACIONAL E INTERNACIONAL</t>
        </is>
      </c>
      <c r="D1601" s="5" t="inlineStr">
        <is>
          <t>Semestral</t>
        </is>
      </c>
      <c r="E1601" s="5" t="inlineStr">
        <is>
          <t>Positivo</t>
        </is>
      </c>
      <c r="F1601" s="101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0" t="n">
        <v>11</v>
      </c>
      <c r="L1601" s="14">
        <f>IFERROR(IF(OR(J1601=0,K1601=""),"",IF(E1601="Positivo",MIN(MAX(K1601/J1601,0),1.3),MIN(MAX(J1601/K1601,0),1.3))),"") </f>
        <v/>
      </c>
      <c r="M1601" s="14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316-2023-12-31</t>
        </is>
      </c>
    </row>
    <row r="1602" hidden="1">
      <c r="A1602" s="21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01" t="n">
        <v>45291</v>
      </c>
      <c r="G1602" s="5" t="n">
        <v>2023</v>
      </c>
      <c r="H1602" s="5" t="inlineStr">
        <is>
          <t>Diciembre</t>
        </is>
      </c>
      <c r="I1602" s="6" t="inlineStr">
        <is>
          <t>2023-2</t>
        </is>
      </c>
      <c r="J1602" s="5" t="n">
        <v>12</v>
      </c>
      <c r="K1602" s="10" t="n">
        <v>12</v>
      </c>
      <c r="L1602" s="14">
        <f>IFERROR(IF(OR(J1602=0,K1602=""),"",IF(E1602="Positivo",MIN(MAX(K1602/J1602,0),1.3),MIN(MAX(J1602/K1602,0),1.3))),"") </f>
        <v/>
      </c>
      <c r="M1602" s="14">
        <f>IFERROR(IF(OR(J1602=0,K1602=""),"",IF(E1602="Positivo",MAX(K1602/J1602,0),MAX(J1602/K1602,0))),"") </f>
        <v/>
      </c>
      <c r="N1602" s="5" t="inlineStr">
        <is>
          <t>ENT</t>
        </is>
      </c>
      <c r="O1602" s="5" t="inlineStr">
        <is>
          <t>ENT</t>
        </is>
      </c>
      <c r="P1602" s="15" t="n">
        <v>0</v>
      </c>
      <c r="Q1602" s="15" t="n">
        <v>0</v>
      </c>
      <c r="R1602" s="5" t="inlineStr">
        <is>
          <t>317-2023-12-31</t>
        </is>
      </c>
    </row>
    <row r="1603" hidden="1">
      <c r="A1603" s="21" t="n">
        <v>317</v>
      </c>
      <c r="B1603" s="5" t="inlineStr">
        <is>
          <t>Plan De Internacionalización A 7 Años</t>
        </is>
      </c>
      <c r="C1603" s="5" t="inlineStr">
        <is>
          <t>VISIBILIDAD NACIONAL E INTERNACIONAL</t>
        </is>
      </c>
      <c r="D1603" s="5" t="inlineStr">
        <is>
          <t>Anual</t>
        </is>
      </c>
      <c r="E1603" s="5" t="inlineStr">
        <is>
          <t>Positivo</t>
        </is>
      </c>
      <c r="F1603" s="101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0" t="n">
        <v>100</v>
      </c>
      <c r="L1603" s="14">
        <f>IFERROR(IF(OR(J1603=0,K1603=""),"",IF(E1603="Positivo",MIN(MAX(K1603/J1603,0),1.3),MIN(MAX(J1603/K1603,0),1.3))),"") </f>
        <v/>
      </c>
      <c r="M1603" s="14">
        <f>IFERROR(IF(OR(J1603=0,K1603=""),"",IF(E1603="Positivo",MAX(K1603/J1603,0),MAX(J1603/K1603,0))),"") </f>
        <v/>
      </c>
      <c r="N1603" s="5" t="n"/>
      <c r="O1603" s="5" t="n"/>
      <c r="P1603" s="15" t="n">
        <v>0</v>
      </c>
      <c r="Q1603" s="15" t="n">
        <v>0</v>
      </c>
      <c r="R1603" s="5" t="inlineStr">
        <is>
          <t>317-2024-12-31</t>
        </is>
      </c>
    </row>
    <row r="1604" hidden="1">
      <c r="A1604" s="21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01" t="n">
        <v>45107</v>
      </c>
      <c r="G1604" s="5" t="n">
        <v>2023</v>
      </c>
      <c r="H1604" s="5" t="inlineStr">
        <is>
          <t>Junio</t>
        </is>
      </c>
      <c r="I1604" s="6" t="inlineStr">
        <is>
          <t>2023-1</t>
        </is>
      </c>
      <c r="J1604" s="5" t="n">
        <v>80</v>
      </c>
      <c r="K1604" s="10" t="n">
        <v>85.981308411215</v>
      </c>
      <c r="L1604" s="14">
        <f>IFERROR(IF(OR(J1604=0,K1604=""),"",IF(E1604="Positivo",MIN(MAX(K1604/J1604,0),1.3),MIN(MAX(J1604/K1604,0),1.3))),"") </f>
        <v/>
      </c>
      <c r="M1604" s="14">
        <f>IFERROR(IF(OR(J1604=0,K1604=""),"",IF(E1604="Positivo",MAX(K1604/J1604,0),MAX(J1604/K1604,0))),"") </f>
        <v/>
      </c>
      <c r="N1604" s="5" t="inlineStr">
        <is>
          <t>%</t>
        </is>
      </c>
      <c r="O1604" s="5" t="inlineStr">
        <is>
          <t>%</t>
        </is>
      </c>
      <c r="P1604" s="15" t="n">
        <v>0</v>
      </c>
      <c r="Q1604" s="15" t="n">
        <v>0</v>
      </c>
      <c r="R1604" s="5" t="inlineStr">
        <is>
          <t>318-2023-06-30</t>
        </is>
      </c>
    </row>
    <row r="1605" hidden="1">
      <c r="A1605" s="5" t="n">
        <v>318</v>
      </c>
      <c r="B1605" s="5" t="inlineStr">
        <is>
          <t>Convenios, alianzas activas con actividades desde 2018</t>
        </is>
      </c>
      <c r="C1605" s="5" t="inlineStr">
        <is>
          <t>VISIBILIDAD NACIONAL E INTERNACIONAL</t>
        </is>
      </c>
      <c r="D1605" s="5" t="inlineStr">
        <is>
          <t>Semestral</t>
        </is>
      </c>
      <c r="E1605" s="5" t="inlineStr">
        <is>
          <t>Positivo</t>
        </is>
      </c>
      <c r="F1605" s="101" t="n">
        <v>45291</v>
      </c>
      <c r="G1605" s="5" t="n">
        <v>2023</v>
      </c>
      <c r="H1605" s="5" t="inlineStr">
        <is>
          <t>Diciembre</t>
        </is>
      </c>
      <c r="I1605" s="6" t="inlineStr">
        <is>
          <t>2023-2</t>
        </is>
      </c>
      <c r="J1605" s="5" t="n">
        <v>80</v>
      </c>
      <c r="K1605" s="5" t="n">
        <v>90.90909090909091</v>
      </c>
      <c r="L1605" s="14">
        <f>IFERROR(IF(OR(J1605=0,K1605=""),"",IF(E1605="Positivo",MIN(MAX(K1605/J1605,0),1.3),MIN(MAX(J1605/K1605,0),1.3))),"") </f>
        <v/>
      </c>
      <c r="M1605" s="14">
        <f>IFERROR(IF(OR(J1605=0,K1605=""),"",IF(E1605="Positivo",MAX(K1605/J1605,0),MAX(J1605/K1605,0))),"") </f>
        <v/>
      </c>
      <c r="N1605" s="5" t="inlineStr">
        <is>
          <t>%</t>
        </is>
      </c>
      <c r="O1605" s="5" t="inlineStr">
        <is>
          <t>%</t>
        </is>
      </c>
      <c r="P1605" s="5" t="n">
        <v>0</v>
      </c>
      <c r="Q1605" s="5" t="n">
        <v>0</v>
      </c>
      <c r="R1605" s="5" t="inlineStr">
        <is>
          <t>318-2023-12-31</t>
        </is>
      </c>
    </row>
    <row r="1606" hidden="1">
      <c r="A1606" s="21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01" t="n">
        <v>45657</v>
      </c>
      <c r="G1606" s="5" t="n">
        <v>2024</v>
      </c>
      <c r="H1606" s="5" t="inlineStr">
        <is>
          <t>Diciembre</t>
        </is>
      </c>
      <c r="I1606" s="6" t="inlineStr">
        <is>
          <t>2024-2</t>
        </is>
      </c>
      <c r="J1606" s="5" t="n">
        <v>80</v>
      </c>
      <c r="K1606" s="110" t="n">
        <v>90.28</v>
      </c>
      <c r="L1606" s="14">
        <f>IFERROR(IF(OR(J1606=0,K1606=""),"",IF(E1606="Positivo",MIN(MAX(K1606/J1606,0),1.3),MIN(MAX(J1606/K1606,0),1.3))),"") </f>
        <v/>
      </c>
      <c r="M1606" s="14">
        <f>IFERROR(IF(OR(J1606=0,K1606=""),"",IF(E1606="Positivo",MAX(K1606/J1606,0),MAX(J1606/K1606,0))),"") </f>
        <v/>
      </c>
      <c r="N1606" s="5" t="inlineStr">
        <is>
          <t>%</t>
        </is>
      </c>
      <c r="O1606" s="5" t="inlineStr">
        <is>
          <t>%</t>
        </is>
      </c>
      <c r="P1606" s="15" t="n">
        <v>0</v>
      </c>
      <c r="Q1606" s="15" t="n">
        <v>0</v>
      </c>
      <c r="R1606" s="5" t="inlineStr">
        <is>
          <t>318-2024-12-31</t>
        </is>
      </c>
    </row>
    <row r="1607" hidden="1">
      <c r="A1607" s="21" t="n">
        <v>318</v>
      </c>
      <c r="B1607" s="5" t="inlineStr">
        <is>
          <t>Convenios, alianzas activas con actividades en los últimos 5 años</t>
        </is>
      </c>
      <c r="C1607" s="5" t="inlineStr">
        <is>
          <t>VISIBILIDAD NACIONAL E INTERNACIONAL</t>
        </is>
      </c>
      <c r="D1607" s="5" t="inlineStr">
        <is>
          <t>Anual</t>
        </is>
      </c>
      <c r="E1607" s="5" t="inlineStr">
        <is>
          <t>Positivo</t>
        </is>
      </c>
      <c r="F1607" s="101" t="n">
        <v>46022</v>
      </c>
      <c r="G1607" s="5" t="n">
        <v>2025</v>
      </c>
      <c r="H1607" s="5" t="inlineStr">
        <is>
          <t>Diciembre</t>
        </is>
      </c>
      <c r="I1607" s="6" t="inlineStr">
        <is>
          <t>2025-2</t>
        </is>
      </c>
      <c r="J1607" s="5" t="n">
        <v>85</v>
      </c>
      <c r="K1607" s="10" t="n">
        <v>86.16</v>
      </c>
      <c r="L1607" s="14">
        <f>IFERROR(IF(OR(J1607=0,K1607=""),"",IF(E1607="Positivo",MIN(MAX(K1607/J1607,0),1.3),MIN(MAX(J1607/K1607,0),1.3))),"") </f>
        <v/>
      </c>
      <c r="M1607" s="14">
        <f>IFERROR(IF(OR(J1607=0,K1607=""),"",IF(E1607="Positivo",MAX(K1607/J1607,0),MAX(J1607/K1607,0))),"") </f>
        <v/>
      </c>
      <c r="N1607" s="5" t="inlineStr">
        <is>
          <t>%</t>
        </is>
      </c>
      <c r="O1607" s="5" t="inlineStr">
        <is>
          <t>%</t>
        </is>
      </c>
      <c r="P1607" s="15" t="n">
        <v>0</v>
      </c>
      <c r="Q1607" s="15" t="n">
        <v>0</v>
      </c>
      <c r="R1607" s="5" t="inlineStr">
        <is>
          <t>318-2025-12-31</t>
        </is>
      </c>
    </row>
    <row r="1608" hidden="1">
      <c r="A1608" s="5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01" t="n">
        <v>45107</v>
      </c>
      <c r="G1608" s="5" t="n">
        <v>2023</v>
      </c>
      <c r="H1608" s="5" t="inlineStr">
        <is>
          <t>Junio</t>
        </is>
      </c>
      <c r="I1608" s="6" t="inlineStr">
        <is>
          <t>2023-1</t>
        </is>
      </c>
      <c r="J1608" s="5" t="n">
        <v>100</v>
      </c>
      <c r="K1608" s="5" t="n">
        <v>80</v>
      </c>
      <c r="L1608" s="14">
        <f>IFERROR(IF(OR(J1608=0,K1608=""),"",IF(E1608="Positivo",MIN(MAX(K1608/J1608,0),1.3),MIN(MAX(J1608/K1608,0),1.3))),"") </f>
        <v/>
      </c>
      <c r="M1608" s="14">
        <f>IFERROR(IF(OR(J1608=0,K1608=""),"",IF(E1608="Positivo",MAX(K1608/J1608,0),MAX(J1608/K1608,0))),"") </f>
        <v/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 t="inlineStr">
        <is>
          <t>319-2023-06-30</t>
        </is>
      </c>
    </row>
    <row r="1609" hidden="1">
      <c r="A1609" s="21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01" t="n">
        <v>45291</v>
      </c>
      <c r="G1609" s="5" t="n">
        <v>2023</v>
      </c>
      <c r="H1609" s="5" t="inlineStr">
        <is>
          <t>Diciembre</t>
        </is>
      </c>
      <c r="I1609" s="6" t="inlineStr">
        <is>
          <t>2023-2</t>
        </is>
      </c>
      <c r="J1609" s="5" t="n">
        <v>100</v>
      </c>
      <c r="K1609" s="10" t="n">
        <v>100</v>
      </c>
      <c r="L1609" s="14">
        <f>IFERROR(IF(OR(J1609=0,K1609=""),"",IF(E1609="Positivo",MIN(MAX(K1609/J1609,0),1.3),MIN(MAX(J1609/K1609,0),1.3))),"") </f>
        <v/>
      </c>
      <c r="M1609" s="14">
        <f>IFERROR(IF(OR(J1609=0,K1609=""),"",IF(E1609="Positivo",MAX(K1609/J1609,0),MAX(J1609/K1609,0))),"") </f>
        <v/>
      </c>
      <c r="N1609" s="5" t="inlineStr">
        <is>
          <t>%</t>
        </is>
      </c>
      <c r="O1609" s="5" t="inlineStr">
        <is>
          <t>%</t>
        </is>
      </c>
      <c r="P1609" s="15" t="n">
        <v>0</v>
      </c>
      <c r="Q1609" s="15" t="n">
        <v>0</v>
      </c>
      <c r="R1609" s="5" t="inlineStr">
        <is>
          <t>319-2023-12-31</t>
        </is>
      </c>
    </row>
    <row r="1610" hidden="1">
      <c r="A1610" s="5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01" t="n">
        <v>45473</v>
      </c>
      <c r="G1610" s="5" t="n">
        <v>2024</v>
      </c>
      <c r="H1610" s="5" t="inlineStr">
        <is>
          <t>Junio</t>
        </is>
      </c>
      <c r="I1610" s="6" t="inlineStr">
        <is>
          <t>2024-1</t>
        </is>
      </c>
      <c r="J1610" s="5" t="n">
        <v>100</v>
      </c>
      <c r="K1610" s="5" t="n">
        <v>100</v>
      </c>
      <c r="L1610" s="14">
        <f>IFERROR(IF(OR(J1610=0,K1610=""),"",IF(E1610="Positivo",MIN(MAX(K1610/J1610,0),1.3),MIN(MAX(J1610/K1610,0),1.3))),"") </f>
        <v/>
      </c>
      <c r="M1610" s="14">
        <f>IFERROR(IF(OR(J1610=0,K1610=""),"",IF(E1610="Positivo",MAX(K1610/J1610,0),MAX(J1610/K1610,0))),"") </f>
        <v/>
      </c>
      <c r="N1610" s="5" t="inlineStr">
        <is>
          <t>%</t>
        </is>
      </c>
      <c r="O1610" s="5" t="inlineStr">
        <is>
          <t>%</t>
        </is>
      </c>
      <c r="P1610" s="5" t="n">
        <v>0</v>
      </c>
      <c r="Q1610" s="5" t="n">
        <v>0</v>
      </c>
      <c r="R1610" s="5" t="inlineStr">
        <is>
          <t>319-2024-06-30</t>
        </is>
      </c>
    </row>
    <row r="1611" hidden="1">
      <c r="A1611" s="21" t="n">
        <v>319</v>
      </c>
      <c r="B1611" s="5" t="inlineStr">
        <is>
          <t>Nivel de cumplimiento de la gestión de internacionalización descrito en el plan de trabajo de la ORNI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01" t="n">
        <v>45657</v>
      </c>
      <c r="G1611" s="5" t="n">
        <v>2024</v>
      </c>
      <c r="H1611" s="5" t="inlineStr">
        <is>
          <t>Diciembre</t>
        </is>
      </c>
      <c r="I1611" s="6" t="inlineStr">
        <is>
          <t>2024-2</t>
        </is>
      </c>
      <c r="J1611" s="5" t="n">
        <v>100</v>
      </c>
      <c r="K1611" s="10" t="n">
        <v>100</v>
      </c>
      <c r="L1611" s="14">
        <f>IFERROR(IF(OR(J1611=0,K1611=""),"",IF(E1611="Positivo",MIN(MAX(K1611/J1611,0),1.3),MIN(MAX(J1611/K1611,0),1.3))),"") </f>
        <v/>
      </c>
      <c r="M1611" s="14">
        <f>IFERROR(IF(OR(J1611=0,K1611=""),"",IF(E1611="Positivo",MAX(K1611/J1611,0),MAX(J1611/K1611,0))),"") </f>
        <v/>
      </c>
      <c r="N1611" s="5" t="inlineStr">
        <is>
          <t>%</t>
        </is>
      </c>
      <c r="O1611" s="5" t="inlineStr">
        <is>
          <t>%</t>
        </is>
      </c>
      <c r="P1611" s="15" t="n">
        <v>0</v>
      </c>
      <c r="Q1611" s="15" t="n">
        <v>0</v>
      </c>
      <c r="R1611" s="5" t="inlineStr">
        <is>
          <t>319-2024-12-31</t>
        </is>
      </c>
    </row>
    <row r="1612" hidden="1">
      <c r="A1612" s="21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01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26</v>
      </c>
      <c r="K1612" s="10" t="n">
        <v>12</v>
      </c>
      <c r="L1612" s="14">
        <f>IFERROR(IF(OR(J1612=0,K1612=""),"",IF(E1612="Positivo",MIN(MAX(K1612/J1612,0),1.3),MIN(MAX(J1612/K1612,0),1.3))),"") </f>
        <v/>
      </c>
      <c r="M1612" s="14">
        <f>IFERROR(IF(OR(J1612=0,K1612=""),"",IF(E1612="Positivo",MAX(K1612/J1612,0),MAX(J1612/K1612,0))),"") </f>
        <v/>
      </c>
      <c r="N1612" s="5" t="inlineStr">
        <is>
          <t>%</t>
        </is>
      </c>
      <c r="O1612" s="5" t="inlineStr">
        <is>
          <t>%</t>
        </is>
      </c>
      <c r="P1612" s="15" t="n">
        <v>0</v>
      </c>
      <c r="Q1612" s="15" t="n">
        <v>0</v>
      </c>
      <c r="R1612" s="5" t="inlineStr">
        <is>
          <t>320-2023-06-30</t>
        </is>
      </c>
    </row>
    <row r="1613" hidden="1">
      <c r="A1613" s="21" t="n">
        <v>320</v>
      </c>
      <c r="B1613" s="5" t="inlineStr">
        <is>
          <t>Participación docentes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01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15</v>
      </c>
      <c r="K1613" s="10" t="n">
        <v>17</v>
      </c>
      <c r="L1613" s="14">
        <f>IFERROR(IF(OR(J1613=0,K1613=""),"",IF(E1613="Positivo",MIN(MAX(K1613/J1613,0),1.3),MIN(MAX(J1613/K1613,0),1.3))),"") </f>
        <v/>
      </c>
      <c r="M1613" s="14">
        <f>IFERROR(IF(OR(J1613=0,K1613=""),"",IF(E1613="Positivo",MAX(K1613/J1613,0),MAX(J1613/K1613,0))),"") </f>
        <v/>
      </c>
      <c r="N1613" s="5" t="inlineStr">
        <is>
          <t>%</t>
        </is>
      </c>
      <c r="O1613" s="5" t="inlineStr">
        <is>
          <t>%</t>
        </is>
      </c>
      <c r="P1613" s="15" t="n">
        <v>0</v>
      </c>
      <c r="Q1613" s="15" t="n">
        <v>0</v>
      </c>
      <c r="R1613" s="5" t="inlineStr">
        <is>
          <t>320-2023-12-31</t>
        </is>
      </c>
    </row>
    <row r="1614" hidden="1">
      <c r="A1614" s="21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01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10" t="n">
        <v>140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5" t="inlineStr">
        <is>
          <t>ENT</t>
        </is>
      </c>
      <c r="O1614" s="5" t="inlineStr">
        <is>
          <t>ENT</t>
        </is>
      </c>
      <c r="P1614" s="15" t="n">
        <v>0</v>
      </c>
      <c r="Q1614" s="15" t="n">
        <v>0</v>
      </c>
      <c r="R1614" s="5" t="inlineStr">
        <is>
          <t>320-2024-06-30</t>
        </is>
      </c>
    </row>
    <row r="1615" hidden="1">
      <c r="A1615" s="21" t="n">
        <v>320</v>
      </c>
      <c r="B1615" s="5" t="inlineStr">
        <is>
          <t>Participación docentes Poli en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01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10" t="n">
        <v>115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5" t="inlineStr">
        <is>
          <t>ENT</t>
        </is>
      </c>
      <c r="O1615" s="5" t="inlineStr">
        <is>
          <t>ENT</t>
        </is>
      </c>
      <c r="P1615" s="15" t="n">
        <v>0</v>
      </c>
      <c r="Q1615" s="15" t="n">
        <v>0</v>
      </c>
      <c r="R1615" s="5" t="inlineStr">
        <is>
          <t>320-2024-12-31</t>
        </is>
      </c>
    </row>
    <row r="1616" hidden="1">
      <c r="A1616" s="21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01" t="n">
        <v>45107</v>
      </c>
      <c r="G1616" s="5" t="n">
        <v>2023</v>
      </c>
      <c r="H1616" s="5" t="inlineStr">
        <is>
          <t>Junio</t>
        </is>
      </c>
      <c r="I1616" s="6" t="inlineStr">
        <is>
          <t>2023-1</t>
        </is>
      </c>
      <c r="J1616" s="5" t="n">
        <v>180</v>
      </c>
      <c r="K1616" s="10" t="n">
        <v>236</v>
      </c>
      <c r="L1616" s="14">
        <f>IFERROR(IF(OR(J1616=0,K1616=""),"",IF(E1616="Positivo",MIN(MAX(K1616/J1616,0),1.3),MIN(MAX(J1616/K1616,0),1.3))),"") </f>
        <v/>
      </c>
      <c r="M1616" s="14">
        <f>IFERROR(IF(OR(J1616=0,K1616=""),"",IF(E1616="Positivo",MAX(K1616/J1616,0),MAX(J1616/K1616,0))),"") </f>
        <v/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321-2023-06-30</t>
        </is>
      </c>
    </row>
    <row r="1617" hidden="1">
      <c r="A1617" s="21" t="n">
        <v>321</v>
      </c>
      <c r="B1617" s="5" t="inlineStr">
        <is>
          <t>Participación estudiantes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01" t="n">
        <v>45291</v>
      </c>
      <c r="G1617" s="5" t="n">
        <v>2023</v>
      </c>
      <c r="H1617" s="5" t="inlineStr">
        <is>
          <t>Diciembre</t>
        </is>
      </c>
      <c r="I1617" s="6" t="inlineStr">
        <is>
          <t>2023-2</t>
        </is>
      </c>
      <c r="J1617" s="5" t="n">
        <v>180</v>
      </c>
      <c r="K1617" s="10" t="n">
        <v>231</v>
      </c>
      <c r="L1617" s="14">
        <f>IFERROR(IF(OR(J1617=0,K1617=""),"",IF(E1617="Positivo",MIN(MAX(K1617/J1617,0),1.3),MIN(MAX(J1617/K1617,0),1.3))),"") </f>
        <v/>
      </c>
      <c r="M1617" s="14">
        <f>IFERROR(IF(OR(J1617=0,K1617=""),"",IF(E1617="Positivo",MAX(K1617/J1617,0),MAX(J1617/K1617,0))),"") </f>
        <v/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321-2023-12-31</t>
        </is>
      </c>
    </row>
    <row r="1618" hidden="1">
      <c r="A1618" s="21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01" t="n">
        <v>45473</v>
      </c>
      <c r="G1618" s="5" t="n">
        <v>2024</v>
      </c>
      <c r="H1618" s="5" t="inlineStr">
        <is>
          <t>Junio</t>
        </is>
      </c>
      <c r="I1618" s="6" t="inlineStr">
        <is>
          <t>2024-1</t>
        </is>
      </c>
      <c r="J1618" s="5" t="n">
        <v>100</v>
      </c>
      <c r="K1618" s="10" t="n">
        <v>106.52</v>
      </c>
      <c r="L1618" s="14">
        <f>IFERROR(IF(OR(J1618=0,K1618=""),"",IF(E1618="Positivo",MIN(MAX(K1618/J1618,0),1.3),MIN(MAX(J1618/K1618,0),1.3))),"") </f>
        <v/>
      </c>
      <c r="M1618" s="14">
        <f>IFERROR(IF(OR(J1618=0,K1618=""),"",IF(E1618="Positivo",MAX(K1618/J1618,0),MAX(J1618/K1618,0))),"") </f>
        <v/>
      </c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321-2024-06-30</t>
        </is>
      </c>
    </row>
    <row r="1619" hidden="1">
      <c r="A1619" s="5" t="n">
        <v>321</v>
      </c>
      <c r="B1619" s="5" t="inlineStr">
        <is>
          <t>Participación estudiantes Poli en eventos académicos internacionales virtuales</t>
        </is>
      </c>
      <c r="C1619" s="5" t="inlineStr">
        <is>
          <t>VISIBILIDAD NACIONAL E INTERNACIONAL</t>
        </is>
      </c>
      <c r="D1619" s="5" t="inlineStr">
        <is>
          <t>Semestral</t>
        </is>
      </c>
      <c r="E1619" s="5" t="inlineStr">
        <is>
          <t>Positivo</t>
        </is>
      </c>
      <c r="F1619" s="101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100</v>
      </c>
      <c r="K1619" s="5" t="n">
        <v>502.17</v>
      </c>
      <c r="L1619" s="14">
        <f>IFERROR(IF(OR(J1619=0,K1619=""),"",IF(E1619="Positivo",MIN(MAX(K1619/J1619,0),1.3),MIN(MAX(J1619/K1619,0),1.3))),"") </f>
        <v/>
      </c>
      <c r="M1619" s="14">
        <f>IFERROR(IF(OR(J1619=0,K1619=""),"",IF(E1619="Positivo",MAX(K1619/J1619,0),MAX(J1619/K1619,0))),"") </f>
        <v/>
      </c>
      <c r="N1619" s="5" t="inlineStr">
        <is>
          <t>ENT</t>
        </is>
      </c>
      <c r="O1619" s="5" t="inlineStr">
        <is>
          <t>ENT</t>
        </is>
      </c>
      <c r="P1619" s="5" t="n">
        <v>0</v>
      </c>
      <c r="Q1619" s="5" t="n">
        <v>0</v>
      </c>
      <c r="R1619" s="5" t="inlineStr">
        <is>
          <t>321-2024-12-31</t>
        </is>
      </c>
    </row>
    <row r="1620" hidden="1">
      <c r="A1620" s="5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01" t="n">
        <v>45107</v>
      </c>
      <c r="G1620" s="5" t="n">
        <v>2023</v>
      </c>
      <c r="H1620" s="5" t="inlineStr">
        <is>
          <t>Junio</t>
        </is>
      </c>
      <c r="I1620" s="6" t="inlineStr">
        <is>
          <t>2023-1</t>
        </is>
      </c>
      <c r="J1620" s="5" t="n">
        <v>100</v>
      </c>
      <c r="K1620" s="5" t="n">
        <v>100</v>
      </c>
      <c r="L1620" s="14">
        <f>IFERROR(IF(OR(J1620=0,K1620=""),"",IF(E1620="Positivo",MIN(MAX(K1620/J1620,0),1.3),MIN(MAX(J1620/K1620,0),1.3))),"") </f>
        <v/>
      </c>
      <c r="M1620" s="14">
        <f>IFERROR(IF(OR(J1620=0,K1620=""),"",IF(E1620="Positivo",MAX(K1620/J1620,0),MAX(J1620/K1620,0))),"") </f>
        <v/>
      </c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323-2023-06-30</t>
        </is>
      </c>
    </row>
    <row r="1621" hidden="1">
      <c r="A1621" s="21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1" t="n">
        <v>45291</v>
      </c>
      <c r="G1621" s="5" t="n">
        <v>2023</v>
      </c>
      <c r="H1621" s="5" t="inlineStr">
        <is>
          <t>Diciembre</t>
        </is>
      </c>
      <c r="I1621" s="6" t="inlineStr">
        <is>
          <t>2023-2</t>
        </is>
      </c>
      <c r="J1621" s="5" t="n">
        <v>100</v>
      </c>
      <c r="K1621" s="10" t="n">
        <v>100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inlineStr">
        <is>
          <t>ENT</t>
        </is>
      </c>
      <c r="O1621" s="5" t="inlineStr">
        <is>
          <t>ENT</t>
        </is>
      </c>
      <c r="P1621" s="15" t="n">
        <v>0</v>
      </c>
      <c r="Q1621" s="15" t="n">
        <v>0</v>
      </c>
      <c r="R1621" s="5" t="inlineStr">
        <is>
          <t>323-2023-12-31</t>
        </is>
      </c>
    </row>
    <row r="1622" hidden="1">
      <c r="A1622" s="5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1" t="n">
        <v>45473</v>
      </c>
      <c r="G1622" s="5" t="n">
        <v>2024</v>
      </c>
      <c r="H1622" s="5" t="inlineStr">
        <is>
          <t>Junio</t>
        </is>
      </c>
      <c r="I1622" s="6" t="inlineStr">
        <is>
          <t>2024-1</t>
        </is>
      </c>
      <c r="J1622" s="5" t="n">
        <v>100</v>
      </c>
      <c r="K1622" s="5" t="n">
        <v>100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inlineStr">
        <is>
          <t>ENT</t>
        </is>
      </c>
      <c r="O1622" s="5" t="inlineStr">
        <is>
          <t>ENT</t>
        </is>
      </c>
      <c r="P1622" s="5" t="n">
        <v>0</v>
      </c>
      <c r="Q1622" s="5" t="n">
        <v>0</v>
      </c>
      <c r="R1622" s="5" t="inlineStr">
        <is>
          <t>323-2024-06-30</t>
        </is>
      </c>
    </row>
    <row r="1623" hidden="1">
      <c r="A1623" s="21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1" t="n">
        <v>45657</v>
      </c>
      <c r="G1623" s="5" t="n">
        <v>2024</v>
      </c>
      <c r="H1623" s="5" t="inlineStr">
        <is>
          <t>Diciembre</t>
        </is>
      </c>
      <c r="I1623" s="6" t="inlineStr">
        <is>
          <t>2024-2</t>
        </is>
      </c>
      <c r="J1623" s="73" t="n">
        <v>100</v>
      </c>
      <c r="K1623" s="9" t="n">
        <v>0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9" t="inlineStr">
        <is>
          <t>ENT</t>
        </is>
      </c>
      <c r="O1623" s="9" t="inlineStr">
        <is>
          <t>ENT</t>
        </is>
      </c>
      <c r="P1623" s="15" t="n">
        <v>0</v>
      </c>
      <c r="Q1623" s="15" t="n">
        <v>0</v>
      </c>
      <c r="R1623" s="5" t="inlineStr">
        <is>
          <t>323-2024-12-31</t>
        </is>
      </c>
    </row>
    <row r="1624" hidden="1">
      <c r="A1624" s="21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01" t="n">
        <v>45838</v>
      </c>
      <c r="G1624" s="5" t="n">
        <v>2025</v>
      </c>
      <c r="H1624" s="5" t="inlineStr">
        <is>
          <t>Junio</t>
        </is>
      </c>
      <c r="I1624" s="6" t="inlineStr">
        <is>
          <t>2025-1</t>
        </is>
      </c>
      <c r="J1624" s="73" t="n">
        <v>100</v>
      </c>
      <c r="K1624" s="9" t="n">
        <v>100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9" t="inlineStr">
        <is>
          <t>ENT</t>
        </is>
      </c>
      <c r="O1624" s="9" t="inlineStr">
        <is>
          <t>ENT</t>
        </is>
      </c>
      <c r="P1624" s="15" t="n">
        <v>0</v>
      </c>
      <c r="Q1624" s="15" t="n">
        <v>0</v>
      </c>
      <c r="R1624" s="5" t="inlineStr">
        <is>
          <t>323-2025-06-30</t>
        </is>
      </c>
    </row>
    <row r="1625" hidden="1">
      <c r="A1625" s="21" t="n">
        <v>323</v>
      </c>
      <c r="B1625" s="5" t="inlineStr">
        <is>
          <t>Número de renovaciones de registro calificado</t>
        </is>
      </c>
      <c r="C1625" s="5" t="inlineStr">
        <is>
          <t>Creación, modificación y cierre de programas académicos</t>
        </is>
      </c>
      <c r="D1625" s="5" t="inlineStr">
        <is>
          <t>Trimestral</t>
        </is>
      </c>
      <c r="E1625" s="5" t="inlineStr">
        <is>
          <t>Positivo</t>
        </is>
      </c>
      <c r="F1625" s="101" t="n">
        <v>46022</v>
      </c>
      <c r="G1625" s="5" t="n">
        <v>2025</v>
      </c>
      <c r="H1625" s="5" t="inlineStr">
        <is>
          <t>Diciembre</t>
        </is>
      </c>
      <c r="I1625" s="6" t="inlineStr">
        <is>
          <t>2025-2</t>
        </is>
      </c>
      <c r="J1625" s="73" t="n">
        <v>100</v>
      </c>
      <c r="K1625" s="9" t="n">
        <v>100</v>
      </c>
      <c r="L1625" s="14">
        <f>IFERROR(IF(OR(J1625=0,K1625=""),"",IF(E1625="Positivo",MIN(MAX(K1625/J1625,0),1.3),MIN(MAX(J1625/K1625,0),1.3))),"") </f>
        <v/>
      </c>
      <c r="M1625" s="14">
        <f>IFERROR(IF(OR(J1625=0,K1625=""),"",IF(E1625="Positivo",MAX(K1625/J1625,0),MAX(J1625/K1625,0))),"") </f>
        <v/>
      </c>
      <c r="N1625" s="9" t="inlineStr">
        <is>
          <t>ENT</t>
        </is>
      </c>
      <c r="O1625" s="9" t="inlineStr">
        <is>
          <t>ENT</t>
        </is>
      </c>
      <c r="P1625" s="15" t="n">
        <v>0</v>
      </c>
      <c r="Q1625" s="15" t="n">
        <v>0</v>
      </c>
      <c r="R1625" s="5" t="inlineStr">
        <is>
          <t>323-2025-12-31</t>
        </is>
      </c>
    </row>
    <row r="1626" hidden="1">
      <c r="A1626" s="21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01" t="n">
        <v>45107</v>
      </c>
      <c r="G1626" s="5" t="n">
        <v>2023</v>
      </c>
      <c r="H1626" s="5" t="inlineStr">
        <is>
          <t>Junio</t>
        </is>
      </c>
      <c r="I1626" s="6" t="inlineStr">
        <is>
          <t>2023-1</t>
        </is>
      </c>
      <c r="J1626" s="73" t="n">
        <v>100</v>
      </c>
      <c r="K1626" s="9" t="n">
        <v>0</v>
      </c>
      <c r="L1626" s="14">
        <f>IFERROR(IF(OR(J1626=0,K1626=""),"",IF(E1626="Positivo",MIN(MAX(K1626/J1626,0),1.3),MIN(MAX(J1626/K1626,0),1.3))),"") </f>
        <v/>
      </c>
      <c r="M1626" s="14">
        <f>IFERROR(IF(OR(J1626=0,K1626=""),"",IF(E1626="Positivo",MAX(K1626/J1626,0),MAX(J1626/K1626,0))),"") </f>
        <v/>
      </c>
      <c r="N1626" s="9" t="inlineStr">
        <is>
          <t>ENT</t>
        </is>
      </c>
      <c r="O1626" s="9" t="inlineStr">
        <is>
          <t>ENT</t>
        </is>
      </c>
      <c r="P1626" s="15" t="n">
        <v>0</v>
      </c>
      <c r="Q1626" s="15" t="n">
        <v>0</v>
      </c>
      <c r="R1626" s="5" t="inlineStr">
        <is>
          <t>324-2023-06-30</t>
        </is>
      </c>
    </row>
    <row r="1627" hidden="1">
      <c r="A1627" s="21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01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73" t="n">
        <v>100</v>
      </c>
      <c r="K1627" s="9" t="n">
        <v>100</v>
      </c>
      <c r="L1627" s="14">
        <f>IFERROR(IF(OR(J1627=0,K1627=""),"",IF(E1627="Positivo",MIN(MAX(K1627/J1627,0),1.3),MIN(MAX(J1627/K1627,0),1.3))),"") </f>
        <v/>
      </c>
      <c r="M1627" s="14">
        <f>IFERROR(IF(OR(J1627=0,K1627=""),"",IF(E1627="Positivo",MAX(K1627/J1627,0),MAX(J1627/K1627,0))),"") </f>
        <v/>
      </c>
      <c r="N1627" s="9" t="inlineStr">
        <is>
          <t>ENT</t>
        </is>
      </c>
      <c r="O1627" s="9" t="inlineStr">
        <is>
          <t>ENT</t>
        </is>
      </c>
      <c r="P1627" s="15" t="n">
        <v>0</v>
      </c>
      <c r="Q1627" s="15" t="n">
        <v>0</v>
      </c>
      <c r="R1627" s="5" t="inlineStr">
        <is>
          <t>324-2023-12-31</t>
        </is>
      </c>
    </row>
    <row r="1628" hidden="1">
      <c r="A1628" s="21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01" t="n">
        <v>45473</v>
      </c>
      <c r="G1628" s="5" t="n">
        <v>2024</v>
      </c>
      <c r="H1628" s="5" t="inlineStr">
        <is>
          <t>Junio</t>
        </is>
      </c>
      <c r="I1628" s="6" t="inlineStr">
        <is>
          <t>2024-1</t>
        </is>
      </c>
      <c r="J1628" s="73" t="n">
        <v>100</v>
      </c>
      <c r="K1628" s="9" t="n">
        <v>0</v>
      </c>
      <c r="L1628" s="14">
        <f>IFERROR(IF(OR(J1628=0,K1628=""),"",IF(E1628="Positivo",MIN(MAX(K1628/J1628,0),1.3),MIN(MAX(J1628/K1628,0),1.3))),"") </f>
        <v/>
      </c>
      <c r="M1628" s="14">
        <f>IFERROR(IF(OR(J1628=0,K1628=""),"",IF(E1628="Positivo",MAX(K1628/J1628,0),MAX(J1628/K1628,0))),"") </f>
        <v/>
      </c>
      <c r="N1628" s="9" t="inlineStr">
        <is>
          <t>ENT</t>
        </is>
      </c>
      <c r="O1628" s="9" t="inlineStr">
        <is>
          <t>ENT</t>
        </is>
      </c>
      <c r="P1628" s="15" t="n">
        <v>0</v>
      </c>
      <c r="Q1628" s="15" t="n">
        <v>0</v>
      </c>
      <c r="R1628" s="5" t="inlineStr">
        <is>
          <t>324-2024-06-30</t>
        </is>
      </c>
    </row>
    <row r="1629" hidden="1">
      <c r="A1629" s="21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01" t="n">
        <v>45657</v>
      </c>
      <c r="G1629" s="5" t="n">
        <v>2024</v>
      </c>
      <c r="H1629" s="5" t="inlineStr">
        <is>
          <t>Diciembre</t>
        </is>
      </c>
      <c r="I1629" s="6" t="inlineStr">
        <is>
          <t>2024-2</t>
        </is>
      </c>
      <c r="J1629" s="73" t="n">
        <v>100</v>
      </c>
      <c r="K1629" s="9" t="n">
        <v>100</v>
      </c>
      <c r="L1629" s="14">
        <f>IFERROR(IF(OR(J1629=0,K1629=""),"",IF(E1629="Positivo",MIN(MAX(K1629/J1629,0),1.3),MIN(MAX(J1629/K1629,0),1.3))),"") </f>
        <v/>
      </c>
      <c r="M1629" s="14">
        <f>IFERROR(IF(OR(J1629=0,K1629=""),"",IF(E1629="Positivo",MAX(K1629/J1629,0),MAX(J1629/K1629,0))),"") </f>
        <v/>
      </c>
      <c r="N1629" s="9" t="inlineStr">
        <is>
          <t>ENT</t>
        </is>
      </c>
      <c r="O1629" s="9" t="inlineStr">
        <is>
          <t>ENT</t>
        </is>
      </c>
      <c r="P1629" s="15" t="n">
        <v>0</v>
      </c>
      <c r="Q1629" s="15" t="n">
        <v>0</v>
      </c>
      <c r="R1629" s="5" t="inlineStr">
        <is>
          <t>324-2024-12-31</t>
        </is>
      </c>
    </row>
    <row r="1630" hidden="1">
      <c r="A1630" s="21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Semestral</t>
        </is>
      </c>
      <c r="E1630" s="5" t="inlineStr">
        <is>
          <t>Positivo</t>
        </is>
      </c>
      <c r="F1630" s="101" t="n">
        <v>45838</v>
      </c>
      <c r="G1630" s="5" t="n">
        <v>2025</v>
      </c>
      <c r="H1630" s="5" t="inlineStr">
        <is>
          <t>Junio</t>
        </is>
      </c>
      <c r="I1630" s="6" t="inlineStr">
        <is>
          <t>2025-1</t>
        </is>
      </c>
      <c r="J1630" s="5" t="n">
        <v>100</v>
      </c>
      <c r="K1630" s="10" t="n">
        <v>100</v>
      </c>
      <c r="L1630" s="14">
        <f>IFERROR(IF(OR(J1630=0,K1630=""),"",IF(E1630="Positivo",MIN(MAX(K1630/J1630,0),1.3),MIN(MAX(J1630/K1630,0),1.3))),"") </f>
        <v/>
      </c>
      <c r="M1630" s="14">
        <f>IFERROR(IF(OR(J1630=0,K1630=""),"",IF(E1630="Positivo",MAX(K1630/J1630,0),MAX(J1630/K1630,0))),"") </f>
        <v/>
      </c>
      <c r="N1630" s="5" t="inlineStr">
        <is>
          <t>ENT</t>
        </is>
      </c>
      <c r="O1630" s="5" t="inlineStr">
        <is>
          <t>ENT</t>
        </is>
      </c>
      <c r="P1630" s="15" t="n">
        <v>0</v>
      </c>
      <c r="Q1630" s="15" t="n">
        <v>0</v>
      </c>
      <c r="R1630" s="5" t="inlineStr">
        <is>
          <t>324-2025-06-30</t>
        </is>
      </c>
    </row>
    <row r="1631" hidden="1">
      <c r="A1631" s="21" t="n">
        <v>324</v>
      </c>
      <c r="B1631" s="5" t="inlineStr">
        <is>
          <t>Número de programas nuevos radicados en el Ministerio de Educación</t>
        </is>
      </c>
      <c r="C1631" s="5" t="inlineStr">
        <is>
          <t>Creación, modificación y cierre de programas académicos</t>
        </is>
      </c>
      <c r="D1631" s="5" t="inlineStr">
        <is>
          <t>Trimestral</t>
        </is>
      </c>
      <c r="E1631" s="5" t="inlineStr">
        <is>
          <t>Positivo</t>
        </is>
      </c>
      <c r="F1631" s="101" t="n">
        <v>46022</v>
      </c>
      <c r="G1631" s="5" t="n">
        <v>2025</v>
      </c>
      <c r="H1631" s="5" t="inlineStr">
        <is>
          <t>Diciembre</t>
        </is>
      </c>
      <c r="I1631" s="6" t="inlineStr">
        <is>
          <t>2025-2</t>
        </is>
      </c>
      <c r="J1631" s="5" t="n">
        <v>100</v>
      </c>
      <c r="K1631" s="10" t="n">
        <v>200</v>
      </c>
      <c r="L1631" s="14">
        <f>IFERROR(IF(OR(J1631=0,K1631=""),"",IF(E1631="Positivo",MIN(MAX(K1631/J1631,0),1.3),MIN(MAX(J1631/K1631,0),1.3))),"") </f>
        <v/>
      </c>
      <c r="M1631" s="14">
        <f>IFERROR(IF(OR(J1631=0,K1631=""),"",IF(E1631="Positivo",MAX(K1631/J1631,0),MAX(J1631/K1631,0))),"") </f>
        <v/>
      </c>
      <c r="N1631" s="5" t="inlineStr">
        <is>
          <t>ENT</t>
        </is>
      </c>
      <c r="O1631" s="5" t="inlineStr">
        <is>
          <t>ENT</t>
        </is>
      </c>
      <c r="P1631" s="15" t="n">
        <v>0</v>
      </c>
      <c r="Q1631" s="15" t="n">
        <v>0</v>
      </c>
      <c r="R1631" s="5" t="inlineStr">
        <is>
          <t>324-2025-12-31</t>
        </is>
      </c>
    </row>
    <row r="1632" hidden="1">
      <c r="A1632" s="5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01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100</v>
      </c>
      <c r="K1632" s="5" t="n">
        <v>100</v>
      </c>
      <c r="L1632" s="14">
        <f>IFERROR(IF(OR(J1632=0,K1632=""),"",IF(E1632="Positivo",MIN(MAX(K1632/J1632,0),1.3),MIN(MAX(J1632/K1632,0),1.3))),"") </f>
        <v/>
      </c>
      <c r="M1632" s="14">
        <f>IFERROR(IF(OR(J1632=0,K1632=""),"",IF(E1632="Positivo",MAX(K1632/J1632,0),MAX(J1632/K1632,0))),"") </f>
        <v/>
      </c>
      <c r="N1632" s="5" t="inlineStr">
        <is>
          <t>ENT</t>
        </is>
      </c>
      <c r="O1632" s="5" t="inlineStr">
        <is>
          <t>ENT</t>
        </is>
      </c>
      <c r="P1632" s="5" t="n">
        <v>0</v>
      </c>
      <c r="Q1632" s="5" t="n">
        <v>0</v>
      </c>
      <c r="R1632" s="5" t="inlineStr">
        <is>
          <t>325-2023-06-30</t>
        </is>
      </c>
    </row>
    <row r="1633" hidden="1">
      <c r="A1633" s="5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01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100</v>
      </c>
      <c r="K1633" s="5" t="n">
        <v>0</v>
      </c>
      <c r="L1633" s="14">
        <f>IFERROR(IF(OR(J1633=0,K1633=""),"",IF(E1633="Positivo",MIN(MAX(K1633/J1633,0),1.3),MIN(MAX(J1633/K1633,0),1.3))),"") </f>
        <v/>
      </c>
      <c r="M1633" s="14">
        <f>IFERROR(IF(OR(J1633=0,K1633=""),"",IF(E1633="Positivo",MAX(K1633/J1633,0),MAX(J1633/K1633,0))),"") </f>
        <v/>
      </c>
      <c r="N1633" s="5" t="n"/>
      <c r="O1633" s="5" t="n"/>
      <c r="P1633" s="5" t="n">
        <v>0</v>
      </c>
      <c r="Q1633" s="5" t="n">
        <v>0</v>
      </c>
      <c r="R1633" s="5" t="inlineStr">
        <is>
          <t>325-2023-12-31</t>
        </is>
      </c>
    </row>
    <row r="1634" hidden="1">
      <c r="A1634" s="5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01" t="n">
        <v>45473</v>
      </c>
      <c r="G1634" s="5" t="n">
        <v>2024</v>
      </c>
      <c r="H1634" s="5" t="inlineStr">
        <is>
          <t>Junio</t>
        </is>
      </c>
      <c r="I1634" s="6" t="inlineStr">
        <is>
          <t>2024-1</t>
        </is>
      </c>
      <c r="J1634" s="5" t="n">
        <v>100</v>
      </c>
      <c r="K1634" s="5" t="n">
        <v>100</v>
      </c>
      <c r="L1634" s="14">
        <f>IFERROR(IF(OR(J1634=0,K1634=""),"",IF(E1634="Positivo",MIN(MAX(K1634/J1634,0),1.3),MIN(MAX(J1634/K1634,0),1.3))),"") </f>
        <v/>
      </c>
      <c r="M1634" s="14">
        <f>IFERROR(IF(OR(J1634=0,K1634=""),"",IF(E1634="Positivo",MAX(K1634/J1634,0),MAX(J1634/K1634,0))),"") </f>
        <v/>
      </c>
      <c r="N1634" s="5" t="inlineStr">
        <is>
          <t>ENT</t>
        </is>
      </c>
      <c r="O1634" s="5" t="inlineStr">
        <is>
          <t>ENT</t>
        </is>
      </c>
      <c r="P1634" s="5" t="n">
        <v>0</v>
      </c>
      <c r="Q1634" s="5" t="n">
        <v>0</v>
      </c>
      <c r="R1634" s="5" t="inlineStr">
        <is>
          <t>325-2024-06-30</t>
        </is>
      </c>
    </row>
    <row r="1635" hidden="1">
      <c r="A1635" s="21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01" t="n">
        <v>45657</v>
      </c>
      <c r="G1635" s="5" t="n">
        <v>2024</v>
      </c>
      <c r="H1635" s="5" t="inlineStr">
        <is>
          <t>Diciembre</t>
        </is>
      </c>
      <c r="I1635" s="6" t="inlineStr">
        <is>
          <t>2024-2</t>
        </is>
      </c>
      <c r="J1635" s="5" t="n">
        <v>100</v>
      </c>
      <c r="K1635" s="103" t="n">
        <v>100</v>
      </c>
      <c r="L1635" s="14">
        <f>IFERROR(IF(OR(J1635=0,K1635=""),"",IF(E1635="Positivo",MIN(MAX(K1635/J1635,0),1.3),MIN(MAX(J1635/K1635,0),1.3))),"") </f>
        <v/>
      </c>
      <c r="M1635" s="14">
        <f>IFERROR(IF(OR(J1635=0,K1635=""),"",IF(E1635="Positivo",MAX(K1635/J1635,0),MAX(J1635/K1635,0))),"") </f>
        <v/>
      </c>
      <c r="N1635" s="5" t="inlineStr">
        <is>
          <t>ENT</t>
        </is>
      </c>
      <c r="O1635" s="5" t="inlineStr">
        <is>
          <t>ENT</t>
        </is>
      </c>
      <c r="P1635" s="15" t="n">
        <v>0</v>
      </c>
      <c r="Q1635" s="15" t="n">
        <v>0</v>
      </c>
      <c r="R1635" s="5" t="inlineStr">
        <is>
          <t>325-2024-12-31</t>
        </is>
      </c>
    </row>
    <row r="1636" hidden="1">
      <c r="A1636" s="21" t="n">
        <v>325</v>
      </c>
      <c r="B1636" s="5" t="inlineStr">
        <is>
          <t>Número de programas nuevos con registro calificado aprobado</t>
        </is>
      </c>
      <c r="C1636" s="5" t="inlineStr">
        <is>
          <t>Creación, modificación y cierre de programas académicos</t>
        </is>
      </c>
      <c r="D1636" s="5" t="inlineStr">
        <is>
          <t>Semestral</t>
        </is>
      </c>
      <c r="E1636" s="5" t="inlineStr">
        <is>
          <t>Positivo</t>
        </is>
      </c>
      <c r="F1636" s="101" t="n">
        <v>45838</v>
      </c>
      <c r="G1636" s="5" t="n">
        <v>2025</v>
      </c>
      <c r="H1636" s="5" t="inlineStr">
        <is>
          <t>Junio</t>
        </is>
      </c>
      <c r="I1636" s="6" t="inlineStr">
        <is>
          <t>2025-1</t>
        </is>
      </c>
      <c r="J1636" s="5" t="n">
        <v>8</v>
      </c>
      <c r="K1636" s="10" t="n">
        <v>100</v>
      </c>
      <c r="L1636" s="14">
        <f>IFERROR(IF(OR(J1636=0,K1636=""),"",IF(E1636="Positivo",MIN(MAX(K1636/J1636,0),1.3),MIN(MAX(J1636/K1636,0),1.3))),"") </f>
        <v/>
      </c>
      <c r="M1636" s="14">
        <f>IFERROR(IF(OR(J1636=0,K1636=""),"",IF(E1636="Positivo",MAX(K1636/J1636,0),MAX(J1636/K1636,0))),"") </f>
        <v/>
      </c>
      <c r="N1636" s="5" t="inlineStr">
        <is>
          <t>ENT</t>
        </is>
      </c>
      <c r="O1636" s="5" t="inlineStr">
        <is>
          <t>ENT</t>
        </is>
      </c>
      <c r="P1636" s="15" t="n">
        <v>0</v>
      </c>
      <c r="Q1636" s="15" t="n">
        <v>0</v>
      </c>
      <c r="R1636" s="5" t="inlineStr">
        <is>
          <t>325-2025-06-30</t>
        </is>
      </c>
    </row>
    <row r="1637" hidden="1">
      <c r="A1637" s="21" t="n">
        <v>325</v>
      </c>
      <c r="B1637" s="5" t="inlineStr">
        <is>
          <t>Número de programas nuevos con registro calificado aprobado - Metrica</t>
        </is>
      </c>
      <c r="C1637" s="5" t="inlineStr">
        <is>
          <t>Creación, modificación y cierre de programas académicos</t>
        </is>
      </c>
      <c r="D1637" s="5" t="inlineStr">
        <is>
          <t>Trimestral</t>
        </is>
      </c>
      <c r="E1637" s="5" t="inlineStr">
        <is>
          <t>Positivo</t>
        </is>
      </c>
      <c r="F1637" s="101" t="n">
        <v>46022</v>
      </c>
      <c r="G1637" s="5" t="n">
        <v>2025</v>
      </c>
      <c r="H1637" s="5" t="inlineStr">
        <is>
          <t>Diciembre</t>
        </is>
      </c>
      <c r="I1637" s="6" t="inlineStr">
        <is>
          <t>2025-2</t>
        </is>
      </c>
      <c r="J1637" s="5" t="n">
        <v>4</v>
      </c>
      <c r="K1637" s="103" t="n">
        <v>100</v>
      </c>
      <c r="L1637" s="14" t="n"/>
      <c r="M1637" s="14" t="n"/>
      <c r="N1637" s="5" t="inlineStr">
        <is>
          <t>ENT</t>
        </is>
      </c>
      <c r="O1637" s="5" t="inlineStr">
        <is>
          <t>ENT</t>
        </is>
      </c>
      <c r="P1637" s="15" t="n">
        <v>0</v>
      </c>
      <c r="Q1637" s="15" t="n">
        <v>0</v>
      </c>
      <c r="R1637" s="5" t="inlineStr">
        <is>
          <t>325-2025-12-31</t>
        </is>
      </c>
      <c r="S1637" t="inlineStr">
        <is>
          <t>Metrica</t>
        </is>
      </c>
    </row>
    <row r="1638" hidden="1">
      <c r="A1638" s="21" t="n">
        <v>326</v>
      </c>
      <c r="B1638" s="5" t="inlineStr">
        <is>
          <t>Número de informes de autoevaluación con fines de acreditación en alta calidad radicados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01" t="n">
        <v>45291</v>
      </c>
      <c r="G1638" s="5" t="n">
        <v>2023</v>
      </c>
      <c r="H1638" s="5" t="inlineStr">
        <is>
          <t>Diciembre</t>
        </is>
      </c>
      <c r="I1638" s="6" t="inlineStr">
        <is>
          <t>2023-2</t>
        </is>
      </c>
      <c r="J1638" s="5" t="n">
        <v>100</v>
      </c>
      <c r="K1638" s="103" t="n">
        <v>100</v>
      </c>
      <c r="L1638" s="14">
        <f>IFERROR(IF(OR(J1638=0,K1638=""),"",IF(E1638="Positivo",MIN(MAX(K1638/J1638,0),1.3),MIN(MAX(J1638/K1638,0),1.3))),"") </f>
        <v/>
      </c>
      <c r="M1638" s="14">
        <f>IFERROR(IF(OR(J1638=0,K1638=""),"",IF(E1638="Positivo",MAX(K1638/J1638,0),MAX(J1638/K1638,0))),"") </f>
        <v/>
      </c>
      <c r="N1638" s="5" t="inlineStr">
        <is>
          <t>DEC</t>
        </is>
      </c>
      <c r="O1638" s="5" t="inlineStr">
        <is>
          <t>DEC</t>
        </is>
      </c>
      <c r="P1638" s="15" t="n">
        <v>0</v>
      </c>
      <c r="Q1638" s="15" t="n">
        <v>0</v>
      </c>
      <c r="R1638" s="5" t="inlineStr">
        <is>
          <t>326-2023-12-31</t>
        </is>
      </c>
    </row>
    <row r="1639" hidden="1">
      <c r="A1639" s="21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01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0</v>
      </c>
      <c r="K1639" s="103" t="n">
        <v>0</v>
      </c>
      <c r="L1639" s="14" t="n"/>
      <c r="M1639" s="14" t="n"/>
      <c r="N1639" s="5" t="inlineStr">
        <is>
          <t>ENT</t>
        </is>
      </c>
      <c r="O1639" s="11" t="inlineStr">
        <is>
          <t>ENT</t>
        </is>
      </c>
      <c r="P1639" s="15" t="n">
        <v>0</v>
      </c>
      <c r="Q1639" s="15" t="n">
        <v>0</v>
      </c>
      <c r="R1639" s="5" t="inlineStr">
        <is>
          <t>326-2024-12-31</t>
        </is>
      </c>
      <c r="S1639" t="inlineStr">
        <is>
          <t>Metrica</t>
        </is>
      </c>
    </row>
    <row r="1640" hidden="1">
      <c r="A1640" s="21" t="n">
        <v>326</v>
      </c>
      <c r="B1640" s="5" t="inlineStr">
        <is>
          <t>Número de informes de autoevaluación con fines de acreditación en alta calidad radicados- Metrica</t>
        </is>
      </c>
      <c r="C1640" s="5" t="inlineStr">
        <is>
          <t>Autoevaluación de programas académicos</t>
        </is>
      </c>
      <c r="D1640" s="5" t="inlineStr">
        <is>
          <t>Anual</t>
        </is>
      </c>
      <c r="E1640" s="5" t="inlineStr">
        <is>
          <t>Positivo</t>
        </is>
      </c>
      <c r="F1640" s="101" t="n">
        <v>46022</v>
      </c>
      <c r="G1640" s="5" t="n">
        <v>2025</v>
      </c>
      <c r="H1640" s="5" t="inlineStr">
        <is>
          <t>Diciembre</t>
        </is>
      </c>
      <c r="I1640" s="6" t="inlineStr">
        <is>
          <t>2025-2</t>
        </is>
      </c>
      <c r="J1640" s="5" t="n">
        <v>3</v>
      </c>
      <c r="K1640" s="103" t="n">
        <v>100</v>
      </c>
      <c r="L1640" s="8" t="n"/>
      <c r="M1640" s="8" t="n"/>
      <c r="N1640" s="5" t="inlineStr">
        <is>
          <t>ENT</t>
        </is>
      </c>
      <c r="O1640" s="11" t="inlineStr">
        <is>
          <t>ENT</t>
        </is>
      </c>
      <c r="P1640" s="15" t="n">
        <v>0</v>
      </c>
      <c r="Q1640" s="15" t="n">
        <v>0</v>
      </c>
      <c r="R1640" s="5" t="inlineStr">
        <is>
          <t>326-2025-12-31</t>
        </is>
      </c>
      <c r="S1640" t="inlineStr">
        <is>
          <t>Metrica</t>
        </is>
      </c>
    </row>
    <row r="1641" hidden="1">
      <c r="A1641" s="21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01" t="n">
        <v>45107</v>
      </c>
      <c r="G1641" s="5" t="n">
        <v>2023</v>
      </c>
      <c r="H1641" s="5" t="inlineStr">
        <is>
          <t>Junio</t>
        </is>
      </c>
      <c r="I1641" s="6" t="inlineStr">
        <is>
          <t>2023-1</t>
        </is>
      </c>
      <c r="J1641" s="5" t="n">
        <v>100</v>
      </c>
      <c r="K1641" s="103" t="n">
        <v>0</v>
      </c>
      <c r="L1641" s="14">
        <f>IFERROR(IF(OR(J1641=0,K1641=""),"",IF(E1641="Positivo",MIN(MAX(K1641/J1641,0),1.3),MIN(MAX(J1641/K1641,0),1.3))),"") </f>
        <v/>
      </c>
      <c r="M1641" s="14">
        <f>IFERROR(IF(OR(J1641=0,K1641=""),"",IF(E1641="Positivo",MAX(K1641/J1641,0),MAX(J1641/K1641,0))),"") </f>
        <v/>
      </c>
      <c r="N1641" s="5" t="n"/>
      <c r="O1641" s="5" t="n"/>
      <c r="P1641" s="15" t="n">
        <v>0</v>
      </c>
      <c r="Q1641" s="15" t="n">
        <v>0</v>
      </c>
      <c r="R1641" s="5" t="inlineStr">
        <is>
          <t>327-2023-06-30</t>
        </is>
      </c>
    </row>
    <row r="1642" hidden="1">
      <c r="A1642" s="21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01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100</v>
      </c>
      <c r="K1642" s="103" t="n">
        <v>100</v>
      </c>
      <c r="L1642" s="14">
        <f>IFERROR(IF(OR(J1642=0,K1642=""),"",IF(E1642="Positivo",MIN(MAX(K1642/J1642,0),1.3),MIN(MAX(J1642/K1642,0),1.3))),"") </f>
        <v/>
      </c>
      <c r="M1642" s="14">
        <f>IFERROR(IF(OR(J1642=0,K1642=""),"",IF(E1642="Positivo",MAX(K1642/J1642,0),MAX(J1642/K1642,0))),"") </f>
        <v/>
      </c>
      <c r="N1642" s="5" t="n"/>
      <c r="O1642" s="5" t="n"/>
      <c r="P1642" s="15" t="n">
        <v>0</v>
      </c>
      <c r="Q1642" s="15" t="n">
        <v>0</v>
      </c>
      <c r="R1642" s="5" t="inlineStr">
        <is>
          <t>327-2023-12-31</t>
        </is>
      </c>
    </row>
    <row r="1643" hidden="1">
      <c r="A1643" s="21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01" t="n">
        <v>45473</v>
      </c>
      <c r="G1643" s="5" t="n">
        <v>2024</v>
      </c>
      <c r="H1643" s="5" t="inlineStr">
        <is>
          <t>Junio</t>
        </is>
      </c>
      <c r="I1643" s="6" t="inlineStr">
        <is>
          <t>2024-1</t>
        </is>
      </c>
      <c r="J1643" s="5" t="n">
        <v>100</v>
      </c>
      <c r="K1643" s="10" t="n">
        <v>0</v>
      </c>
      <c r="L1643" s="14">
        <f>IFERROR(IF(OR(J1643=0,K1643=""),"",IF(E1643="Positivo",MIN(MAX(K1643/J1643,0),1.3),MIN(MAX(J1643/K1643,0),1.3))),"") </f>
        <v/>
      </c>
      <c r="M1643" s="14">
        <f>IFERROR(IF(OR(J1643=0,K1643=""),"",IF(E1643="Positivo",MAX(K1643/J1643,0),MAX(J1643/K1643,0))),"") </f>
        <v/>
      </c>
      <c r="N1643" s="5" t="n"/>
      <c r="O1643" s="5" t="n"/>
      <c r="P1643" s="15" t="n">
        <v>0</v>
      </c>
      <c r="Q1643" s="15" t="n">
        <v>0</v>
      </c>
      <c r="R1643" s="5" t="inlineStr">
        <is>
          <t>327-2024-06-30</t>
        </is>
      </c>
    </row>
    <row r="1644" hidden="1">
      <c r="A1644" s="21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01" t="n">
        <v>45657</v>
      </c>
      <c r="G1644" s="5" t="n">
        <v>2024</v>
      </c>
      <c r="H1644" s="5" t="inlineStr">
        <is>
          <t>Diciembre</t>
        </is>
      </c>
      <c r="I1644" s="6" t="inlineStr">
        <is>
          <t>2024-2</t>
        </is>
      </c>
      <c r="J1644" s="5" t="n">
        <v>100</v>
      </c>
      <c r="K1644" s="103" t="n">
        <v>0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n"/>
      <c r="O1644" s="5" t="n"/>
      <c r="P1644" s="15" t="n">
        <v>0</v>
      </c>
      <c r="Q1644" s="15" t="n">
        <v>0</v>
      </c>
      <c r="R1644" s="5" t="inlineStr">
        <is>
          <t>327-2024-12-31</t>
        </is>
      </c>
    </row>
    <row r="1645" hidden="1">
      <c r="A1645" s="21" t="n">
        <v>327</v>
      </c>
      <c r="B1645" s="5" t="inlineStr">
        <is>
          <t>Número de programas con obtención de acreditación por primera vez</t>
        </is>
      </c>
      <c r="C1645" s="5" t="inlineStr">
        <is>
          <t>Autoevaluación de programas académicos</t>
        </is>
      </c>
      <c r="D1645" s="5" t="inlineStr">
        <is>
          <t>Semestral</t>
        </is>
      </c>
      <c r="E1645" s="5" t="inlineStr">
        <is>
          <t>Positivo</t>
        </is>
      </c>
      <c r="F1645" s="101" t="n">
        <v>45838</v>
      </c>
      <c r="G1645" s="5" t="n">
        <v>2025</v>
      </c>
      <c r="H1645" s="5" t="inlineStr">
        <is>
          <t>Junio</t>
        </is>
      </c>
      <c r="I1645" s="6" t="inlineStr">
        <is>
          <t>2025-1</t>
        </is>
      </c>
      <c r="J1645" s="5" t="n">
        <v>100</v>
      </c>
      <c r="K1645" s="103" t="n">
        <v>100</v>
      </c>
      <c r="L1645" s="14">
        <f>IFERROR(IF(OR(J1645=0,K1645=""),"",IF(E1645="Positivo",MIN(MAX(K1645/J1645,0),1.3),MIN(MAX(J1645/K1645,0),1.3))),"") </f>
        <v/>
      </c>
      <c r="M1645" s="14">
        <f>IFERROR(IF(OR(J1645=0,K1645=""),"",IF(E1645="Positivo",MAX(K1645/J1645,0),MAX(J1645/K1645,0))),"") </f>
        <v/>
      </c>
      <c r="N1645" s="5" t="inlineStr">
        <is>
          <t>ENT</t>
        </is>
      </c>
      <c r="O1645" s="5" t="inlineStr">
        <is>
          <t>ENT</t>
        </is>
      </c>
      <c r="P1645" s="15" t="n">
        <v>0</v>
      </c>
      <c r="Q1645" s="15" t="n">
        <v>0</v>
      </c>
      <c r="R1645" s="5" t="inlineStr">
        <is>
          <t>327-2025-06-30</t>
        </is>
      </c>
    </row>
    <row r="1646" hidden="1">
      <c r="A1646" s="21" t="n">
        <v>327</v>
      </c>
      <c r="B1646" s="5" t="inlineStr">
        <is>
          <t>Número de programas con obtención de acreditación por primera vez- Metrica</t>
        </is>
      </c>
      <c r="C1646" s="5" t="inlineStr">
        <is>
          <t>Autoevaluación de programas académicos</t>
        </is>
      </c>
      <c r="D1646" s="5" t="inlineStr">
        <is>
          <t>Trimestral</t>
        </is>
      </c>
      <c r="E1646" s="5" t="inlineStr">
        <is>
          <t>Positivo</t>
        </is>
      </c>
      <c r="F1646" s="101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100</v>
      </c>
      <c r="K1646" s="103" t="n">
        <v>100</v>
      </c>
      <c r="L1646" s="14" t="n"/>
      <c r="M1646" s="14" t="n"/>
      <c r="N1646" s="5" t="inlineStr">
        <is>
          <t>ENT</t>
        </is>
      </c>
      <c r="O1646" s="5" t="inlineStr">
        <is>
          <t>ENT</t>
        </is>
      </c>
      <c r="P1646" s="15" t="n">
        <v>0</v>
      </c>
      <c r="Q1646" s="15" t="n">
        <v>0</v>
      </c>
      <c r="R1646" s="5" t="inlineStr">
        <is>
          <t>327-2025-12-31</t>
        </is>
      </c>
      <c r="S1646" t="inlineStr">
        <is>
          <t>Metrica</t>
        </is>
      </c>
    </row>
    <row r="1647" hidden="1">
      <c r="A1647" s="21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01" t="n">
        <v>45291</v>
      </c>
      <c r="G1647" s="5" t="n">
        <v>2023</v>
      </c>
      <c r="H1647" s="5" t="inlineStr">
        <is>
          <t>Diciembre</t>
        </is>
      </c>
      <c r="I1647" s="6" t="inlineStr">
        <is>
          <t>2023-2</t>
        </is>
      </c>
      <c r="J1647" s="5" t="n">
        <v>800</v>
      </c>
      <c r="K1647" s="103" t="n">
        <v>1035</v>
      </c>
      <c r="L1647" s="14">
        <f>IFERROR(IF(OR(J1647=0,K1647=""),"",IF(E1647="Positivo",MIN(MAX(K1647/J1647,0),1.3),MIN(MAX(J1647/K1647,0),1.3))),"") </f>
        <v/>
      </c>
      <c r="M1647" s="14">
        <f>IFERROR(IF(OR(J1647=0,K1647=""),"",IF(E1647="Positivo",MAX(K1647/J1647,0),MAX(J1647/K1647,0))),"") </f>
        <v/>
      </c>
      <c r="N1647" s="5" t="n"/>
      <c r="O1647" s="5" t="n"/>
      <c r="P1647" s="15" t="n">
        <v>0</v>
      </c>
      <c r="Q1647" s="15" t="n">
        <v>0</v>
      </c>
      <c r="R1647" s="5" t="inlineStr">
        <is>
          <t>328-2023-12-31</t>
        </is>
      </c>
    </row>
    <row r="1648" hidden="1">
      <c r="A1648" s="21" t="n">
        <v>328</v>
      </c>
      <c r="B1648" s="5" t="inlineStr">
        <is>
          <t>Nivel de encuestas obtenidas en el encuentro institucional de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01" t="n">
        <v>45657</v>
      </c>
      <c r="G1648" s="5" t="n">
        <v>2024</v>
      </c>
      <c r="H1648" s="5" t="inlineStr">
        <is>
          <t>Diciembre</t>
        </is>
      </c>
      <c r="I1648" s="6" t="inlineStr">
        <is>
          <t>2024-2</t>
        </is>
      </c>
      <c r="J1648" s="5" t="n">
        <v>100</v>
      </c>
      <c r="K1648" s="103" t="n">
        <v>157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n"/>
      <c r="O1648" s="5" t="n"/>
      <c r="P1648" s="15" t="n">
        <v>0</v>
      </c>
      <c r="Q1648" s="15" t="n">
        <v>0</v>
      </c>
      <c r="R1648" s="5" t="inlineStr">
        <is>
          <t>328-2024-12-31</t>
        </is>
      </c>
    </row>
    <row r="1649" hidden="1">
      <c r="A1649" s="5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01" t="n">
        <v>45291</v>
      </c>
      <c r="G1649" s="5" t="n">
        <v>2023</v>
      </c>
      <c r="H1649" s="5" t="inlineStr">
        <is>
          <t>Diciembre</t>
        </is>
      </c>
      <c r="I1649" s="6" t="inlineStr">
        <is>
          <t>2023-2</t>
        </is>
      </c>
      <c r="J1649" s="5" t="n">
        <v>3000</v>
      </c>
      <c r="K1649" s="5" t="n">
        <v>3315</v>
      </c>
      <c r="L1649" s="14">
        <f>IFERROR(IF(OR(J1649=0,K1649=""),"",IF(E1649="Positivo",MIN(MAX(K1649/J1649,0),1.3),MIN(MAX(J1649/K1649,0),1.3))),"") </f>
        <v/>
      </c>
      <c r="M1649" s="14">
        <f>IFERROR(IF(OR(J1649=0,K1649=""),"",IF(E1649="Positivo",MAX(K1649/J1649,0),MAX(J1649/K1649,0))),"") </f>
        <v/>
      </c>
      <c r="N1649" s="5" t="n"/>
      <c r="O1649" s="5" t="n"/>
      <c r="P1649" s="5" t="n">
        <v>0</v>
      </c>
      <c r="Q1649" s="5" t="n">
        <v>0</v>
      </c>
      <c r="R1649" s="5" t="inlineStr">
        <is>
          <t>329-2023-12-31</t>
        </is>
      </c>
    </row>
    <row r="1650" hidden="1">
      <c r="A1650" s="5" t="n">
        <v>329</v>
      </c>
      <c r="B1650" s="5" t="inlineStr">
        <is>
          <t>Participación en actividades diseñadas para graduados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01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5" t="n">
        <v>106.63</v>
      </c>
      <c r="L1650" s="14">
        <f>IFERROR(IF(OR(J1650=0,K1650=""),"",IF(E1650="Positivo",MIN(MAX(K1650/J1650,0),1.3),MIN(MAX(J1650/K1650,0),1.3))),"") </f>
        <v/>
      </c>
      <c r="M1650" s="14">
        <f>IFERROR(IF(OR(J1650=0,K1650=""),"",IF(E1650="Positivo",MAX(K1650/J1650,0),MAX(J1650/K1650,0))),"") </f>
        <v/>
      </c>
      <c r="N1650" s="5" t="n"/>
      <c r="O1650" s="5" t="n"/>
      <c r="P1650" s="5" t="n">
        <v>0</v>
      </c>
      <c r="Q1650" s="5" t="n">
        <v>0</v>
      </c>
      <c r="R1650" s="5" t="inlineStr">
        <is>
          <t>329-2024-12-31</t>
        </is>
      </c>
    </row>
    <row r="1651" hidden="1">
      <c r="A1651" s="5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01" t="n">
        <v>45291</v>
      </c>
      <c r="G1651" s="5" t="n">
        <v>2023</v>
      </c>
      <c r="H1651" s="5" t="inlineStr">
        <is>
          <t>Diciembre</t>
        </is>
      </c>
      <c r="I1651" s="6" t="inlineStr">
        <is>
          <t>2023-2</t>
        </is>
      </c>
      <c r="J1651" s="5" t="n"/>
      <c r="K1651" s="5" t="n">
        <v>81</v>
      </c>
      <c r="L1651" s="8" t="n"/>
      <c r="M1651" s="14" t="n"/>
      <c r="N1651" s="5" t="inlineStr">
        <is>
          <t>Linea Base</t>
        </is>
      </c>
      <c r="O1651" s="5" t="inlineStr">
        <is>
          <t>%</t>
        </is>
      </c>
      <c r="P1651" s="5" t="n">
        <v>0</v>
      </c>
      <c r="Q1651" s="5" t="n">
        <v>0</v>
      </c>
      <c r="R1651" s="5" t="inlineStr">
        <is>
          <t>331-2023-12-31</t>
        </is>
      </c>
    </row>
    <row r="1652" hidden="1">
      <c r="A1652" s="31" t="n">
        <v>331</v>
      </c>
      <c r="B1652" s="5" t="inlineStr">
        <is>
          <t>Nivel de empleabilidad del graduado</t>
        </is>
      </c>
      <c r="C1652" s="5" t="inlineStr">
        <is>
          <t>Gestión de Graduados</t>
        </is>
      </c>
      <c r="D1652" s="5" t="inlineStr">
        <is>
          <t>Anual</t>
        </is>
      </c>
      <c r="E1652" s="5" t="inlineStr">
        <is>
          <t>Positivo</t>
        </is>
      </c>
      <c r="F1652" s="101" t="n">
        <v>45657</v>
      </c>
      <c r="G1652" s="5" t="n">
        <v>2024</v>
      </c>
      <c r="H1652" s="5" t="inlineStr">
        <is>
          <t>Diciembre</t>
        </is>
      </c>
      <c r="I1652" s="6" t="inlineStr">
        <is>
          <t>2024-2</t>
        </is>
      </c>
      <c r="J1652" s="5" t="n">
        <v>0</v>
      </c>
      <c r="K1652" s="104" t="n">
        <v>82</v>
      </c>
      <c r="L1652" s="30">
        <f>IFERROR(IF(OR(J1652=0,K1652=""),"",IF(E1652="Positivo",MIN(MAX(K1652/J1652,0),1.3),MIN(MAX(J1652/K1652,0),1.3))),"") </f>
        <v/>
      </c>
      <c r="M1652" s="14">
        <f>IFERROR(IF(OR(J1652=0,K1652=""),"",IF(E1652="Positivo",MAX(K1652/J1652,0),MAX(J1652/K1652,0))),"") </f>
        <v/>
      </c>
      <c r="N1652" s="31" t="inlineStr">
        <is>
          <t>Linea Base</t>
        </is>
      </c>
      <c r="O1652" s="5" t="inlineStr">
        <is>
          <t>%</t>
        </is>
      </c>
      <c r="P1652" s="15" t="n">
        <v>0</v>
      </c>
      <c r="Q1652" s="15" t="n">
        <v>0</v>
      </c>
      <c r="R1652" s="5" t="inlineStr">
        <is>
          <t>331-2024-12-31</t>
        </is>
      </c>
    </row>
    <row r="1653" hidden="1">
      <c r="A1653" s="5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01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1.8</v>
      </c>
      <c r="K1653" s="5" t="n">
        <v>1.57</v>
      </c>
      <c r="L1653" s="14">
        <f>IFERROR(IF(OR(J1653=0,K1653=""),"",IF(E1653="Positivo",MIN(MAX(K1653/J1653,0),1.3),MIN(MAX(J1653/K1653,0),1.3))),"") </f>
        <v/>
      </c>
      <c r="M1653" s="14">
        <f>IFERROR(IF(OR(J1653=0,K1653=""),"",IF(E1653="Positivo",MAX(K1653/J1653,0),MAX(J1653/K1653,0))),"") </f>
        <v/>
      </c>
      <c r="N1653" s="5" t="inlineStr">
        <is>
          <t>%</t>
        </is>
      </c>
      <c r="O1653" s="5" t="inlineStr">
        <is>
          <t>%</t>
        </is>
      </c>
      <c r="P1653" s="5" t="n">
        <v>2</v>
      </c>
      <c r="Q1653" s="5" t="n">
        <v>2</v>
      </c>
      <c r="R1653" s="5" t="inlineStr">
        <is>
          <t>332-2023-06-30</t>
        </is>
      </c>
    </row>
    <row r="1654" hidden="1">
      <c r="A1654" s="21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01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1.8</v>
      </c>
      <c r="K1654" s="10" t="n">
        <v>1.3</v>
      </c>
      <c r="L1654" s="14">
        <f>IFERROR(IF(OR(J1654=0,K1654=""),"",IF(E1654="Positivo",MIN(MAX(K1654/J1654,0),1.3),MIN(MAX(J1654/K1654,0),1.3))),"") </f>
        <v/>
      </c>
      <c r="M1654" s="14">
        <f>IFERROR(IF(OR(J1654=0,K1654=""),"",IF(E1654="Positivo",MAX(K1654/J1654,0),MAX(J1654/K1654,0))),"") </f>
        <v/>
      </c>
      <c r="N1654" s="5" t="inlineStr">
        <is>
          <t>%</t>
        </is>
      </c>
      <c r="O1654" s="5" t="inlineStr">
        <is>
          <t>%</t>
        </is>
      </c>
      <c r="P1654" s="15" t="n">
        <v>1</v>
      </c>
      <c r="Q1654" s="15" t="n">
        <v>1</v>
      </c>
      <c r="R1654" s="5" t="inlineStr">
        <is>
          <t>332-2023-12-31</t>
        </is>
      </c>
    </row>
    <row r="1655" hidden="1">
      <c r="A1655" s="21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01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1.5</v>
      </c>
      <c r="K1655" s="104" t="n">
        <v>1.48</v>
      </c>
      <c r="L1655" s="14">
        <f>IFERROR(IF(OR(J1655=0,K1655=""),"",IF(E1655="Positivo",MIN(MAX(K1655/J1655,0),1.3),MIN(MAX(J1655/K1655,0),1.3))),"") </f>
        <v/>
      </c>
      <c r="M1655" s="14">
        <f>IFERROR(IF(OR(J1655=0,K1655=""),"",IF(E1655="Positivo",MAX(K1655/J1655,0),MAX(J1655/K1655,0))),"") </f>
        <v/>
      </c>
      <c r="N1655" s="5" t="inlineStr">
        <is>
          <t>%</t>
        </is>
      </c>
      <c r="O1655" s="5" t="inlineStr">
        <is>
          <t>%</t>
        </is>
      </c>
      <c r="P1655" s="15" t="n">
        <v>2</v>
      </c>
      <c r="Q1655" s="15" t="n">
        <v>2</v>
      </c>
      <c r="R1655" s="5" t="inlineStr">
        <is>
          <t>332-2024-06-30</t>
        </is>
      </c>
    </row>
    <row r="1656" hidden="1">
      <c r="A1656" s="21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01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1.8</v>
      </c>
      <c r="K1656" s="104" t="n">
        <v>0.82</v>
      </c>
      <c r="L1656" s="14">
        <f>IFERROR(IF(OR(J1656=0,K1656=""),"",IF(E1656="Positivo",MIN(MAX(K1656/J1656,0),1.3),MIN(MAX(J1656/K1656,0),1.3))),"") </f>
        <v/>
      </c>
      <c r="M1656" s="14">
        <f>IFERROR(IF(OR(J1656=0,K1656=""),"",IF(E1656="Positivo",MAX(K1656/J1656,0),MAX(J1656/K1656,0))),"") </f>
        <v/>
      </c>
      <c r="N1656" s="5" t="inlineStr">
        <is>
          <t>%</t>
        </is>
      </c>
      <c r="O1656" s="5" t="inlineStr">
        <is>
          <t>%</t>
        </is>
      </c>
      <c r="P1656" s="15" t="n">
        <v>2</v>
      </c>
      <c r="Q1656" s="15" t="n">
        <v>2</v>
      </c>
      <c r="R1656" s="5" t="inlineStr">
        <is>
          <t>332-2024-12-31</t>
        </is>
      </c>
    </row>
    <row r="1657" hidden="1">
      <c r="A1657" s="21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Semestral</t>
        </is>
      </c>
      <c r="E1657" s="5" t="inlineStr">
        <is>
          <t>Negativo</t>
        </is>
      </c>
      <c r="F1657" s="101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1.18</v>
      </c>
      <c r="K1657" s="104" t="n">
        <v>0.85</v>
      </c>
      <c r="L1657" s="14">
        <f>IFERROR(IF(OR(J1657=0,K1657=""),"",IF(E1657="Positivo",MIN(MAX(K1657/J1657,0),1.3),MIN(MAX(J1657/K1657,0),1.3))),"") </f>
        <v/>
      </c>
      <c r="M1657" s="14">
        <f>IFERROR(IF(OR(J1657=0,K1657=""),"",IF(E1657="Positivo",MAX(K1657/J1657,0),MAX(J1657/K1657,0))),"") </f>
        <v/>
      </c>
      <c r="N1657" s="5" t="inlineStr">
        <is>
          <t>%</t>
        </is>
      </c>
      <c r="O1657" s="5" t="inlineStr">
        <is>
          <t>%</t>
        </is>
      </c>
      <c r="P1657" s="15" t="n">
        <v>2</v>
      </c>
      <c r="Q1657" s="15" t="n">
        <v>2</v>
      </c>
      <c r="R1657" s="5" t="inlineStr">
        <is>
          <t>332-2025-06-30</t>
        </is>
      </c>
    </row>
    <row r="1658" hidden="1">
      <c r="A1658" s="21" t="n">
        <v>332</v>
      </c>
      <c r="B1658" s="5" t="inlineStr">
        <is>
          <t>Índice de rotación</t>
        </is>
      </c>
      <c r="C1658" s="5" t="inlineStr">
        <is>
          <t>GESTIÓN Y DESARROLLO DEL TALENTO HUMANO</t>
        </is>
      </c>
      <c r="D1658" s="5" t="inlineStr">
        <is>
          <t>Trimestral</t>
        </is>
      </c>
      <c r="E1658" s="5" t="inlineStr">
        <is>
          <t>Negativo</t>
        </is>
      </c>
      <c r="F1658" s="101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1.18</v>
      </c>
      <c r="K1658" s="104" t="n">
        <v>0.93</v>
      </c>
      <c r="L1658" s="14">
        <f>IFERROR(IF(OR(J1658=0,K1658=""),"",IF(E1658="Positivo",MIN(MAX(K1658/J1658,0),1.3),MIN(MAX(J1658/K1658,0),1.3))),"") </f>
        <v/>
      </c>
      <c r="M1658" s="14">
        <f>IFERROR(IF(OR(J1658=0,K1658=""),"",IF(E1658="Positivo",MAX(K1658/J1658,0),MAX(J1658/K1658,0))),"") </f>
        <v/>
      </c>
      <c r="N1658" s="5" t="inlineStr">
        <is>
          <t>DEC</t>
        </is>
      </c>
      <c r="O1658" s="5" t="inlineStr">
        <is>
          <t>DEC</t>
        </is>
      </c>
      <c r="P1658" s="15" t="n">
        <v>2</v>
      </c>
      <c r="Q1658" s="15" t="n">
        <v>2</v>
      </c>
      <c r="R1658" s="5" t="inlineStr">
        <is>
          <t>332-2025-12-31</t>
        </is>
      </c>
    </row>
    <row r="1659" hidden="1">
      <c r="A1659" s="26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01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88</v>
      </c>
      <c r="K1659" s="104" t="n">
        <v>88.39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ENT</t>
        </is>
      </c>
      <c r="O1659" s="5" t="inlineStr">
        <is>
          <t>ENT</t>
        </is>
      </c>
      <c r="P1659" s="15" t="n">
        <v>0</v>
      </c>
      <c r="Q1659" s="15" t="n">
        <v>0</v>
      </c>
      <c r="R1659" s="5" t="inlineStr">
        <is>
          <t>334-2023-12-31</t>
        </is>
      </c>
    </row>
    <row r="1660" hidden="1">
      <c r="A1660" s="26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01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88</v>
      </c>
      <c r="K1660" s="104" t="n">
        <v>88.84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ENT</t>
        </is>
      </c>
      <c r="O1660" s="5" t="inlineStr">
        <is>
          <t>ENT</t>
        </is>
      </c>
      <c r="P1660" s="15" t="n">
        <v>0</v>
      </c>
      <c r="Q1660" s="15" t="n">
        <v>0</v>
      </c>
      <c r="R1660" s="5" t="inlineStr">
        <is>
          <t>334-2024-12-31</t>
        </is>
      </c>
    </row>
    <row r="1661" hidden="1">
      <c r="A1661" s="26" t="n">
        <v>334</v>
      </c>
      <c r="B1661" s="5" t="inlineStr">
        <is>
          <t>Resultado de la evaluación 360 (evaluación por competencias)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01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89</v>
      </c>
      <c r="K1661" s="104" t="n">
        <v>90.09999999999999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ENT</t>
        </is>
      </c>
      <c r="O1661" s="5" t="inlineStr">
        <is>
          <t>DEC</t>
        </is>
      </c>
      <c r="P1661" s="15" t="n">
        <v>0</v>
      </c>
      <c r="Q1661" s="15" t="n">
        <v>1</v>
      </c>
      <c r="R1661" s="5" t="inlineStr">
        <is>
          <t>334-2025-12-31</t>
        </is>
      </c>
    </row>
    <row r="1662" hidden="1">
      <c r="A1662" s="21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01" t="n">
        <v>45291</v>
      </c>
      <c r="G1662" s="5" t="n">
        <v>2023</v>
      </c>
      <c r="H1662" s="5" t="inlineStr">
        <is>
          <t>Diciembre</t>
        </is>
      </c>
      <c r="I1662" s="6" t="inlineStr">
        <is>
          <t>2023-2</t>
        </is>
      </c>
      <c r="J1662" s="5" t="n">
        <v>80</v>
      </c>
      <c r="K1662" s="10" t="n">
        <v>93.84999999999999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335-2023-12-31</t>
        </is>
      </c>
    </row>
    <row r="1663" hidden="1">
      <c r="A1663" s="21" t="n">
        <v>335</v>
      </c>
      <c r="B1663" s="5" t="inlineStr">
        <is>
          <t>Cumplimiento de diagnóstico necesidades de capacitación por área</t>
        </is>
      </c>
      <c r="C1663" s="5" t="inlineStr">
        <is>
          <t>GESTIÓN Y DESARROLLO DEL TALENTO HUMANO</t>
        </is>
      </c>
      <c r="D1663" s="5" t="inlineStr">
        <is>
          <t>Anual</t>
        </is>
      </c>
      <c r="E1663" s="5" t="inlineStr">
        <is>
          <t>Positivo</t>
        </is>
      </c>
      <c r="F1663" s="101" t="n">
        <v>45657</v>
      </c>
      <c r="G1663" s="5" t="n">
        <v>2024</v>
      </c>
      <c r="H1663" s="5" t="inlineStr">
        <is>
          <t>Diciembre</t>
        </is>
      </c>
      <c r="I1663" s="6" t="inlineStr">
        <is>
          <t>2024-2</t>
        </is>
      </c>
      <c r="J1663" s="5" t="n">
        <v>82</v>
      </c>
      <c r="K1663" s="10" t="n">
        <v>80.95</v>
      </c>
      <c r="L1663" s="14">
        <f>IFERROR(IF(OR(J1663=0,K1663=""),"",IF(E1663="Positivo",MIN(MAX(K1663/J1663,0),1.3),MIN(MAX(J1663/K1663,0),1.3))),"") </f>
        <v/>
      </c>
      <c r="M1663" s="14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15" t="n">
        <v>0</v>
      </c>
      <c r="Q1663" s="15" t="n">
        <v>0</v>
      </c>
      <c r="R1663" s="5" t="inlineStr">
        <is>
          <t>335-2024-12-31</t>
        </is>
      </c>
    </row>
    <row r="1664" hidden="1">
      <c r="A1664" s="28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01" t="n">
        <v>45291</v>
      </c>
      <c r="G1664" s="5" t="n">
        <v>2023</v>
      </c>
      <c r="H1664" s="5" t="inlineStr">
        <is>
          <t>Diciembre</t>
        </is>
      </c>
      <c r="I1664" s="6" t="inlineStr">
        <is>
          <t>2023-2</t>
        </is>
      </c>
      <c r="J1664" s="76" t="n">
        <v>2</v>
      </c>
      <c r="K1664" s="9" t="n">
        <v>1.742198218602321</v>
      </c>
      <c r="L1664" s="14">
        <f>IFERROR(IF(OR(J1664=0,K1664=""),"",IF(E1664="Positivo",MIN(MAX(K1664/J1664,0),1.3),MIN(MAX(J1664/K1664,0),1.3))),"") </f>
        <v/>
      </c>
      <c r="M1664" s="14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15" t="n">
        <v>0</v>
      </c>
      <c r="R1664" s="5" t="inlineStr">
        <is>
          <t>336-2023-12-31</t>
        </is>
      </c>
    </row>
    <row r="1665" hidden="1">
      <c r="A1665" s="21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00" t="n">
        <v>45657</v>
      </c>
      <c r="G1665" s="5" t="n">
        <v>2024</v>
      </c>
      <c r="H1665" s="5" t="inlineStr">
        <is>
          <t>Diciembre</t>
        </is>
      </c>
      <c r="I1665" s="6" t="inlineStr">
        <is>
          <t>2024-2</t>
        </is>
      </c>
      <c r="J1665" s="5" t="n">
        <v>2</v>
      </c>
      <c r="K1665" s="9" t="n">
        <v>0.79</v>
      </c>
      <c r="L1665" s="14">
        <f>IFERROR(IF(OR(J1665=0,K1665=""),"",IF(E1665="Positivo",MIN(MAX(K1665/J1665,0),1.3),MIN(MAX(J1665/K1665,0),1.3))),"") </f>
        <v/>
      </c>
      <c r="M1665" s="14">
        <f>IFERROR(IF(OR(J1665=0,K1665=""),"",IF(E1665="Positivo",MAX(K1665/J1665,0),MAX(J1665/K1665,0))),"") </f>
        <v/>
      </c>
      <c r="N1665" s="5" t="n"/>
      <c r="O1665" s="5" t="n"/>
      <c r="P1665" s="15" t="n">
        <v>0</v>
      </c>
      <c r="Q1665" s="15" t="n">
        <v>0</v>
      </c>
      <c r="R1665" s="5" t="inlineStr">
        <is>
          <t>336-2024-12-31</t>
        </is>
      </c>
    </row>
    <row r="1666" hidden="1">
      <c r="A1666" s="21" t="n">
        <v>336</v>
      </c>
      <c r="B1666" s="5" t="inlineStr">
        <is>
          <t>Materiales bibliográficos en formato físico con estado de perdida</t>
        </is>
      </c>
      <c r="C1666" s="5" t="inlineStr">
        <is>
          <t>Biblioteca Institucional</t>
        </is>
      </c>
      <c r="D1666" s="5" t="inlineStr">
        <is>
          <t>Anual</t>
        </is>
      </c>
      <c r="E1666" s="5" t="inlineStr">
        <is>
          <t>Negativo</t>
        </is>
      </c>
      <c r="F1666" s="101" t="n">
        <v>46022</v>
      </c>
      <c r="G1666" s="5" t="n">
        <v>2025</v>
      </c>
      <c r="H1666" s="5" t="inlineStr">
        <is>
          <t>Diciembre</t>
        </is>
      </c>
      <c r="I1666" s="6" t="inlineStr">
        <is>
          <t>2025-2</t>
        </is>
      </c>
      <c r="J1666" s="5" t="n">
        <v>2</v>
      </c>
      <c r="K1666" s="10" t="n">
        <v>0.36</v>
      </c>
      <c r="L1666" s="14">
        <f>IFERROR(IF(OR(J1666=0,K1666=""),"",IF(E1666="Positivo",MIN(MAX(K1666/J1666,0),1.3),MIN(MAX(J1666/K1666,0),1.3))),"") </f>
        <v/>
      </c>
      <c r="M1666" s="14">
        <f>IFERROR(IF(OR(J1666=0,K1666=""),"",IF(E1666="Positivo",MAX(K1666/J1666,0),MAX(J1666/K1666,0))),"") </f>
        <v/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336-2025-12-31</t>
        </is>
      </c>
    </row>
    <row r="1667" hidden="1">
      <c r="A1667" s="21" t="n">
        <v>337</v>
      </c>
      <c r="B1667" s="5" t="inlineStr">
        <is>
          <t>Número de programas con renovación de acreditación en alta calidad - Metrica</t>
        </is>
      </c>
      <c r="C1667" s="5" t="inlineStr">
        <is>
          <t>Autoevaluación de programas académicos</t>
        </is>
      </c>
      <c r="D1667" s="5" t="inlineStr">
        <is>
          <t>Trimestral</t>
        </is>
      </c>
      <c r="E1667" s="5" t="inlineStr">
        <is>
          <t>Positivo</t>
        </is>
      </c>
      <c r="F1667" s="101" t="n">
        <v>45107</v>
      </c>
      <c r="G1667" s="5" t="n">
        <v>2023</v>
      </c>
      <c r="H1667" s="5" t="inlineStr">
        <is>
          <t>Junio</t>
        </is>
      </c>
      <c r="I1667" s="6" t="inlineStr">
        <is>
          <t>2023-1</t>
        </is>
      </c>
      <c r="J1667" s="5" t="n">
        <v>100</v>
      </c>
      <c r="K1667" s="11" t="n">
        <v>0</v>
      </c>
      <c r="L1667" s="14" t="n"/>
      <c r="M1667" s="14" t="n"/>
      <c r="N1667" s="5" t="n"/>
      <c r="O1667" s="5" t="n"/>
      <c r="P1667" s="15" t="n">
        <v>0</v>
      </c>
      <c r="Q1667" s="15" t="n">
        <v>0</v>
      </c>
      <c r="R1667" s="5" t="inlineStr">
        <is>
          <t>337-2023-06-30</t>
        </is>
      </c>
      <c r="S1667" t="inlineStr">
        <is>
          <t>Metrica</t>
        </is>
      </c>
    </row>
    <row r="1668" hidden="1">
      <c r="A1668" s="21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01" t="n">
        <v>45291</v>
      </c>
      <c r="G1668" s="5" t="n">
        <v>2023</v>
      </c>
      <c r="H1668" s="5" t="inlineStr">
        <is>
          <t>Diciembre</t>
        </is>
      </c>
      <c r="I1668" s="6" t="inlineStr">
        <is>
          <t>2023-2</t>
        </is>
      </c>
      <c r="J1668" s="5" t="n">
        <v>100</v>
      </c>
      <c r="K1668" s="9" t="n">
        <v>100</v>
      </c>
      <c r="L1668" s="14">
        <f>IFERROR(IF(OR(J1668=0,K1668=""),"",IF(E1668="Positivo",MIN(MAX(K1668/J1668,0),1.3),MIN(MAX(J1668/K1668,0),1.3))),"") </f>
        <v/>
      </c>
      <c r="M1668" s="14">
        <f>IFERROR(IF(OR(J1668=0,K1668=""),"",IF(E1668="Positivo",MAX(K1668/J1668,0),MAX(J1668/K1668,0))),"") </f>
        <v/>
      </c>
      <c r="N1668" s="5" t="n"/>
      <c r="O1668" s="11" t="n"/>
      <c r="P1668" s="15" t="n">
        <v>0</v>
      </c>
      <c r="Q1668" s="15" t="n">
        <v>0</v>
      </c>
      <c r="R1668" s="5" t="inlineStr">
        <is>
          <t>337-2023-12-31</t>
        </is>
      </c>
    </row>
    <row r="1669" hidden="1">
      <c r="A1669" s="21" t="n">
        <v>337</v>
      </c>
      <c r="B1669" s="5" t="inlineStr">
        <is>
          <t>Número de programas con renovación de acreditación en alta calidad</t>
        </is>
      </c>
      <c r="C1669" s="5" t="inlineStr">
        <is>
          <t>Autoevaluación de programas académicos</t>
        </is>
      </c>
      <c r="D1669" s="5" t="inlineStr">
        <is>
          <t>Semestral</t>
        </is>
      </c>
      <c r="E1669" s="5" t="inlineStr">
        <is>
          <t>Positivo</t>
        </is>
      </c>
      <c r="F1669" s="100" t="n">
        <v>45473</v>
      </c>
      <c r="G1669" s="5" t="n">
        <v>2024</v>
      </c>
      <c r="H1669" s="5" t="inlineStr">
        <is>
          <t>Junio</t>
        </is>
      </c>
      <c r="I1669" s="6" t="inlineStr">
        <is>
          <t>2024-1</t>
        </is>
      </c>
      <c r="J1669" s="5" t="n">
        <v>100</v>
      </c>
      <c r="K1669" s="9" t="n">
        <v>100</v>
      </c>
      <c r="L1669" s="14">
        <f>IFERROR(IF(OR(J1669=0,K1669=""),"",IF(E1669="Positivo",MIN(MAX(K1669/J1669,0),1.3),MIN(MAX(J1669/K1669,0),1.3))),"") </f>
        <v/>
      </c>
      <c r="M1669" s="14">
        <f>IFERROR(IF(OR(J1669=0,K1669=""),"",IF(E1669="Positivo",MAX(K1669/J1669,0),MAX(J1669/K1669,0))),"") </f>
        <v/>
      </c>
      <c r="N1669" s="5" t="inlineStr">
        <is>
          <t>ENT</t>
        </is>
      </c>
      <c r="O1669" s="11" t="inlineStr">
        <is>
          <t>ENT</t>
        </is>
      </c>
      <c r="P1669" s="15" t="n">
        <v>0</v>
      </c>
      <c r="Q1669" s="15" t="n">
        <v>0</v>
      </c>
      <c r="R1669" s="5" t="inlineStr">
        <is>
          <t>337-2024-06-30</t>
        </is>
      </c>
    </row>
    <row r="1670" hidden="1">
      <c r="A1670" s="21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01" t="n">
        <v>45657</v>
      </c>
      <c r="G1670" s="5" t="n">
        <v>2024</v>
      </c>
      <c r="H1670" s="5" t="inlineStr">
        <is>
          <t>Diciembre</t>
        </is>
      </c>
      <c r="I1670" s="6" t="inlineStr">
        <is>
          <t>2024-2</t>
        </is>
      </c>
      <c r="J1670" s="5" t="n">
        <v>100</v>
      </c>
      <c r="K1670" s="9" t="n">
        <v>0</v>
      </c>
      <c r="L1670" s="14" t="n"/>
      <c r="M1670" s="14" t="n"/>
      <c r="N1670" s="5" t="n"/>
      <c r="O1670" s="11" t="n"/>
      <c r="P1670" s="15" t="n">
        <v>0</v>
      </c>
      <c r="Q1670" s="15" t="n">
        <v>0</v>
      </c>
      <c r="R1670" s="5" t="inlineStr">
        <is>
          <t>337-2024-12-31</t>
        </is>
      </c>
      <c r="S1670" t="inlineStr">
        <is>
          <t>Metrica</t>
        </is>
      </c>
    </row>
    <row r="1671" hidden="1">
      <c r="A1671" s="21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01" t="n">
        <v>45838</v>
      </c>
      <c r="G1671" s="5" t="n">
        <v>2025</v>
      </c>
      <c r="H1671" s="5" t="inlineStr">
        <is>
          <t>Junio</t>
        </is>
      </c>
      <c r="I1671" s="6" t="inlineStr">
        <is>
          <t>2025-1</t>
        </is>
      </c>
      <c r="J1671" s="5" t="n">
        <v>100</v>
      </c>
      <c r="K1671" s="9" t="n">
        <v>0</v>
      </c>
      <c r="L1671" s="14" t="n"/>
      <c r="M1671" s="14" t="n"/>
      <c r="N1671" s="5" t="n"/>
      <c r="O1671" s="11" t="n"/>
      <c r="P1671" s="15" t="n">
        <v>0</v>
      </c>
      <c r="Q1671" s="15" t="n">
        <v>0</v>
      </c>
      <c r="R1671" s="5" t="inlineStr">
        <is>
          <t>337-2025-06-30</t>
        </is>
      </c>
      <c r="S1671" t="inlineStr">
        <is>
          <t>Metrica</t>
        </is>
      </c>
    </row>
    <row r="1672" hidden="1">
      <c r="A1672" s="21" t="n">
        <v>337</v>
      </c>
      <c r="B1672" s="5" t="inlineStr">
        <is>
          <t>Número de programas con renovación de acreditación en alta calidad - Metrica</t>
        </is>
      </c>
      <c r="C1672" s="5" t="inlineStr">
        <is>
          <t>Autoevaluación de programas académicos</t>
        </is>
      </c>
      <c r="D1672" s="5" t="inlineStr">
        <is>
          <t>Trimestral</t>
        </is>
      </c>
      <c r="E1672" s="5" t="inlineStr">
        <is>
          <t>Positivo</t>
        </is>
      </c>
      <c r="F1672" s="101" t="n">
        <v>46022</v>
      </c>
      <c r="G1672" s="5" t="n">
        <v>2025</v>
      </c>
      <c r="H1672" s="5" t="inlineStr">
        <is>
          <t>Diciembre</t>
        </is>
      </c>
      <c r="I1672" s="6" t="inlineStr">
        <is>
          <t>2025-2</t>
        </is>
      </c>
      <c r="J1672" s="5" t="n">
        <v>100</v>
      </c>
      <c r="K1672" s="9" t="n">
        <v>0</v>
      </c>
      <c r="L1672" s="14" t="n"/>
      <c r="M1672" s="14" t="n"/>
      <c r="N1672" s="5" t="n"/>
      <c r="O1672" s="11" t="n"/>
      <c r="P1672" s="15" t="n">
        <v>0</v>
      </c>
      <c r="Q1672" s="15" t="n">
        <v>0</v>
      </c>
      <c r="R1672" s="5" t="inlineStr">
        <is>
          <t>337-2025-12-31</t>
        </is>
      </c>
      <c r="S1672" t="inlineStr">
        <is>
          <t>Metrica</t>
        </is>
      </c>
    </row>
    <row r="1673" hidden="1">
      <c r="A1673" s="21" t="n">
        <v>338</v>
      </c>
      <c r="B1673" s="5" t="inlineStr">
        <is>
          <t>Número de programas con condiciones iniciales aprobadas (indicador externo)</t>
        </is>
      </c>
      <c r="C1673" s="5" t="inlineStr">
        <is>
          <t>Autoevaluación de programas académicos</t>
        </is>
      </c>
      <c r="D1673" s="5" t="inlineStr">
        <is>
          <t>Semestral</t>
        </is>
      </c>
      <c r="E1673" s="5" t="inlineStr">
        <is>
          <t>Positivo</t>
        </is>
      </c>
      <c r="F1673" s="101" t="n">
        <v>45107</v>
      </c>
      <c r="G1673" s="5" t="n">
        <v>2023</v>
      </c>
      <c r="H1673" s="5" t="inlineStr">
        <is>
          <t>Junio</t>
        </is>
      </c>
      <c r="I1673" s="6" t="inlineStr">
        <is>
          <t>2023-1</t>
        </is>
      </c>
      <c r="J1673" s="5" t="n">
        <v>100</v>
      </c>
      <c r="K1673" s="9" t="n">
        <v>100</v>
      </c>
      <c r="L1673" s="14">
        <f>IFERROR(IF(OR(J1673=0,K1673=""),"",IF(E1673="Positivo",MIN(MAX(K1673/J1673,0),1.3),MIN(MAX(J1673/K1673,0),1.3))),"") </f>
        <v/>
      </c>
      <c r="M1673" s="14">
        <f>IFERROR(IF(OR(J1673=0,K1673=""),"",IF(E1673="Positivo",MAX(K1673/J1673,0),MAX(J1673/K1673,0))),"") </f>
        <v/>
      </c>
      <c r="N1673" s="5" t="inlineStr">
        <is>
          <t>ENT</t>
        </is>
      </c>
      <c r="O1673" s="11" t="inlineStr">
        <is>
          <t>ENT</t>
        </is>
      </c>
      <c r="P1673" s="15" t="n">
        <v>0</v>
      </c>
      <c r="Q1673" s="15" t="n">
        <v>0</v>
      </c>
      <c r="R1673" s="5" t="inlineStr">
        <is>
          <t>338-2023-06-30</t>
        </is>
      </c>
    </row>
    <row r="1674" hidden="1">
      <c r="A1674" s="21" t="n">
        <v>338</v>
      </c>
      <c r="B1674" s="5" t="inlineStr">
        <is>
          <t>Número de programas con condiciones iniciales aprobadas (indicador externo)- Metrica</t>
        </is>
      </c>
      <c r="C1674" s="5" t="inlineStr">
        <is>
          <t>Autoevaluación de programas académicos</t>
        </is>
      </c>
      <c r="D1674" s="5" t="inlineStr">
        <is>
          <t>Trimestral</t>
        </is>
      </c>
      <c r="E1674" s="5" t="inlineStr">
        <is>
          <t>Positivo</t>
        </is>
      </c>
      <c r="F1674" s="101" t="n">
        <v>45291</v>
      </c>
      <c r="G1674" s="5" t="n">
        <v>2023</v>
      </c>
      <c r="H1674" s="5" t="inlineStr">
        <is>
          <t>Diciembre</t>
        </is>
      </c>
      <c r="I1674" s="6" t="inlineStr">
        <is>
          <t>2023-2</t>
        </is>
      </c>
      <c r="J1674" s="5" t="n">
        <v>0</v>
      </c>
      <c r="K1674" s="9" t="n"/>
      <c r="L1674" s="14" t="n"/>
      <c r="M1674" s="14" t="n"/>
      <c r="N1674" s="5" t="inlineStr">
        <is>
          <t>ENT</t>
        </is>
      </c>
      <c r="O1674" s="11" t="inlineStr">
        <is>
          <t>No Aplica</t>
        </is>
      </c>
      <c r="P1674" s="15" t="n">
        <v>0</v>
      </c>
      <c r="Q1674" s="15" t="n">
        <v>0</v>
      </c>
      <c r="R1674" s="5" t="inlineStr">
        <is>
          <t>338-2023-12-31</t>
        </is>
      </c>
      <c r="S1674" t="inlineStr">
        <is>
          <t>Metrica</t>
        </is>
      </c>
    </row>
    <row r="1675" hidden="1">
      <c r="A1675" s="21" t="n">
        <v>338</v>
      </c>
      <c r="B1675" s="5" t="inlineStr">
        <is>
          <t>Número de programas con condiciones iniciales aprobadas</t>
        </is>
      </c>
      <c r="C1675" s="5" t="inlineStr">
        <is>
          <t>Autoevaluación de programas académicos</t>
        </is>
      </c>
      <c r="D1675" s="5" t="inlineStr">
        <is>
          <t>Semestral</t>
        </is>
      </c>
      <c r="E1675" s="5" t="inlineStr">
        <is>
          <t>Positivo</t>
        </is>
      </c>
      <c r="F1675" s="101" t="n">
        <v>45473</v>
      </c>
      <c r="G1675" s="5" t="n">
        <v>2024</v>
      </c>
      <c r="H1675" s="5" t="inlineStr">
        <is>
          <t>Junio</t>
        </is>
      </c>
      <c r="I1675" s="6" t="inlineStr">
        <is>
          <t>2024-1</t>
        </is>
      </c>
      <c r="J1675" s="5" t="n">
        <v>100</v>
      </c>
      <c r="K1675" s="9" t="n">
        <v>100</v>
      </c>
      <c r="L1675" s="14">
        <f>IFERROR(IF(OR(J1675=0,K1675=""),"",IF(E1675="Positivo",MIN(MAX(K1675/J1675,0),1.3),MIN(MAX(J1675/K1675,0),1.3))),"") </f>
        <v/>
      </c>
      <c r="M1675" s="14">
        <f>IFERROR(IF(OR(J1675=0,K1675=""),"",IF(E1675="Positivo",MAX(K1675/J1675,0),MAX(J1675/K1675,0))),"") </f>
        <v/>
      </c>
      <c r="N1675" s="5" t="inlineStr">
        <is>
          <t>ENT</t>
        </is>
      </c>
      <c r="O1675" s="11" t="inlineStr">
        <is>
          <t>ENT</t>
        </is>
      </c>
      <c r="P1675" s="15" t="n">
        <v>0</v>
      </c>
      <c r="Q1675" s="15" t="n">
        <v>0</v>
      </c>
      <c r="R1675" s="5" t="inlineStr">
        <is>
          <t>338-2024-06-30</t>
        </is>
      </c>
    </row>
    <row r="1676" hidden="1">
      <c r="A1676" s="21" t="n">
        <v>338</v>
      </c>
      <c r="B1676" s="5" t="inlineStr">
        <is>
          <t>Número de programas con condiciones iniciales aprobadas (indicador externo)- Metrica</t>
        </is>
      </c>
      <c r="C1676" s="5" t="inlineStr">
        <is>
          <t>Autoevaluación de programas académicos</t>
        </is>
      </c>
      <c r="D1676" s="5" t="inlineStr">
        <is>
          <t>Trimestral</t>
        </is>
      </c>
      <c r="E1676" s="5" t="inlineStr">
        <is>
          <t>Positivo</t>
        </is>
      </c>
      <c r="F1676" s="101" t="n">
        <v>45657</v>
      </c>
      <c r="G1676" s="5" t="n">
        <v>2024</v>
      </c>
      <c r="H1676" s="5" t="inlineStr">
        <is>
          <t>Diciembre</t>
        </is>
      </c>
      <c r="I1676" s="6" t="inlineStr">
        <is>
          <t>2024-2</t>
        </is>
      </c>
      <c r="J1676" s="5" t="n">
        <v>100</v>
      </c>
      <c r="K1676" s="10" t="n">
        <v>0</v>
      </c>
      <c r="L1676" s="14" t="n"/>
      <c r="M1676" s="14" t="n"/>
      <c r="N1676" s="5" t="inlineStr">
        <is>
          <t>ENT</t>
        </is>
      </c>
      <c r="O1676" s="5" t="inlineStr">
        <is>
          <t>ENT</t>
        </is>
      </c>
      <c r="P1676" s="15" t="n">
        <v>0</v>
      </c>
      <c r="Q1676" s="15" t="n">
        <v>0</v>
      </c>
      <c r="R1676" s="5" t="inlineStr">
        <is>
          <t>338-2024-12-31</t>
        </is>
      </c>
      <c r="S1676" t="inlineStr">
        <is>
          <t>Metrica</t>
        </is>
      </c>
    </row>
    <row r="1677" hidden="1">
      <c r="A1677" s="21" t="n">
        <v>338</v>
      </c>
      <c r="B1677" s="5" t="inlineStr">
        <is>
          <t>Número de programas con condiciones iniciales aprobadas</t>
        </is>
      </c>
      <c r="C1677" s="5" t="inlineStr">
        <is>
          <t>Autoevaluación de programas académicos</t>
        </is>
      </c>
      <c r="D1677" s="5" t="inlineStr">
        <is>
          <t>Semestral</t>
        </is>
      </c>
      <c r="E1677" s="5" t="inlineStr">
        <is>
          <t>Positivo</t>
        </is>
      </c>
      <c r="F1677" s="101" t="n">
        <v>45838</v>
      </c>
      <c r="G1677" s="5" t="n">
        <v>2025</v>
      </c>
      <c r="H1677" s="5" t="inlineStr">
        <is>
          <t>Junio</t>
        </is>
      </c>
      <c r="I1677" s="6" t="inlineStr">
        <is>
          <t>2025-1</t>
        </is>
      </c>
      <c r="J1677" s="5" t="n">
        <v>100</v>
      </c>
      <c r="K1677" s="10" t="n">
        <v>100</v>
      </c>
      <c r="L1677" s="14">
        <f>IFERROR(IF(OR(J1677=0,K1677=""),"",IF(E1677="Positivo",MIN(MAX(K1677/J1677,0),1.3),MIN(MAX(J1677/K1677,0),1.3))),"") </f>
        <v/>
      </c>
      <c r="M1677" s="14">
        <f>IFERROR(IF(OR(J1677=0,K1677=""),"",IF(E1677="Positivo",MAX(K1677/J1677,0),MAX(J1677/K1677,0))),"") </f>
        <v/>
      </c>
      <c r="N1677" s="5" t="inlineStr">
        <is>
          <t>ENT</t>
        </is>
      </c>
      <c r="O1677" s="5" t="inlineStr">
        <is>
          <t>ENT</t>
        </is>
      </c>
      <c r="P1677" s="15" t="n">
        <v>0</v>
      </c>
      <c r="Q1677" s="15" t="n">
        <v>0</v>
      </c>
      <c r="R1677" s="5" t="inlineStr">
        <is>
          <t>338-2025-06-30</t>
        </is>
      </c>
    </row>
    <row r="1678" hidden="1">
      <c r="A1678" s="21" t="n">
        <v>338</v>
      </c>
      <c r="B1678" s="5" t="inlineStr">
        <is>
          <t>Número de programas con condiciones iniciales aprobadas (indicador externo)- Metrica</t>
        </is>
      </c>
      <c r="C1678" s="5" t="inlineStr">
        <is>
          <t>Autoevaluación de programas académicos</t>
        </is>
      </c>
      <c r="D1678" s="5" t="inlineStr">
        <is>
          <t>Trimestral</t>
        </is>
      </c>
      <c r="E1678" s="5" t="inlineStr">
        <is>
          <t>Positivo</t>
        </is>
      </c>
      <c r="F1678" s="101" t="n">
        <v>46022</v>
      </c>
      <c r="G1678" s="5" t="n">
        <v>2025</v>
      </c>
      <c r="H1678" s="5" t="inlineStr">
        <is>
          <t>Diciembre</t>
        </is>
      </c>
      <c r="I1678" s="6" t="inlineStr">
        <is>
          <t>2025-2</t>
        </is>
      </c>
      <c r="J1678" s="5" t="n">
        <v>100</v>
      </c>
      <c r="K1678" s="10" t="n">
        <v>100</v>
      </c>
      <c r="L1678" s="14" t="n"/>
      <c r="M1678" s="14" t="n"/>
      <c r="N1678" s="5" t="inlineStr">
        <is>
          <t>ENT</t>
        </is>
      </c>
      <c r="O1678" s="5" t="inlineStr">
        <is>
          <t>ENT</t>
        </is>
      </c>
      <c r="P1678" s="15" t="n">
        <v>0</v>
      </c>
      <c r="Q1678" s="15" t="n">
        <v>0</v>
      </c>
      <c r="R1678" s="5" t="inlineStr">
        <is>
          <t>338-2025-12-31</t>
        </is>
      </c>
      <c r="S1678" t="inlineStr">
        <is>
          <t>Metrica</t>
        </is>
      </c>
    </row>
    <row r="1679" hidden="1">
      <c r="A1679" s="21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01" t="n">
        <v>45291</v>
      </c>
      <c r="G1679" s="5" t="n">
        <v>2023</v>
      </c>
      <c r="H1679" s="5" t="inlineStr">
        <is>
          <t>Diciembre</t>
        </is>
      </c>
      <c r="I1679" s="6" t="inlineStr">
        <is>
          <t>2023-2</t>
        </is>
      </c>
      <c r="J1679" s="5" t="n">
        <v>30</v>
      </c>
      <c r="K1679" s="10" t="n">
        <v>28.57142857142857</v>
      </c>
      <c r="L1679" s="14">
        <f>IFERROR(IF(OR(J1679=0,K1679=""),"",IF(E1679="Positivo",MIN(MAX(K1679/J1679,0),1.3),MIN(MAX(J1679/K1679,0),1.3))),"") </f>
        <v/>
      </c>
      <c r="M1679" s="14">
        <f>IFERROR(IF(OR(J1679=0,K1679=""),"",IF(E1679="Positivo",MAX(K1679/J1679,0),MAX(J1679/K1679,0))),"") </f>
        <v/>
      </c>
      <c r="N1679" s="5" t="inlineStr">
        <is>
          <t>%</t>
        </is>
      </c>
      <c r="O1679" s="5" t="inlineStr">
        <is>
          <t>%</t>
        </is>
      </c>
      <c r="P1679" s="15" t="n">
        <v>2</v>
      </c>
      <c r="Q1679" s="15" t="n">
        <v>2</v>
      </c>
      <c r="R1679" s="5" t="inlineStr">
        <is>
          <t>339-2023-12-31</t>
        </is>
      </c>
    </row>
    <row r="1680" hidden="1">
      <c r="A1680" s="21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01" t="n">
        <v>45657</v>
      </c>
      <c r="G1680" s="5" t="n">
        <v>2024</v>
      </c>
      <c r="H1680" s="5" t="inlineStr">
        <is>
          <t>Diciembre</t>
        </is>
      </c>
      <c r="I1680" s="6" t="inlineStr">
        <is>
          <t>2024-2</t>
        </is>
      </c>
      <c r="J1680" s="5" t="n">
        <v>30</v>
      </c>
      <c r="K1680" s="10" t="n">
        <v>30.3</v>
      </c>
      <c r="L1680" s="14">
        <f>IFERROR(IF(OR(J1680=0,K1680=""),"",IF(E1680="Positivo",MIN(MAX(K1680/J1680,0),1.3),MIN(MAX(J1680/K1680,0),1.3))),"") </f>
        <v/>
      </c>
      <c r="M1680" s="14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15" t="n">
        <v>2</v>
      </c>
      <c r="Q1680" s="15" t="n">
        <v>2</v>
      </c>
      <c r="R1680" s="5" t="inlineStr">
        <is>
          <t>339-2024-12-31</t>
        </is>
      </c>
    </row>
    <row r="1681" hidden="1">
      <c r="A1681" s="21" t="n">
        <v>339</v>
      </c>
      <c r="B1681" s="5" t="inlineStr">
        <is>
          <t>Programas acreditables acreditados Sede Bogotá</t>
        </is>
      </c>
      <c r="C1681" s="5" t="inlineStr">
        <is>
          <t>Autoevaluación institucional</t>
        </is>
      </c>
      <c r="D1681" s="5" t="inlineStr">
        <is>
          <t>Anual</t>
        </is>
      </c>
      <c r="E1681" s="5" t="inlineStr">
        <is>
          <t>Positivo</t>
        </is>
      </c>
      <c r="F1681" s="101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30</v>
      </c>
      <c r="K1681" s="10" t="n">
        <v>35.29</v>
      </c>
      <c r="L1681" s="14">
        <f>IFERROR(IF(OR(J1681=0,K1681=""),"",IF(E1681="Positivo",MIN(MAX(K1681/J1681,0),1.3),MIN(MAX(J1681/K1681,0),1.3))),"") </f>
        <v/>
      </c>
      <c r="M1681" s="14">
        <f>IFERROR(IF(OR(J1681=0,K1681=""),"",IF(E1681="Positivo",MAX(K1681/J1681,0),MAX(J1681/K1681,0))),"") </f>
        <v/>
      </c>
      <c r="N1681" s="5" t="inlineStr">
        <is>
          <t>%</t>
        </is>
      </c>
      <c r="O1681" s="5" t="inlineStr">
        <is>
          <t>%</t>
        </is>
      </c>
      <c r="P1681" s="15" t="n">
        <v>0</v>
      </c>
      <c r="Q1681" s="15" t="n">
        <v>1</v>
      </c>
      <c r="R1681" s="5" t="inlineStr">
        <is>
          <t>339-2025-12-31</t>
        </is>
      </c>
    </row>
    <row r="1682" hidden="1">
      <c r="A1682" s="21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00" t="n">
        <v>45016</v>
      </c>
      <c r="G1682" s="5" t="n">
        <v>2023</v>
      </c>
      <c r="H1682" s="5" t="inlineStr">
        <is>
          <t>Marzo</t>
        </is>
      </c>
      <c r="I1682" s="6" t="inlineStr">
        <is>
          <t>2023-1</t>
        </is>
      </c>
      <c r="J1682" s="5" t="n">
        <v>90</v>
      </c>
      <c r="K1682" s="5" t="n">
        <v>100</v>
      </c>
      <c r="L1682" s="14">
        <f>IFERROR(IF(OR(J1682=0,K1682=""),"",IF(E1682="Positivo",MIN(MAX(K1682/J1682,0),1.3),MIN(MAX(J1682/K1682,0),1.3))),"") </f>
        <v/>
      </c>
      <c r="M1682" s="14">
        <f>IFERROR(IF(OR(J1682=0,K1682=""),"",IF(E1682="Positivo",MAX(K1682/J1682,0),MAX(J1682/K1682,0))),"") </f>
        <v/>
      </c>
      <c r="N1682" s="5" t="inlineStr">
        <is>
          <t>%</t>
        </is>
      </c>
      <c r="O1682" s="5" t="inlineStr">
        <is>
          <t>%</t>
        </is>
      </c>
      <c r="P1682" s="15" t="n">
        <v>0</v>
      </c>
      <c r="Q1682" s="15" t="n">
        <v>0</v>
      </c>
      <c r="R1682" s="5" t="inlineStr">
        <is>
          <t>340-2023-03-31</t>
        </is>
      </c>
    </row>
    <row r="1683" hidden="1">
      <c r="A1683" s="5" t="n">
        <v>340</v>
      </c>
      <c r="B1683" s="5" t="inlineStr">
        <is>
          <t>Cumplimiento cronograma revisiones locativas</t>
        </is>
      </c>
      <c r="C1683" s="5" t="inlineStr">
        <is>
          <t>Gestión Infraestructura Física</t>
        </is>
      </c>
      <c r="D1683" s="5" t="inlineStr">
        <is>
          <t>Trimestral</t>
        </is>
      </c>
      <c r="E1683" s="5" t="inlineStr">
        <is>
          <t>Positivo</t>
        </is>
      </c>
      <c r="F1683" s="101" t="n">
        <v>45107</v>
      </c>
      <c r="G1683" s="5" t="n">
        <v>2023</v>
      </c>
      <c r="H1683" s="5" t="inlineStr">
        <is>
          <t>Junio</t>
        </is>
      </c>
      <c r="I1683" s="6" t="inlineStr">
        <is>
          <t>2023-1</t>
        </is>
      </c>
      <c r="J1683" s="5" t="n">
        <v>90</v>
      </c>
      <c r="K1683" s="5" t="n">
        <v>100</v>
      </c>
      <c r="L1683" s="14">
        <f>IFERROR(IF(OR(J1683=0,K1683=""),"",IF(E1683="Positivo",MIN(MAX(K1683/J1683,0),1.3),MIN(MAX(J1683/K1683,0),1.3))),"") </f>
        <v/>
      </c>
      <c r="M1683" s="14">
        <f>IFERROR(IF(OR(J1683=0,K1683=""),"",IF(E1683="Positivo",MAX(K1683/J1683,0),MAX(J1683/K1683,0))),"") </f>
        <v/>
      </c>
      <c r="N1683" s="5" t="inlineStr">
        <is>
          <t>%</t>
        </is>
      </c>
      <c r="O1683" s="5" t="inlineStr">
        <is>
          <t>%</t>
        </is>
      </c>
      <c r="P1683" s="5" t="n">
        <v>0</v>
      </c>
      <c r="Q1683" s="5" t="n">
        <v>0</v>
      </c>
      <c r="R1683" s="5" t="inlineStr">
        <is>
          <t>340-2023-06-30</t>
        </is>
      </c>
    </row>
    <row r="1684" hidden="1">
      <c r="A1684" s="26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01" t="n">
        <v>45199</v>
      </c>
      <c r="G1684" s="5" t="n">
        <v>2023</v>
      </c>
      <c r="H1684" s="5" t="inlineStr">
        <is>
          <t>Septiembre</t>
        </is>
      </c>
      <c r="I1684" s="6" t="inlineStr">
        <is>
          <t>2023-2</t>
        </is>
      </c>
      <c r="J1684" s="5" t="n">
        <v>90</v>
      </c>
      <c r="K1684" s="9" t="n">
        <v>100</v>
      </c>
      <c r="L1684" s="14">
        <f>IFERROR(IF(OR(J1684=0,K1684=""),"",IF(E1684="Positivo",MIN(MAX(K1684/J1684,0),1.3),MIN(MAX(J1684/K1684,0),1.3))),"") </f>
        <v/>
      </c>
      <c r="M1684" s="14">
        <f>IFERROR(IF(OR(J1684=0,K1684=""),"",IF(E1684="Positivo",MAX(K1684/J1684,0),MAX(J1684/K1684,0))),"") </f>
        <v/>
      </c>
      <c r="N1684" s="5" t="inlineStr">
        <is>
          <t>%</t>
        </is>
      </c>
      <c r="O1684" s="5" t="inlineStr">
        <is>
          <t>%</t>
        </is>
      </c>
      <c r="P1684" s="15" t="n">
        <v>0</v>
      </c>
      <c r="Q1684" s="15" t="n">
        <v>0</v>
      </c>
      <c r="R1684" s="5" t="inlineStr">
        <is>
          <t>340-2023-09-30</t>
        </is>
      </c>
    </row>
    <row r="1685" hidden="1">
      <c r="A1685" s="21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01" t="n">
        <v>45291</v>
      </c>
      <c r="G1685" s="5" t="n">
        <v>2023</v>
      </c>
      <c r="H1685" s="5" t="inlineStr">
        <is>
          <t>Diciembre</t>
        </is>
      </c>
      <c r="I1685" s="6" t="inlineStr">
        <is>
          <t>2023-2</t>
        </is>
      </c>
      <c r="J1685" s="5" t="n">
        <v>90</v>
      </c>
      <c r="K1685" s="10" t="n">
        <v>100</v>
      </c>
      <c r="L1685" s="14">
        <f>IFERROR(IF(OR(J1685=0,K1685=""),"",IF(E1685="Positivo",MIN(MAX(K1685/J1685,0),1.3),MIN(MAX(J1685/K1685,0),1.3))),"") </f>
        <v/>
      </c>
      <c r="M1685" s="14">
        <f>IFERROR(IF(OR(J1685=0,K1685=""),"",IF(E1685="Positivo",MAX(K1685/J1685,0),MAX(J1685/K1685,0))),"") </f>
        <v/>
      </c>
      <c r="N1685" s="5" t="inlineStr">
        <is>
          <t>%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340-2023-12-31</t>
        </is>
      </c>
    </row>
    <row r="1686" hidden="1">
      <c r="A1686" s="26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01" t="n">
        <v>45382</v>
      </c>
      <c r="G1686" s="5" t="n">
        <v>2024</v>
      </c>
      <c r="H1686" s="5" t="inlineStr">
        <is>
          <t>Marzo</t>
        </is>
      </c>
      <c r="I1686" s="6" t="inlineStr">
        <is>
          <t>2024-1</t>
        </is>
      </c>
      <c r="J1686" s="5" t="n">
        <v>95</v>
      </c>
      <c r="K1686" s="5" t="n">
        <v>100</v>
      </c>
      <c r="L1686" s="14">
        <f>IFERROR(IF(OR(J1686=0,K1686=""),"",IF(E1686="Positivo",MIN(MAX(K1686/J1686,0),1.3),MIN(MAX(J1686/K1686,0),1.3))),"") </f>
        <v/>
      </c>
      <c r="M1686" s="14">
        <f>IFERROR(IF(OR(J1686=0,K1686=""),"",IF(E1686="Positivo",MAX(K1686/J1686,0),MAX(J1686/K1686,0))),"") </f>
        <v/>
      </c>
      <c r="N1686" s="5" t="inlineStr">
        <is>
          <t>%</t>
        </is>
      </c>
      <c r="O1686" s="5" t="inlineStr">
        <is>
          <t>%</t>
        </is>
      </c>
      <c r="P1686" s="15" t="n">
        <v>0</v>
      </c>
      <c r="Q1686" s="15" t="n">
        <v>0</v>
      </c>
      <c r="R1686" s="5" t="inlineStr">
        <is>
          <t>340-2024-03-31</t>
        </is>
      </c>
    </row>
    <row r="1687" hidden="1">
      <c r="A1687" s="26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01" t="n">
        <v>45473</v>
      </c>
      <c r="G1687" s="5" t="n">
        <v>2024</v>
      </c>
      <c r="H1687" s="5" t="inlineStr">
        <is>
          <t>Junio</t>
        </is>
      </c>
      <c r="I1687" s="6" t="inlineStr">
        <is>
          <t>2024-1</t>
        </is>
      </c>
      <c r="J1687" s="5" t="n">
        <v>95</v>
      </c>
      <c r="K1687" s="5" t="n">
        <v>100</v>
      </c>
      <c r="L1687" s="14">
        <f>IFERROR(IF(OR(J1687=0,K1687=""),"",IF(E1687="Positivo",MIN(MAX(K1687/J1687,0),1.3),MIN(MAX(J1687/K1687,0),1.3))),"") </f>
        <v/>
      </c>
      <c r="M1687" s="14">
        <f>IFERROR(IF(OR(J1687=0,K1687=""),"",IF(E1687="Positivo",MAX(K1687/J1687,0),MAX(J1687/K1687,0))),"") </f>
        <v/>
      </c>
      <c r="N1687" s="5" t="inlineStr">
        <is>
          <t>%</t>
        </is>
      </c>
      <c r="O1687" s="5" t="inlineStr">
        <is>
          <t>%</t>
        </is>
      </c>
      <c r="P1687" s="15" t="n">
        <v>0</v>
      </c>
      <c r="Q1687" s="15" t="n">
        <v>0</v>
      </c>
      <c r="R1687" s="5" t="inlineStr">
        <is>
          <t>340-2024-06-30</t>
        </is>
      </c>
    </row>
    <row r="1688" hidden="1">
      <c r="A1688" s="5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01" t="n">
        <v>45565</v>
      </c>
      <c r="G1688" s="5" t="n">
        <v>2024</v>
      </c>
      <c r="H1688" s="5" t="inlineStr">
        <is>
          <t>Septiembre</t>
        </is>
      </c>
      <c r="I1688" s="6" t="inlineStr">
        <is>
          <t>2024-2</t>
        </is>
      </c>
      <c r="J1688" s="5" t="n">
        <v>95</v>
      </c>
      <c r="K1688" s="5" t="n">
        <v>100</v>
      </c>
      <c r="L1688" s="14">
        <f>IFERROR(IF(OR(J1688=0,K1688=""),"",IF(E1688="Positivo",MIN(MAX(K1688/J1688,0),1.3),MIN(MAX(J1688/K1688,0),1.3))),"") </f>
        <v/>
      </c>
      <c r="M1688" s="14">
        <f>IFERROR(IF(OR(J1688=0,K1688=""),"",IF(E1688="Positivo",MAX(K1688/J1688,0),MAX(J1688/K1688,0))),"") </f>
        <v/>
      </c>
      <c r="N1688" s="5" t="inlineStr">
        <is>
          <t>%</t>
        </is>
      </c>
      <c r="O1688" s="5" t="inlineStr">
        <is>
          <t>%</t>
        </is>
      </c>
      <c r="P1688" s="5" t="n">
        <v>0</v>
      </c>
      <c r="Q1688" s="5" t="n">
        <v>0</v>
      </c>
      <c r="R1688" s="5" t="inlineStr">
        <is>
          <t>340-2024-09-30</t>
        </is>
      </c>
    </row>
    <row r="1689" hidden="1">
      <c r="A1689" s="5" t="n">
        <v>340</v>
      </c>
      <c r="B1689" s="5" t="inlineStr">
        <is>
          <t>Cumplimiento cronograma revisiones locativas</t>
        </is>
      </c>
      <c r="C1689" s="5" t="inlineStr">
        <is>
          <t>Gestión Infraestructura Física</t>
        </is>
      </c>
      <c r="D1689" s="5" t="inlineStr">
        <is>
          <t>Trimestral</t>
        </is>
      </c>
      <c r="E1689" s="5" t="inlineStr">
        <is>
          <t>Positivo</t>
        </is>
      </c>
      <c r="F1689" s="101" t="n">
        <v>45657</v>
      </c>
      <c r="G1689" s="5" t="n">
        <v>2024</v>
      </c>
      <c r="H1689" s="5" t="inlineStr">
        <is>
          <t>Diciembre</t>
        </is>
      </c>
      <c r="I1689" s="6" t="inlineStr">
        <is>
          <t>2024-2</t>
        </is>
      </c>
      <c r="J1689" s="5" t="n">
        <v>95</v>
      </c>
      <c r="K1689" s="5" t="n">
        <v>100</v>
      </c>
      <c r="L1689" s="14">
        <f>IFERROR(IF(OR(J1689=0,K1689=""),"",IF(E1689="Positivo",MIN(MAX(K1689/J1689,0),1.3),MIN(MAX(J1689/K1689,0),1.3))),"") </f>
        <v/>
      </c>
      <c r="M1689" s="14">
        <f>IFERROR(IF(OR(J1689=0,K1689=""),"",IF(E1689="Positivo",MAX(K1689/J1689,0),MAX(J1689/K1689,0))),"") </f>
        <v/>
      </c>
      <c r="N1689" s="5" t="inlineStr">
        <is>
          <t>%</t>
        </is>
      </c>
      <c r="O1689" s="5" t="inlineStr">
        <is>
          <t>%</t>
        </is>
      </c>
      <c r="P1689" s="5" t="n">
        <v>0</v>
      </c>
      <c r="Q1689" s="5" t="n">
        <v>0</v>
      </c>
      <c r="R1689" s="5" t="inlineStr">
        <is>
          <t>340-2024-12-31</t>
        </is>
      </c>
    </row>
    <row r="1690" hidden="1">
      <c r="A1690" s="5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01" t="n">
        <v>45107</v>
      </c>
      <c r="G1690" s="5" t="n">
        <v>2023</v>
      </c>
      <c r="H1690" s="5" t="inlineStr">
        <is>
          <t>Junio</t>
        </is>
      </c>
      <c r="I1690" s="6" t="inlineStr">
        <is>
          <t>2023-1</t>
        </is>
      </c>
      <c r="J1690" s="5" t="n">
        <v>100</v>
      </c>
      <c r="K1690" s="5" t="n">
        <v>123.86966666667</v>
      </c>
      <c r="L1690" s="14">
        <f>IFERROR(IF(OR(J1690=0,K1690=""),"",IF(E1690="Positivo",MIN(MAX(K1690/J1690,0),1.3),MIN(MAX(J1690/K1690,0),1.3))),"") </f>
        <v/>
      </c>
      <c r="M1690" s="14">
        <f>IFERROR(IF(OR(J1690=0,K1690=""),"",IF(E1690="Positivo",MAX(K1690/J1690,0),MAX(J1690/K1690,0))),"") </f>
        <v/>
      </c>
      <c r="N1690" s="5" t="inlineStr">
        <is>
          <t>$</t>
        </is>
      </c>
      <c r="O1690" s="5" t="inlineStr">
        <is>
          <t>$</t>
        </is>
      </c>
      <c r="P1690" s="5" t="n">
        <v>0</v>
      </c>
      <c r="Q1690" s="5" t="n">
        <v>0</v>
      </c>
      <c r="R1690" s="5" t="inlineStr">
        <is>
          <t>341-2023-06-30</t>
        </is>
      </c>
    </row>
    <row r="1691" hidden="1">
      <c r="A1691" s="5" t="n">
        <v>341</v>
      </c>
      <c r="B1691" s="5" t="inlineStr">
        <is>
          <t>Monto total de ahorro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01" t="n">
        <v>45291</v>
      </c>
      <c r="G1691" s="5" t="n">
        <v>2023</v>
      </c>
      <c r="H1691" s="5" t="inlineStr">
        <is>
          <t>Diciembre</t>
        </is>
      </c>
      <c r="I1691" s="6" t="inlineStr">
        <is>
          <t>2023-2</t>
        </is>
      </c>
      <c r="J1691" s="5" t="n">
        <v>100</v>
      </c>
      <c r="K1691" s="5" t="n">
        <v>130.57</v>
      </c>
      <c r="L1691" s="14">
        <f>IFERROR(IF(OR(J1691=0,K1691=""),"",IF(E1691="Positivo",MIN(MAX(K1691/J1691,0),1.3),MIN(MAX(J1691/K1691,0),1.3))),"") </f>
        <v/>
      </c>
      <c r="M1691" s="14">
        <f>IFERROR(IF(OR(J1691=0,K1691=""),"",IF(E1691="Positivo",MAX(K1691/J1691,0),MAX(J1691/K1691,0))),"") </f>
        <v/>
      </c>
      <c r="N1691" s="5" t="inlineStr">
        <is>
          <t>$</t>
        </is>
      </c>
      <c r="O1691" s="5" t="inlineStr">
        <is>
          <t>$</t>
        </is>
      </c>
      <c r="P1691" s="5" t="n">
        <v>0</v>
      </c>
      <c r="Q1691" s="5" t="n">
        <v>0</v>
      </c>
      <c r="R1691" s="5" t="inlineStr">
        <is>
          <t>341-2023-12-31</t>
        </is>
      </c>
    </row>
    <row r="1692" hidden="1">
      <c r="A1692" s="21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01" t="n">
        <v>45473</v>
      </c>
      <c r="G1692" s="5" t="n">
        <v>2024</v>
      </c>
      <c r="H1692" s="5" t="inlineStr">
        <is>
          <t>Junio</t>
        </is>
      </c>
      <c r="I1692" s="6" t="inlineStr">
        <is>
          <t>2024-1</t>
        </is>
      </c>
      <c r="J1692" s="5" t="n">
        <v>100</v>
      </c>
      <c r="K1692" s="10" t="n">
        <v>125</v>
      </c>
      <c r="L1692" s="14">
        <f>IFERROR(IF(OR(J1692=0,K1692=""),"",IF(E1692="Positivo",MIN(MAX(K1692/J1692,0),1.3),MIN(MAX(J1692/K1692,0),1.3))),"") </f>
        <v/>
      </c>
      <c r="M1692" s="14">
        <f>IFERROR(IF(OR(J1692=0,K1692=""),"",IF(E1692="Positivo",MAX(K1692/J1692,0),MAX(J1692/K1692,0))),"") </f>
        <v/>
      </c>
      <c r="N1692" s="5" t="inlineStr">
        <is>
          <t>$</t>
        </is>
      </c>
      <c r="O1692" s="5" t="inlineStr">
        <is>
          <t>$</t>
        </is>
      </c>
      <c r="P1692" s="15" t="n">
        <v>0</v>
      </c>
      <c r="Q1692" s="15" t="n">
        <v>0</v>
      </c>
      <c r="R1692" s="5" t="inlineStr">
        <is>
          <t>341-2024-06-30</t>
        </is>
      </c>
    </row>
    <row r="1693" hidden="1">
      <c r="A1693" s="5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01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100</v>
      </c>
      <c r="K1693" s="5" t="n">
        <v>102.44</v>
      </c>
      <c r="L1693" s="14">
        <f>IFERROR(IF(OR(J1693=0,K1693=""),"",IF(E1693="Positivo",MIN(MAX(K1693/J1693,0),1.3),MIN(MAX(J1693/K1693,0),1.3))),"") </f>
        <v/>
      </c>
      <c r="M1693" s="14">
        <f>IFERROR(IF(OR(J1693=0,K1693=""),"",IF(E1693="Positivo",MAX(K1693/J1693,0),MAX(J1693/K1693,0))),"") </f>
        <v/>
      </c>
      <c r="N1693" s="5" t="inlineStr">
        <is>
          <t>$</t>
        </is>
      </c>
      <c r="O1693" s="5" t="inlineStr">
        <is>
          <t>$</t>
        </is>
      </c>
      <c r="P1693" s="5" t="n">
        <v>0</v>
      </c>
      <c r="Q1693" s="5" t="n">
        <v>0</v>
      </c>
      <c r="R1693" s="5" t="inlineStr">
        <is>
          <t>341-2024-12-31</t>
        </is>
      </c>
    </row>
    <row r="1694" hidden="1">
      <c r="A1694" s="5" t="n">
        <v>341</v>
      </c>
      <c r="B1694" s="5" t="inlineStr">
        <is>
          <t>Reducción de costos en gestión de abastecimiento</t>
        </is>
      </c>
      <c r="C1694" s="5" t="inlineStr">
        <is>
          <t>GESTIÓN DE ABASTECIMIENTO</t>
        </is>
      </c>
      <c r="D1694" s="5" t="inlineStr">
        <is>
          <t>Semestral</t>
        </is>
      </c>
      <c r="E1694" s="5" t="inlineStr">
        <is>
          <t>Positivo</t>
        </is>
      </c>
      <c r="F1694" s="101" t="n">
        <v>45838</v>
      </c>
      <c r="G1694" s="5" t="n">
        <v>2025</v>
      </c>
      <c r="H1694" s="5" t="inlineStr">
        <is>
          <t>Junio</t>
        </is>
      </c>
      <c r="I1694" s="6" t="inlineStr">
        <is>
          <t>2025-1</t>
        </is>
      </c>
      <c r="J1694" s="5" t="n">
        <v>100</v>
      </c>
      <c r="K1694" s="5" t="n">
        <v>102.25</v>
      </c>
      <c r="L1694" s="14">
        <f>IFERROR(IF(OR(J1694=0,K1694=""),"",IF(E1694="Positivo",MIN(MAX(K1694/J1694,0),1.3),MIN(MAX(J1694/K1694,0),1.3))),"") </f>
        <v/>
      </c>
      <c r="M1694" s="14">
        <f>IFERROR(IF(OR(J1694=0,K1694=""),"",IF(E1694="Positivo",MAX(K1694/J1694,0),MAX(J1694/K1694,0))),"") </f>
        <v/>
      </c>
      <c r="N1694" s="5" t="inlineStr">
        <is>
          <t>$</t>
        </is>
      </c>
      <c r="O1694" s="5" t="inlineStr">
        <is>
          <t>$</t>
        </is>
      </c>
      <c r="P1694" s="5" t="n">
        <v>0</v>
      </c>
      <c r="Q1694" s="5" t="n">
        <v>0</v>
      </c>
      <c r="R1694" s="5" t="inlineStr">
        <is>
          <t>341-2025-06-30</t>
        </is>
      </c>
    </row>
    <row r="1695" hidden="1">
      <c r="A1695" s="5" t="n">
        <v>341</v>
      </c>
      <c r="B1695" s="5" t="inlineStr">
        <is>
          <t>Eficiencia en la reducción de costos en la gestión del abastecimiento</t>
        </is>
      </c>
      <c r="C1695" s="5" t="inlineStr">
        <is>
          <t>GESTIÓN DE ABASTECIMIENTO</t>
        </is>
      </c>
      <c r="D1695" s="5" t="inlineStr">
        <is>
          <t>Trimestral</t>
        </is>
      </c>
      <c r="E1695" s="5" t="inlineStr">
        <is>
          <t>Positivo</t>
        </is>
      </c>
      <c r="F1695" s="101" t="n">
        <v>46022</v>
      </c>
      <c r="G1695" s="5" t="n">
        <v>2025</v>
      </c>
      <c r="H1695" s="5" t="inlineStr">
        <is>
          <t>Diciembre</t>
        </is>
      </c>
      <c r="I1695" s="6" t="inlineStr">
        <is>
          <t>2025-2</t>
        </is>
      </c>
      <c r="J1695" s="5" t="n">
        <v>100</v>
      </c>
      <c r="K1695" s="5" t="n">
        <v>102.65</v>
      </c>
      <c r="L1695" s="14">
        <f>IFERROR(IF(OR(J1695=0,K1695=""),"",IF(E1695="Positivo",MIN(MAX(K1695/J1695,0),1.3),MIN(MAX(J1695/K1695,0),1.3))),"") </f>
        <v/>
      </c>
      <c r="M1695" s="14">
        <f>IFERROR(IF(OR(J1695=0,K1695=""),"",IF(E1695="Positivo",MAX(K1695/J1695,0),MAX(J1695/K1695,0))),"") </f>
        <v/>
      </c>
      <c r="N1695" s="5" t="inlineStr">
        <is>
          <t>$</t>
        </is>
      </c>
      <c r="O1695" s="5" t="inlineStr">
        <is>
          <t>$</t>
        </is>
      </c>
      <c r="P1695" s="5" t="n">
        <v>0</v>
      </c>
      <c r="Q1695" s="5" t="n">
        <v>0</v>
      </c>
      <c r="R1695" s="5" t="inlineStr">
        <is>
          <t>341-2025-12-31</t>
        </is>
      </c>
    </row>
    <row r="1696" hidden="1">
      <c r="A1696" s="24" t="n">
        <v>344</v>
      </c>
      <c r="B1696" s="16" t="inlineStr">
        <is>
          <t>Cumplimiento del plan de Inducción institucional</t>
        </is>
      </c>
      <c r="C1696" s="16" t="inlineStr">
        <is>
          <t>GESTIÓN Y DESARROLLO DEL TALENTO HUMANO</t>
        </is>
      </c>
      <c r="D1696" s="16" t="inlineStr">
        <is>
          <t>Semestral</t>
        </is>
      </c>
      <c r="E1696" s="16" t="inlineStr">
        <is>
          <t>Positivo</t>
        </is>
      </c>
      <c r="F1696" s="106" t="n">
        <v>45107</v>
      </c>
      <c r="G1696" s="5" t="n">
        <v>2023</v>
      </c>
      <c r="H1696" s="5" t="inlineStr">
        <is>
          <t>Junio</t>
        </is>
      </c>
      <c r="I1696" s="6" t="inlineStr">
        <is>
          <t>2023-1</t>
        </is>
      </c>
      <c r="J1696" s="5" t="n">
        <v>90</v>
      </c>
      <c r="K1696" s="5" t="n">
        <v>97.74436090225601</v>
      </c>
      <c r="L1696" s="14">
        <f>IFERROR(IF(OR(J1696=0,K1696=""),"",IF(E1696="Positivo",MIN(MAX(K1696/J1696,0),1.3),MIN(MAX(J1696/K1696,0),1.3))),"") </f>
        <v/>
      </c>
      <c r="M1696" s="14">
        <f>IFERROR(IF(OR(J1696=0,K1696=""),"",IF(E1696="Positivo",MAX(K1696/J1696,0),MAX(J1696/K1696,0))),"") </f>
        <v/>
      </c>
      <c r="N1696" s="16" t="inlineStr">
        <is>
          <t>%</t>
        </is>
      </c>
      <c r="O1696" s="16" t="inlineStr">
        <is>
          <t>%</t>
        </is>
      </c>
      <c r="P1696" s="15" t="n">
        <v>0</v>
      </c>
      <c r="Q1696" s="15" t="n">
        <v>0</v>
      </c>
      <c r="R1696" s="5" t="inlineStr">
        <is>
          <t>344-2023-06-30</t>
        </is>
      </c>
    </row>
    <row r="1697" hidden="1">
      <c r="A1697" s="5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01" t="n">
        <v>45291</v>
      </c>
      <c r="G1697" s="5" t="n">
        <v>2023</v>
      </c>
      <c r="H1697" s="5" t="inlineStr">
        <is>
          <t>Diciembre</t>
        </is>
      </c>
      <c r="I1697" s="6" t="inlineStr">
        <is>
          <t>2023-2</t>
        </is>
      </c>
      <c r="J1697" s="5" t="n">
        <v>90</v>
      </c>
      <c r="K1697" s="5" t="n">
        <v>97.76000000000001</v>
      </c>
      <c r="L1697" s="14">
        <f>IFERROR(IF(OR(J1697=0,K1697=""),"",IF(E1697="Positivo",MIN(MAX(K1697/J1697,0),1.3),MIN(MAX(J1697/K1697,0),1.3))),"") </f>
        <v/>
      </c>
      <c r="M1697" s="14">
        <f>IFERROR(IF(OR(J1697=0,K1697=""),"",IF(E1697="Positivo",MAX(K1697/J1697,0),MAX(J1697/K1697,0))),"") </f>
        <v/>
      </c>
      <c r="N1697" s="5" t="inlineStr">
        <is>
          <t>%</t>
        </is>
      </c>
      <c r="O1697" s="5" t="inlineStr">
        <is>
          <t>%</t>
        </is>
      </c>
      <c r="P1697" s="5" t="n">
        <v>0</v>
      </c>
      <c r="Q1697" s="5" t="n">
        <v>0</v>
      </c>
      <c r="R1697" s="5" t="inlineStr">
        <is>
          <t>344-2023-12-31</t>
        </is>
      </c>
    </row>
    <row r="1698" hidden="1">
      <c r="A1698" s="21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00" t="n">
        <v>45473</v>
      </c>
      <c r="G1698" s="5" t="n">
        <v>2024</v>
      </c>
      <c r="H1698" s="5" t="inlineStr">
        <is>
          <t>Junio</t>
        </is>
      </c>
      <c r="I1698" s="6" t="inlineStr">
        <is>
          <t>2024-1</t>
        </is>
      </c>
      <c r="J1698" s="5" t="n">
        <v>93</v>
      </c>
      <c r="K1698" s="5" t="n">
        <v>97.34</v>
      </c>
      <c r="L1698" s="14">
        <f>IFERROR(IF(OR(J1698=0,K1698=""),"",IF(E1698="Positivo",MIN(MAX(K1698/J1698,0),1.3),MIN(MAX(J1698/K1698,0),1.3))),"") </f>
        <v/>
      </c>
      <c r="M1698" s="14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344-2024-06-30</t>
        </is>
      </c>
    </row>
    <row r="1699" hidden="1">
      <c r="A1699" s="5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01" t="n">
        <v>45657</v>
      </c>
      <c r="G1699" s="5" t="n">
        <v>2024</v>
      </c>
      <c r="H1699" s="5" t="inlineStr">
        <is>
          <t>Diciembre</t>
        </is>
      </c>
      <c r="I1699" s="6" t="inlineStr">
        <is>
          <t>2024-2</t>
        </is>
      </c>
      <c r="J1699" s="5" t="n">
        <v>93</v>
      </c>
      <c r="K1699" s="5" t="n">
        <v>99.19</v>
      </c>
      <c r="L1699" s="14">
        <f>IFERROR(IF(OR(J1699=0,K1699=""),"",IF(E1699="Positivo",MIN(MAX(K1699/J1699,0),1.3),MIN(MAX(J1699/K1699,0),1.3))),"") </f>
        <v/>
      </c>
      <c r="M1699" s="14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5" t="n">
        <v>0</v>
      </c>
      <c r="Q1699" s="5" t="n">
        <v>0</v>
      </c>
      <c r="R1699" s="5" t="inlineStr">
        <is>
          <t>344-2024-12-31</t>
        </is>
      </c>
    </row>
    <row r="1700" hidden="1">
      <c r="A1700" s="5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Semestral</t>
        </is>
      </c>
      <c r="E1700" s="5" t="inlineStr">
        <is>
          <t>Positivo</t>
        </is>
      </c>
      <c r="F1700" s="101" t="n">
        <v>45838</v>
      </c>
      <c r="G1700" s="5" t="n">
        <v>2025</v>
      </c>
      <c r="H1700" s="5" t="inlineStr">
        <is>
          <t>Junio</t>
        </is>
      </c>
      <c r="I1700" s="6" t="inlineStr">
        <is>
          <t>2025-1</t>
        </is>
      </c>
      <c r="J1700" s="5" t="n">
        <v>93</v>
      </c>
      <c r="K1700" s="5" t="n">
        <v>99.43000000000001</v>
      </c>
      <c r="L1700" s="14">
        <f>IFERROR(IF(OR(J1700=0,K1700=""),"",IF(E1700="Positivo",MIN(MAX(K1700/J1700,0),1.3),MIN(MAX(J1700/K1700,0),1.3))),"") </f>
        <v/>
      </c>
      <c r="M1700" s="14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344-2025-06-30</t>
        </is>
      </c>
    </row>
    <row r="1701" hidden="1">
      <c r="A1701" s="5" t="n">
        <v>344</v>
      </c>
      <c r="B1701" s="5" t="inlineStr">
        <is>
          <t>Cumplimiento del plan de Inducción institucional</t>
        </is>
      </c>
      <c r="C1701" s="5" t="inlineStr">
        <is>
          <t>GESTIÓN Y DESARROLLO DEL TALENTO HUMANO</t>
        </is>
      </c>
      <c r="D1701" s="5" t="inlineStr">
        <is>
          <t>Trimestral</t>
        </is>
      </c>
      <c r="E1701" s="5" t="inlineStr">
        <is>
          <t>Positivo</t>
        </is>
      </c>
      <c r="F1701" s="101" t="n">
        <v>46022</v>
      </c>
      <c r="G1701" s="5" t="n">
        <v>2025</v>
      </c>
      <c r="H1701" s="5" t="inlineStr">
        <is>
          <t>Diciembre</t>
        </is>
      </c>
      <c r="I1701" s="6" t="inlineStr">
        <is>
          <t>2025-2</t>
        </is>
      </c>
      <c r="J1701" s="5" t="n">
        <v>93</v>
      </c>
      <c r="K1701" s="5" t="n">
        <v>100</v>
      </c>
      <c r="L1701" s="14">
        <f>IFERROR(IF(OR(J1701=0,K1701=""),"",IF(E1701="Positivo",MIN(MAX(K1701/J1701,0),1.3),MIN(MAX(J1701/K1701,0),1.3))),"") </f>
        <v/>
      </c>
      <c r="M1701" s="14">
        <f>IFERROR(IF(OR(J1701=0,K1701=""),"",IF(E1701="Positivo",MAX(K1701/J1701,0),MAX(J1701/K1701,0))),"") </f>
        <v/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 t="inlineStr">
        <is>
          <t>344-2025-12-31</t>
        </is>
      </c>
    </row>
    <row r="1702" hidden="1">
      <c r="A1702" s="21" t="n">
        <v>345</v>
      </c>
      <c r="B1702" s="5" t="inlineStr">
        <is>
          <t>% de profesores impactados plan de desarrollo docente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01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10" t="n">
        <v>94.84999999999999</v>
      </c>
      <c r="L1702" s="14" t="n"/>
      <c r="M1702" s="14" t="n"/>
      <c r="N1702" s="5" t="inlineStr">
        <is>
          <t>Linea Base</t>
        </is>
      </c>
      <c r="O1702" s="5" t="inlineStr">
        <is>
          <t>%</t>
        </is>
      </c>
      <c r="P1702" s="15" t="n">
        <v>0</v>
      </c>
      <c r="Q1702" s="15" t="n">
        <v>0</v>
      </c>
      <c r="R1702" s="5" t="inlineStr">
        <is>
          <t>345-2023-12-31</t>
        </is>
      </c>
    </row>
    <row r="1703" hidden="1">
      <c r="A1703" s="21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01" t="n">
        <v>45291</v>
      </c>
      <c r="G1703" s="5" t="n">
        <v>2023</v>
      </c>
      <c r="H1703" s="5" t="inlineStr">
        <is>
          <t>Diciembre</t>
        </is>
      </c>
      <c r="I1703" s="6" t="inlineStr">
        <is>
          <t>2023-2</t>
        </is>
      </c>
      <c r="J1703" s="5" t="n"/>
      <c r="K1703" s="10" t="n">
        <v>83.91608391608392</v>
      </c>
      <c r="L1703" s="14" t="n"/>
      <c r="M1703" s="14" t="n"/>
      <c r="N1703" s="5" t="inlineStr">
        <is>
          <t>Linea Base</t>
        </is>
      </c>
      <c r="O1703" s="5" t="inlineStr">
        <is>
          <t>%</t>
        </is>
      </c>
      <c r="P1703" s="15" t="n">
        <v>0</v>
      </c>
      <c r="Q1703" s="15" t="n">
        <v>0</v>
      </c>
      <c r="R1703" s="5" t="inlineStr">
        <is>
          <t>346-2023-12-31</t>
        </is>
      </c>
    </row>
    <row r="1704" hidden="1">
      <c r="A1704" s="5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01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85</v>
      </c>
      <c r="K1704" s="5" t="n">
        <v>91.88</v>
      </c>
      <c r="L1704" s="14">
        <f>IFERROR(IF(OR(J1704=0,K1704=""),"",IF(E1704="Positivo",MIN(MAX(K1704/J1704,0),1.3),MIN(MAX(J1704/K1704,0),1.3))),"") </f>
        <v/>
      </c>
      <c r="M1704" s="14">
        <f>IFERROR(IF(OR(J1704=0,K1704=""),"",IF(E1704="Positivo",MAX(K1704/J1704,0),MAX(J1704/K1704,0))),"") </f>
        <v/>
      </c>
      <c r="N1704" s="5" t="inlineStr">
        <is>
          <t>Linea Base</t>
        </is>
      </c>
      <c r="O1704" s="5" t="inlineStr">
        <is>
          <t>%</t>
        </is>
      </c>
      <c r="P1704" s="5" t="n">
        <v>0</v>
      </c>
      <c r="Q1704" s="5" t="n">
        <v>0</v>
      </c>
      <c r="R1704" s="5" t="inlineStr">
        <is>
          <t>346-2024-12-31</t>
        </is>
      </c>
    </row>
    <row r="1705" hidden="1">
      <c r="A1705" s="21" t="n">
        <v>346</v>
      </c>
      <c r="B1705" s="5" t="inlineStr">
        <is>
          <t>% de profesores impactados en actividades de Bienestar</t>
        </is>
      </c>
      <c r="C1705" s="5" t="inlineStr">
        <is>
          <t>GESTIÓN Y DESARROLLO DEL TALENTO HUMANO</t>
        </is>
      </c>
      <c r="D1705" s="5" t="inlineStr">
        <is>
          <t>Anual</t>
        </is>
      </c>
      <c r="E1705" s="5" t="inlineStr">
        <is>
          <t>Positivo</t>
        </is>
      </c>
      <c r="F1705" s="101" t="n">
        <v>46022</v>
      </c>
      <c r="G1705" s="5" t="n">
        <v>2025</v>
      </c>
      <c r="H1705" s="5" t="inlineStr">
        <is>
          <t>Diciembre</t>
        </is>
      </c>
      <c r="I1705" s="6" t="inlineStr">
        <is>
          <t>2025-2</t>
        </is>
      </c>
      <c r="J1705" s="5" t="n">
        <v>85</v>
      </c>
      <c r="K1705" s="10" t="n">
        <v>97.28</v>
      </c>
      <c r="L1705" s="14">
        <f>IFERROR(IF(OR(J1705=0,K1705=""),"",IF(E1705="Positivo",MIN(MAX(K1705/J1705,0),1.3),MIN(MAX(J1705/K1705,0),1.3))),"") </f>
        <v/>
      </c>
      <c r="M1705" s="14">
        <f>IFERROR(IF(OR(J1705=0,K1705=""),"",IF(E1705="Positivo",MAX(K1705/J1705,0),MAX(J1705/K1705,0))),"") </f>
        <v/>
      </c>
      <c r="N1705" s="5" t="inlineStr">
        <is>
          <t>Linea Base</t>
        </is>
      </c>
      <c r="O1705" s="5" t="inlineStr">
        <is>
          <t>%</t>
        </is>
      </c>
      <c r="P1705" s="15" t="n">
        <v>0</v>
      </c>
      <c r="Q1705" s="15" t="n">
        <v>0</v>
      </c>
      <c r="R1705" s="5" t="inlineStr">
        <is>
          <t>346-2025-12-31</t>
        </is>
      </c>
    </row>
    <row r="1706" hidden="1">
      <c r="A1706" s="5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01" t="n">
        <v>45016</v>
      </c>
      <c r="G1706" s="5" t="n">
        <v>2023</v>
      </c>
      <c r="H1706" s="5" t="inlineStr">
        <is>
          <t>Marzo</t>
        </is>
      </c>
      <c r="I1706" s="6" t="inlineStr">
        <is>
          <t>2023-1</t>
        </is>
      </c>
      <c r="J1706" s="5" t="n">
        <v>0</v>
      </c>
      <c r="K1706" s="5" t="n">
        <v>5</v>
      </c>
      <c r="L1706" s="14">
        <f>IFERROR(IF(OR(J1706=0,K1706=""),"",IF(E1706="Positivo",MIN(MAX(K1706/J1706,0),1.3),MIN(MAX(J1706/K1706,0),1.3))),"") </f>
        <v/>
      </c>
      <c r="M1706" s="14">
        <f>IFERROR(IF(OR(J1706=0,K1706=""),"",IF(E1706="Positivo",MAX(K1706/J1706,0),MAX(J1706/K1706,0))),"") </f>
        <v/>
      </c>
      <c r="N1706" s="5" t="inlineStr">
        <is>
          <t>ENT</t>
        </is>
      </c>
      <c r="O1706" s="5" t="inlineStr">
        <is>
          <t>ENT</t>
        </is>
      </c>
      <c r="P1706" s="5" t="n">
        <v>0</v>
      </c>
      <c r="Q1706" s="5" t="n">
        <v>0</v>
      </c>
      <c r="R1706" s="5" t="inlineStr">
        <is>
          <t>347-2023-03-31</t>
        </is>
      </c>
    </row>
    <row r="1707" hidden="1">
      <c r="A1707" s="5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01" t="n">
        <v>45107</v>
      </c>
      <c r="G1707" s="5" t="n">
        <v>2023</v>
      </c>
      <c r="H1707" s="5" t="inlineStr">
        <is>
          <t>Junio</t>
        </is>
      </c>
      <c r="I1707" s="6" t="inlineStr">
        <is>
          <t>2023-1</t>
        </is>
      </c>
      <c r="J1707" s="5" t="n">
        <v>0</v>
      </c>
      <c r="K1707" s="5" t="n">
        <v>8</v>
      </c>
      <c r="L1707" s="14">
        <f>IFERROR(IF(OR(J1707=0,K1707=""),"",IF(E1707="Positivo",MIN(MAX(K1707/J1707,0),1.3),MIN(MAX(J1707/K1707,0),1.3))),"") </f>
        <v/>
      </c>
      <c r="M1707" s="14">
        <f>IFERROR(IF(OR(J1707=0,K1707=""),"",IF(E1707="Positivo",MAX(K1707/J1707,0),MAX(J1707/K1707,0))),"") </f>
        <v/>
      </c>
      <c r="N1707" s="5" t="inlineStr">
        <is>
          <t>ENT</t>
        </is>
      </c>
      <c r="O1707" s="5" t="inlineStr">
        <is>
          <t>ENT</t>
        </is>
      </c>
      <c r="P1707" s="5" t="n">
        <v>0</v>
      </c>
      <c r="Q1707" s="5" t="n">
        <v>0</v>
      </c>
      <c r="R1707" s="5" t="inlineStr">
        <is>
          <t>347-2023-06-30</t>
        </is>
      </c>
    </row>
    <row r="1708" hidden="1">
      <c r="A1708" s="5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01" t="n">
        <v>45199</v>
      </c>
      <c r="G1708" s="5" t="n">
        <v>2023</v>
      </c>
      <c r="H1708" s="5" t="inlineStr">
        <is>
          <t>Septiembre</t>
        </is>
      </c>
      <c r="I1708" s="6" t="inlineStr">
        <is>
          <t>2023-2</t>
        </is>
      </c>
      <c r="J1708" s="5" t="n">
        <v>0</v>
      </c>
      <c r="K1708" s="5" t="n">
        <v>12</v>
      </c>
      <c r="L1708" s="14">
        <f>IFERROR(IF(OR(J1708=0,K1708=""),"",IF(E1708="Positivo",MIN(MAX(K1708/J1708,0),1.3),MIN(MAX(J1708/K1708,0),1.3))),"") </f>
        <v/>
      </c>
      <c r="M1708" s="14">
        <f>IFERROR(IF(OR(J1708=0,K1708=""),"",IF(E1708="Positivo",MAX(K1708/J1708,0),MAX(J1708/K1708,0))),"") </f>
        <v/>
      </c>
      <c r="N1708" s="5" t="inlineStr">
        <is>
          <t>ENT</t>
        </is>
      </c>
      <c r="O1708" s="5" t="inlineStr">
        <is>
          <t>ENT</t>
        </is>
      </c>
      <c r="P1708" s="5" t="n">
        <v>0</v>
      </c>
      <c r="Q1708" s="5" t="n">
        <v>0</v>
      </c>
      <c r="R1708" s="5" t="inlineStr">
        <is>
          <t>347-2023-09-30</t>
        </is>
      </c>
    </row>
    <row r="1709" hidden="1">
      <c r="A1709" s="21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00" t="n">
        <v>45291</v>
      </c>
      <c r="G1709" s="5" t="n">
        <v>2023</v>
      </c>
      <c r="H1709" s="5" t="inlineStr">
        <is>
          <t>Diciembre</t>
        </is>
      </c>
      <c r="I1709" s="6" t="inlineStr">
        <is>
          <t>2023-2</t>
        </is>
      </c>
      <c r="J1709" s="5" t="n">
        <v>0</v>
      </c>
      <c r="K1709" s="9" t="n">
        <v>2</v>
      </c>
      <c r="L1709" s="14">
        <f>IFERROR(IF(OR(J1709=0,K1709=""),"",IF(E1709="Positivo",MIN(MAX(K1709/J1709,0),1.3),MIN(MAX(J1709/K1709,0),1.3))),"") </f>
        <v/>
      </c>
      <c r="M1709" s="14">
        <f>IFERROR(IF(OR(J1709=0,K1709=""),"",IF(E1709="Positivo",MAX(K1709/J1709,0),MAX(J1709/K1709,0))),"") </f>
        <v/>
      </c>
      <c r="N1709" s="5" t="inlineStr">
        <is>
          <t>ENT</t>
        </is>
      </c>
      <c r="O1709" s="5" t="inlineStr">
        <is>
          <t>ENT</t>
        </is>
      </c>
      <c r="P1709" s="15" t="n">
        <v>0</v>
      </c>
      <c r="Q1709" s="15" t="n">
        <v>0</v>
      </c>
      <c r="R1709" s="5" t="inlineStr">
        <is>
          <t>347-2023-12-31</t>
        </is>
      </c>
    </row>
    <row r="1710" hidden="1">
      <c r="A1710" s="21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0" t="n">
        <v>45382</v>
      </c>
      <c r="G1710" s="5" t="n">
        <v>2024</v>
      </c>
      <c r="H1710" s="5" t="inlineStr">
        <is>
          <t>Marzo</t>
        </is>
      </c>
      <c r="I1710" s="6" t="inlineStr">
        <is>
          <t>2024-1</t>
        </is>
      </c>
      <c r="J1710" s="5" t="n">
        <v>5</v>
      </c>
      <c r="K1710" s="103" t="n">
        <v>0</v>
      </c>
      <c r="L1710" s="14">
        <f>IFERROR(IF(OR(J1710=0,K1710=""),"",IF(E1710="Positivo",MIN(MAX(K1710/J1710,0),1.3),MIN(MAX(J1710/K1710,0),1.3))),"") </f>
        <v/>
      </c>
      <c r="M1710" s="14">
        <f>IFERROR(IF(OR(J1710=0,K1710=""),"",IF(E1710="Positivo",MAX(K1710/J1710,0),MAX(J1710/K1710,0))),"") </f>
        <v/>
      </c>
      <c r="N1710" s="5" t="inlineStr">
        <is>
          <t>ENT</t>
        </is>
      </c>
      <c r="O1710" s="5" t="inlineStr">
        <is>
          <t>ENT</t>
        </is>
      </c>
      <c r="P1710" s="15" t="n">
        <v>0</v>
      </c>
      <c r="Q1710" s="15" t="n">
        <v>0</v>
      </c>
      <c r="R1710" s="5" t="inlineStr">
        <is>
          <t>347-2024-03-31</t>
        </is>
      </c>
    </row>
    <row r="1711" hidden="1">
      <c r="A1711" s="5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1" t="n">
        <v>45473</v>
      </c>
      <c r="G1711" s="5" t="n">
        <v>2024</v>
      </c>
      <c r="H1711" s="5" t="inlineStr">
        <is>
          <t>Junio</t>
        </is>
      </c>
      <c r="I1711" s="6" t="inlineStr">
        <is>
          <t>2024-1</t>
        </is>
      </c>
      <c r="J1711" s="5" t="n">
        <v>5</v>
      </c>
      <c r="K1711" s="5" t="n">
        <v>3</v>
      </c>
      <c r="L1711" s="14">
        <f>IFERROR(IF(OR(J1711=0,K1711=""),"",IF(E1711="Positivo",MIN(MAX(K1711/J1711,0),1.3),MIN(MAX(J1711/K1711,0),1.3))),"") </f>
        <v/>
      </c>
      <c r="M1711" s="14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ENT</t>
        </is>
      </c>
      <c r="P1711" s="5" t="n">
        <v>0</v>
      </c>
      <c r="Q1711" s="5" t="n">
        <v>0</v>
      </c>
      <c r="R1711" s="5" t="inlineStr">
        <is>
          <t>347-2024-06-30</t>
        </is>
      </c>
    </row>
    <row r="1712" hidden="1">
      <c r="A1712" s="5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1" t="n">
        <v>45565</v>
      </c>
      <c r="G1712" s="5" t="n">
        <v>2024</v>
      </c>
      <c r="H1712" s="5" t="inlineStr">
        <is>
          <t>Septiembre</t>
        </is>
      </c>
      <c r="I1712" s="6" t="inlineStr">
        <is>
          <t>2024-2</t>
        </is>
      </c>
      <c r="J1712" s="73" t="n">
        <v>5</v>
      </c>
      <c r="K1712" s="9" t="n">
        <v>0</v>
      </c>
      <c r="L1712" s="14">
        <f>IFERROR(IF(OR(J1712=0,K1712=""),"",IF(E1712="Positivo",MIN(MAX(K1712/J1712,0),1.3),MIN(MAX(J1712/K1712,0),1.3))),"") </f>
        <v/>
      </c>
      <c r="M1712" s="14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ENT</t>
        </is>
      </c>
      <c r="P1712" s="5" t="n">
        <v>0</v>
      </c>
      <c r="Q1712" s="5" t="n">
        <v>0</v>
      </c>
      <c r="R1712" s="5" t="inlineStr">
        <is>
          <t>347-2024-09-30</t>
        </is>
      </c>
    </row>
    <row r="1713" hidden="1">
      <c r="A1713" s="5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1" t="n">
        <v>45657</v>
      </c>
      <c r="G1713" s="5" t="n">
        <v>2024</v>
      </c>
      <c r="H1713" s="5" t="inlineStr">
        <is>
          <t>Diciembre</t>
        </is>
      </c>
      <c r="I1713" s="6" t="inlineStr">
        <is>
          <t>2024-2</t>
        </is>
      </c>
      <c r="J1713" s="5" t="n">
        <v>5</v>
      </c>
      <c r="K1713" s="5" t="n">
        <v>0</v>
      </c>
      <c r="L1713" s="14">
        <f>IFERROR(IF(OR(J1713=0,K1713=""),"",IF(E1713="Positivo",MIN(MAX(K1713/J1713,0),1.3),MIN(MAX(J1713/K1713,0),1.3))),"") </f>
        <v/>
      </c>
      <c r="M1713" s="14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ENT</t>
        </is>
      </c>
      <c r="P1713" s="5" t="n">
        <v>0</v>
      </c>
      <c r="Q1713" s="5" t="n">
        <v>0</v>
      </c>
      <c r="R1713" s="5" t="inlineStr">
        <is>
          <t>347-2024-12-31</t>
        </is>
      </c>
    </row>
    <row r="1714" hidden="1">
      <c r="A1714" s="21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1" t="n">
        <v>45747</v>
      </c>
      <c r="G1714" s="5" t="n">
        <v>2025</v>
      </c>
      <c r="H1714" s="5" t="inlineStr">
        <is>
          <t>Marzo</t>
        </is>
      </c>
      <c r="I1714" s="6" t="inlineStr">
        <is>
          <t>2025-1</t>
        </is>
      </c>
      <c r="J1714" s="5" t="n">
        <v>5</v>
      </c>
      <c r="K1714" s="10" t="n">
        <v>1</v>
      </c>
      <c r="L1714" s="14">
        <f>IFERROR(IF(OR(J1714=0,K1714=""),"",IF(E1714="Positivo",MIN(MAX(K1714/J1714,0),1.3),MIN(MAX(J1714/K1714,0),1.3))),"") </f>
        <v/>
      </c>
      <c r="M1714" s="14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ENT</t>
        </is>
      </c>
      <c r="P1714" s="15" t="n">
        <v>0</v>
      </c>
      <c r="Q1714" s="15" t="n">
        <v>0</v>
      </c>
      <c r="R1714" s="5" t="inlineStr">
        <is>
          <t>347-2025-03-31</t>
        </is>
      </c>
    </row>
    <row r="1715" hidden="1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01" t="n">
        <v>45838</v>
      </c>
      <c r="G1715" s="5" t="n">
        <v>2025</v>
      </c>
      <c r="H1715" s="5" t="inlineStr">
        <is>
          <t>Junio</t>
        </is>
      </c>
      <c r="I1715" s="6" t="inlineStr">
        <is>
          <t>2025-1</t>
        </is>
      </c>
      <c r="J1715" s="5" t="n">
        <v>5</v>
      </c>
      <c r="K1715" s="5" t="n">
        <v>1</v>
      </c>
      <c r="L1715" s="14">
        <f>IFERROR(IF(OR(J1715=0,K1715=""),"",IF(E1715="Positivo",MIN(MAX(K1715/J1715,0),1.3),MIN(MAX(J1715/K1715,0),1.3))),"") </f>
        <v/>
      </c>
      <c r="M1715" s="14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347-2025-06-30</t>
        </is>
      </c>
    </row>
    <row r="1716" hidden="1">
      <c r="A1716" s="21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01" t="n">
        <v>45930</v>
      </c>
      <c r="G1716" s="5" t="n">
        <v>2025</v>
      </c>
      <c r="H1716" s="5" t="inlineStr">
        <is>
          <t>Septiembre</t>
        </is>
      </c>
      <c r="I1716" s="6" t="inlineStr">
        <is>
          <t>2025-2</t>
        </is>
      </c>
      <c r="J1716" s="5" t="n">
        <v>5</v>
      </c>
      <c r="K1716" s="10" t="n">
        <v>6</v>
      </c>
      <c r="L1716" s="14">
        <f>IFERROR(IF(OR(J1716=0,K1716=""),"",IF(E1716="Positivo",MIN(MAX(K1716/J1716,0),1.3),MIN(MAX(J1716/K1716,0),1.3))),"") </f>
        <v/>
      </c>
      <c r="M1716" s="14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ENT</t>
        </is>
      </c>
      <c r="P1716" s="15" t="n">
        <v>0</v>
      </c>
      <c r="Q1716" s="15" t="n">
        <v>0</v>
      </c>
      <c r="R1716" s="5" t="inlineStr">
        <is>
          <t>347-2025-09-30</t>
        </is>
      </c>
    </row>
    <row r="1717" hidden="1">
      <c r="A1717" s="5" t="n">
        <v>347</v>
      </c>
      <c r="B1717" s="5" t="inlineStr">
        <is>
          <t>Legalizaciones y anticipos</t>
        </is>
      </c>
      <c r="C1717" s="5" t="inlineStr">
        <is>
          <t>Contabilidad</t>
        </is>
      </c>
      <c r="D1717" s="5" t="inlineStr">
        <is>
          <t>Semestral</t>
        </is>
      </c>
      <c r="E1717" s="5" t="inlineStr">
        <is>
          <t>Negativo</t>
        </is>
      </c>
      <c r="F1717" s="101" t="n">
        <v>46022</v>
      </c>
      <c r="G1717" s="5" t="n">
        <v>2025</v>
      </c>
      <c r="H1717" s="5" t="inlineStr">
        <is>
          <t>Diciembre</t>
        </is>
      </c>
      <c r="I1717" s="6" t="inlineStr">
        <is>
          <t>2025-2</t>
        </is>
      </c>
      <c r="J1717" s="5" t="n">
        <v>5</v>
      </c>
      <c r="K1717" s="5" t="n">
        <v>1</v>
      </c>
      <c r="L1717" s="14">
        <f>IFERROR(IF(OR(J1717=0,K1717=""),"",IF(E1717="Positivo",MIN(MAX(K1717/J1717,0),1.3),MIN(MAX(J1717/K1717,0),1.3))),"") </f>
        <v/>
      </c>
      <c r="M1717" s="14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ENT</t>
        </is>
      </c>
      <c r="P1717" s="5" t="n">
        <v>0</v>
      </c>
      <c r="Q1717" s="5" t="n">
        <v>0</v>
      </c>
      <c r="R1717" s="5" t="inlineStr">
        <is>
          <t>347-2025-12-31</t>
        </is>
      </c>
    </row>
    <row r="1718" hidden="1">
      <c r="A1718" s="21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01" t="n">
        <v>45016</v>
      </c>
      <c r="G1718" s="5" t="n">
        <v>2023</v>
      </c>
      <c r="H1718" s="5" t="inlineStr">
        <is>
          <t>Marzo</t>
        </is>
      </c>
      <c r="I1718" s="6" t="inlineStr">
        <is>
          <t>2023-1</t>
        </is>
      </c>
      <c r="J1718" s="5" t="n">
        <v>99</v>
      </c>
      <c r="K1718" s="10" t="n">
        <v>99.936143039591</v>
      </c>
      <c r="L1718" s="14">
        <f>IFERROR(IF(OR(J1718=0,K1718=""),"",IF(E1718="Positivo",MIN(MAX(K1718/J1718,0),1.3),MIN(MAX(J1718/K1718,0),1.3))),"") </f>
        <v/>
      </c>
      <c r="M1718" s="14">
        <f>IFERROR(IF(OR(J1718=0,K1718=""),"",IF(E1718="Positivo",MAX(K1718/J1718,0),MAX(J1718/K1718,0))),"") </f>
        <v/>
      </c>
      <c r="N1718" s="5" t="inlineStr">
        <is>
          <t>%</t>
        </is>
      </c>
      <c r="O1718" s="5" t="inlineStr">
        <is>
          <t>%</t>
        </is>
      </c>
      <c r="P1718" s="15" t="n">
        <v>0</v>
      </c>
      <c r="Q1718" s="15" t="n">
        <v>0</v>
      </c>
      <c r="R1718" s="5" t="inlineStr">
        <is>
          <t>348-2023-03-31</t>
        </is>
      </c>
    </row>
    <row r="1719" hidden="1">
      <c r="A1719" s="5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01" t="n">
        <v>45107</v>
      </c>
      <c r="G1719" s="5" t="n">
        <v>2023</v>
      </c>
      <c r="H1719" s="5" t="inlineStr">
        <is>
          <t>Junio</t>
        </is>
      </c>
      <c r="I1719" s="6" t="inlineStr">
        <is>
          <t>2023-1</t>
        </is>
      </c>
      <c r="J1719" s="5" t="n">
        <v>99</v>
      </c>
      <c r="K1719" s="5" t="n">
        <v>99.69924812030099</v>
      </c>
      <c r="L1719" s="14">
        <f>IFERROR(IF(OR(J1719=0,K1719=""),"",IF(E1719="Positivo",MIN(MAX(K1719/J1719,0),1.3),MIN(MAX(J1719/K1719,0),1.3))),"") </f>
        <v/>
      </c>
      <c r="M1719" s="14">
        <f>IFERROR(IF(OR(J1719=0,K1719=""),"",IF(E1719="Positivo",MAX(K1719/J1719,0),MAX(J1719/K1719,0))),"") </f>
        <v/>
      </c>
      <c r="N1719" s="5" t="inlineStr">
        <is>
          <t>%</t>
        </is>
      </c>
      <c r="O1719" s="5" t="inlineStr">
        <is>
          <t>%</t>
        </is>
      </c>
      <c r="P1719" s="15" t="n">
        <v>0</v>
      </c>
      <c r="Q1719" s="5" t="n">
        <v>0</v>
      </c>
      <c r="R1719" s="5" t="inlineStr">
        <is>
          <t>348-2023-06-30</t>
        </is>
      </c>
    </row>
    <row r="1720" hidden="1">
      <c r="A1720" s="21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01" t="n">
        <v>45199</v>
      </c>
      <c r="G1720" s="5" t="n">
        <v>2023</v>
      </c>
      <c r="H1720" s="5" t="inlineStr">
        <is>
          <t>Septiembre</t>
        </is>
      </c>
      <c r="I1720" s="6" t="inlineStr">
        <is>
          <t>2023-2</t>
        </is>
      </c>
      <c r="J1720" s="5" t="n">
        <v>99</v>
      </c>
      <c r="K1720" s="111" t="n">
        <v>100</v>
      </c>
      <c r="L1720" s="14">
        <f>IFERROR(IF(OR(J1720=0,K1720=""),"",IF(E1720="Positivo",MIN(MAX(K1720/J1720,0),1.3),MIN(MAX(J1720/K1720,0),1.3))),"") </f>
        <v/>
      </c>
      <c r="M1720" s="14">
        <f>IFERROR(IF(OR(J1720=0,K1720=""),"",IF(E1720="Positivo",MAX(K1720/J1720,0),MAX(J1720/K1720,0))),"") </f>
        <v/>
      </c>
      <c r="N1720" s="5" t="inlineStr">
        <is>
          <t>%</t>
        </is>
      </c>
      <c r="O1720" s="5" t="inlineStr">
        <is>
          <t>%</t>
        </is>
      </c>
      <c r="P1720" s="15" t="n">
        <v>0</v>
      </c>
      <c r="Q1720" s="15" t="n">
        <v>0</v>
      </c>
      <c r="R1720" s="5" t="inlineStr">
        <is>
          <t>348-2023-09-30</t>
        </is>
      </c>
    </row>
    <row r="1721" hidden="1">
      <c r="A1721" s="5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01" t="n">
        <v>45291</v>
      </c>
      <c r="G1721" s="5" t="n">
        <v>2023</v>
      </c>
      <c r="H1721" s="5" t="inlineStr">
        <is>
          <t>Diciembre</t>
        </is>
      </c>
      <c r="I1721" s="6" t="inlineStr">
        <is>
          <t>2023-2</t>
        </is>
      </c>
      <c r="J1721" s="5" t="n">
        <v>99</v>
      </c>
      <c r="K1721" s="111" t="n">
        <v>100</v>
      </c>
      <c r="L1721" s="14">
        <f>IFERROR(IF(OR(J1721=0,K1721=""),"",IF(E1721="Positivo",MIN(MAX(K1721/J1721,0),1.3),MIN(MAX(J1721/K1721,0),1.3))),"") </f>
        <v/>
      </c>
      <c r="M1721" s="14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5" t="n">
        <v>0</v>
      </c>
      <c r="R1721" s="5" t="inlineStr">
        <is>
          <t>348-2023-12-31</t>
        </is>
      </c>
    </row>
    <row r="1722" hidden="1">
      <c r="A1722" s="21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01" t="n">
        <v>45382</v>
      </c>
      <c r="G1722" s="5" t="n">
        <v>2024</v>
      </c>
      <c r="H1722" s="5" t="inlineStr">
        <is>
          <t>Marzo</t>
        </is>
      </c>
      <c r="I1722" s="6" t="inlineStr">
        <is>
          <t>2024-1</t>
        </is>
      </c>
      <c r="J1722" s="5" t="n">
        <v>99</v>
      </c>
      <c r="K1722" s="10" t="n">
        <v>99.95</v>
      </c>
      <c r="L1722" s="14">
        <f>IFERROR(IF(OR(J1722=0,K1722=""),"",IF(E1722="Positivo",MIN(MAX(K1722/J1722,0),1.3),MIN(MAX(J1722/K1722,0),1.3))),"") </f>
        <v/>
      </c>
      <c r="M1722" s="14">
        <f>IFERROR(IF(OR(J1722=0,K1722=""),"",IF(E1722="Positivo",MAX(K1722/J1722,0),MAX(J1722/K1722,0))),"") </f>
        <v/>
      </c>
      <c r="N1722" s="11" t="inlineStr">
        <is>
          <t>%</t>
        </is>
      </c>
      <c r="O1722" s="11" t="inlineStr">
        <is>
          <t>%</t>
        </is>
      </c>
      <c r="P1722" s="15" t="n">
        <v>0</v>
      </c>
      <c r="Q1722" s="15" t="n">
        <v>0</v>
      </c>
      <c r="R1722" s="5" t="inlineStr">
        <is>
          <t>348-2024-03-31</t>
        </is>
      </c>
    </row>
    <row r="1723" hidden="1">
      <c r="A1723" s="5" t="n">
        <v>348</v>
      </c>
      <c r="B1723" s="5" t="inlineStr">
        <is>
          <t>Cuentas por pagar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Positivo</t>
        </is>
      </c>
      <c r="F1723" s="101" t="n">
        <v>45473</v>
      </c>
      <c r="G1723" s="5" t="n">
        <v>2024</v>
      </c>
      <c r="H1723" s="5" t="inlineStr">
        <is>
          <t>Junio</t>
        </is>
      </c>
      <c r="I1723" s="6" t="inlineStr">
        <is>
          <t>2024-1</t>
        </is>
      </c>
      <c r="J1723" s="5" t="n">
        <v>99</v>
      </c>
      <c r="K1723" s="5" t="n">
        <v>99.90000000000001</v>
      </c>
      <c r="L1723" s="14">
        <f>IFERROR(IF(OR(J1723=0,K1723=""),"",IF(E1723="Positivo",MIN(MAX(K1723/J1723,0),1.3),MIN(MAX(J1723/K1723,0),1.3))),"") </f>
        <v/>
      </c>
      <c r="M1723" s="14">
        <f>IFERROR(IF(OR(J1723=0,K1723=""),"",IF(E1723="Positivo",MAX(K1723/J1723,0),MAX(J1723/K1723,0))),"") </f>
        <v/>
      </c>
      <c r="N1723" s="5" t="inlineStr">
        <is>
          <t>%</t>
        </is>
      </c>
      <c r="O1723" s="17" t="inlineStr">
        <is>
          <t>%</t>
        </is>
      </c>
      <c r="P1723" s="5" t="n">
        <v>1</v>
      </c>
      <c r="Q1723" s="5" t="n">
        <v>1</v>
      </c>
      <c r="R1723" s="5" t="inlineStr">
        <is>
          <t>348-2024-06-30</t>
        </is>
      </c>
    </row>
    <row r="1724" hidden="1">
      <c r="A1724" s="21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01" t="n">
        <v>45565</v>
      </c>
      <c r="G1724" s="5" t="n">
        <v>2024</v>
      </c>
      <c r="H1724" s="5" t="inlineStr">
        <is>
          <t>Septiembre</t>
        </is>
      </c>
      <c r="I1724" s="6" t="inlineStr">
        <is>
          <t>2024-2</t>
        </is>
      </c>
      <c r="J1724" s="5" t="n">
        <v>99</v>
      </c>
      <c r="K1724" s="10" t="n">
        <v>100</v>
      </c>
      <c r="L1724" s="14">
        <f>IFERROR(IF(OR(J1724=0,K1724=""),"",IF(E1724="Positivo",MIN(MAX(K1724/J1724,0),1.3),MIN(MAX(J1724/K1724,0),1.3))),"") </f>
        <v/>
      </c>
      <c r="M1724" s="14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15" t="n">
        <v>1</v>
      </c>
      <c r="Q1724" s="15" t="n">
        <v>1</v>
      </c>
      <c r="R1724" s="5" t="inlineStr">
        <is>
          <t>348-2024-09-30</t>
        </is>
      </c>
    </row>
    <row r="1725" hidden="1">
      <c r="A1725" s="21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01" t="n">
        <v>45657</v>
      </c>
      <c r="G1725" s="5" t="n">
        <v>2024</v>
      </c>
      <c r="H1725" s="5" t="inlineStr">
        <is>
          <t>Diciembre</t>
        </is>
      </c>
      <c r="I1725" s="6" t="inlineStr">
        <is>
          <t>2024-2</t>
        </is>
      </c>
      <c r="J1725" s="5" t="n">
        <v>99</v>
      </c>
      <c r="K1725" s="10" t="n">
        <v>100</v>
      </c>
      <c r="L1725" s="14">
        <f>IFERROR(IF(OR(J1725=0,K1725=""),"",IF(E1725="Positivo",MIN(MAX(K1725/J1725,0),1.3),MIN(MAX(J1725/K1725,0),1.3))),"") </f>
        <v/>
      </c>
      <c r="M1725" s="14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5" t="n">
        <v>1</v>
      </c>
      <c r="Q1725" s="15" t="n">
        <v>1</v>
      </c>
      <c r="R1725" s="5" t="inlineStr">
        <is>
          <t>348-2024-12-31</t>
        </is>
      </c>
    </row>
    <row r="1726" hidden="1">
      <c r="A1726" s="21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01" t="n">
        <v>45747</v>
      </c>
      <c r="G1726" s="5" t="n">
        <v>2025</v>
      </c>
      <c r="H1726" s="5" t="inlineStr">
        <is>
          <t>Marzo</t>
        </is>
      </c>
      <c r="I1726" s="6" t="inlineStr">
        <is>
          <t>2025-1</t>
        </is>
      </c>
      <c r="J1726" s="5" t="n">
        <v>99</v>
      </c>
      <c r="K1726" s="5" t="n">
        <v>100</v>
      </c>
      <c r="L1726" s="14">
        <f>IFERROR(IF(OR(J1726=0,K1726=""),"",IF(E1726="Positivo",MIN(MAX(K1726/J1726,0),1.3),MIN(MAX(J1726/K1726,0),1.3))),"") </f>
        <v/>
      </c>
      <c r="M1726" s="14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15" t="n">
        <v>0</v>
      </c>
      <c r="Q1726" s="15" t="n">
        <v>0</v>
      </c>
      <c r="R1726" s="5" t="inlineStr">
        <is>
          <t>348-2025-03-31</t>
        </is>
      </c>
    </row>
    <row r="1727" hidden="1">
      <c r="A1727" s="21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Positivo</t>
        </is>
      </c>
      <c r="F1727" s="101" t="n">
        <v>45838</v>
      </c>
      <c r="G1727" s="5" t="n">
        <v>2025</v>
      </c>
      <c r="H1727" s="5" t="inlineStr">
        <is>
          <t>Junio</t>
        </is>
      </c>
      <c r="I1727" s="6" t="inlineStr">
        <is>
          <t>2025-1</t>
        </is>
      </c>
      <c r="J1727" s="5" t="n">
        <v>99</v>
      </c>
      <c r="K1727" s="10" t="n">
        <v>100</v>
      </c>
      <c r="L1727" s="14">
        <f>IFERROR(IF(OR(J1727=0,K1727=""),"",IF(E1727="Positivo",MIN(MAX(K1727/J1727,0),1.3),MIN(MAX(J1727/K1727,0),1.3))),"") </f>
        <v/>
      </c>
      <c r="M1727" s="14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15" t="n">
        <v>1</v>
      </c>
      <c r="Q1727" s="15" t="n">
        <v>1</v>
      </c>
      <c r="R1727" s="5" t="inlineStr">
        <is>
          <t>348-2025-06-30</t>
        </is>
      </c>
    </row>
    <row r="1728" hidden="1">
      <c r="A1728" s="5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01" t="n">
        <v>45930</v>
      </c>
      <c r="G1728" s="5" t="n">
        <v>2025</v>
      </c>
      <c r="H1728" s="5" t="inlineStr">
        <is>
          <t>Septiembre</t>
        </is>
      </c>
      <c r="I1728" s="6" t="inlineStr">
        <is>
          <t>2025-2</t>
        </is>
      </c>
      <c r="J1728" s="5" t="n">
        <v>99</v>
      </c>
      <c r="K1728" s="5" t="n">
        <v>100</v>
      </c>
      <c r="L1728" s="14">
        <f>IFERROR(IF(OR(J1728=0,K1728=""),"",IF(E1728="Positivo",MIN(MAX(K1728/J1728,0),1.3),MIN(MAX(J1728/K1728,0),1.3))),"") </f>
        <v/>
      </c>
      <c r="M1728" s="14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5" t="n">
        <v>0</v>
      </c>
      <c r="Q1728" s="5" t="n">
        <v>0</v>
      </c>
      <c r="R1728" s="5" t="inlineStr">
        <is>
          <t>348-2025-09-30</t>
        </is>
      </c>
    </row>
    <row r="1729" hidden="1">
      <c r="A1729" s="21" t="n">
        <v>348</v>
      </c>
      <c r="B1729" s="5" t="inlineStr">
        <is>
          <t>Cuentas por pagar</t>
        </is>
      </c>
      <c r="C1729" s="5" t="inlineStr">
        <is>
          <t>Contabilidad</t>
        </is>
      </c>
      <c r="D1729" s="5" t="inlineStr">
        <is>
          <t>Semestral</t>
        </is>
      </c>
      <c r="E1729" s="5" t="inlineStr">
        <is>
          <t>Positivo</t>
        </is>
      </c>
      <c r="F1729" s="101" t="n">
        <v>46022</v>
      </c>
      <c r="G1729" s="5" t="n">
        <v>2025</v>
      </c>
      <c r="H1729" s="5" t="inlineStr">
        <is>
          <t>Diciembre</t>
        </is>
      </c>
      <c r="I1729" s="6" t="inlineStr">
        <is>
          <t>2025-2</t>
        </is>
      </c>
      <c r="J1729" s="5" t="n">
        <v>99</v>
      </c>
      <c r="K1729" s="10" t="n">
        <v>100</v>
      </c>
      <c r="L1729" s="14">
        <f>IFERROR(IF(OR(J1729=0,K1729=""),"",IF(E1729="Positivo",MIN(MAX(K1729/J1729,0),1.3),MIN(MAX(J1729/K1729,0),1.3))),"") </f>
        <v/>
      </c>
      <c r="M1729" s="14">
        <f>IFERROR(IF(OR(J1729=0,K1729=""),"",IF(E1729="Positivo",MAX(K1729/J1729,0),MAX(J1729/K1729,0))),"") </f>
        <v/>
      </c>
      <c r="N1729" s="5" t="inlineStr">
        <is>
          <t>%</t>
        </is>
      </c>
      <c r="O1729" s="5" t="inlineStr">
        <is>
          <t>%</t>
        </is>
      </c>
      <c r="P1729" s="15" t="n">
        <v>0</v>
      </c>
      <c r="Q1729" s="15" t="n">
        <v>0</v>
      </c>
      <c r="R1729" s="5" t="inlineStr">
        <is>
          <t>348-2025-12-31</t>
        </is>
      </c>
    </row>
    <row r="1730" hidden="1">
      <c r="A1730" s="21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01" t="n">
        <v>45016</v>
      </c>
      <c r="G1730" s="5" t="n">
        <v>2023</v>
      </c>
      <c r="H1730" s="5" t="inlineStr">
        <is>
          <t>Marzo</t>
        </is>
      </c>
      <c r="I1730" s="6" t="inlineStr">
        <is>
          <t>2023-1</t>
        </is>
      </c>
      <c r="J1730" s="5" t="n">
        <v>0</v>
      </c>
      <c r="K1730" s="10" t="n">
        <v>11.41868512110727</v>
      </c>
      <c r="L1730" s="14">
        <f>IFERROR(IF(OR(J1730=0,K1730=""),"",IF(E1730="Positivo",MIN(MAX(K1730/J1730,0),1.3),MIN(MAX(J1730/K1730,0),1.3))),"") </f>
        <v/>
      </c>
      <c r="M1730" s="14">
        <f>IFERROR(IF(OR(J1730=0,K1730=""),"",IF(E1730="Positivo",MAX(K1730/J1730,0),MAX(J1730/K1730,0))),"") </f>
        <v/>
      </c>
      <c r="N1730" s="5" t="inlineStr">
        <is>
          <t>ENT</t>
        </is>
      </c>
      <c r="O1730" s="5" t="inlineStr">
        <is>
          <t>DEC</t>
        </is>
      </c>
      <c r="P1730" s="15" t="n">
        <v>0</v>
      </c>
      <c r="Q1730" s="15" t="n">
        <v>0</v>
      </c>
      <c r="R1730" s="5" t="inlineStr">
        <is>
          <t>351-2023-03-31</t>
        </is>
      </c>
    </row>
    <row r="1731" hidden="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01" t="n">
        <v>45107</v>
      </c>
      <c r="G1731" s="5" t="n">
        <v>2023</v>
      </c>
      <c r="H1731" s="5" t="inlineStr">
        <is>
          <t>Junio</t>
        </is>
      </c>
      <c r="I1731" s="6" t="inlineStr">
        <is>
          <t>2023-1</t>
        </is>
      </c>
      <c r="J1731" s="5" t="n">
        <v>0</v>
      </c>
      <c r="K1731" s="5" t="n">
        <v>8.233398961875784</v>
      </c>
      <c r="L1731" s="14">
        <f>IFERROR(IF(OR(J1731=0,K1731=""),"",IF(E1731="Positivo",MIN(MAX(K1731/J1731,0),1.3),MIN(MAX(J1731/K1731,0),1.3))),"") </f>
        <v/>
      </c>
      <c r="M1731" s="14">
        <f>IFERROR(IF(OR(J1731=0,K1731=""),"",IF(E1731="Positivo",MAX(K1731/J1731,0),MAX(J1731/K1731,0))),"") </f>
        <v/>
      </c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351-2023-06-30</t>
        </is>
      </c>
    </row>
    <row r="1732" hidden="1">
      <c r="A1732" s="5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01" t="n">
        <v>45199</v>
      </c>
      <c r="G1732" s="5" t="n">
        <v>2023</v>
      </c>
      <c r="H1732" s="5" t="inlineStr">
        <is>
          <t>Septiembre</t>
        </is>
      </c>
      <c r="I1732" s="6" t="inlineStr">
        <is>
          <t>2023-2</t>
        </is>
      </c>
      <c r="J1732" s="5" t="n">
        <v>0</v>
      </c>
      <c r="K1732" s="5" t="n">
        <v>10.29796131730267</v>
      </c>
      <c r="L1732" s="14">
        <f>IFERROR(IF(OR(J1732=0,K1732=""),"",IF(E1732="Positivo",MIN(MAX(K1732/J1732,0),1.3),MIN(MAX(J1732/K1732,0),1.3))),"") </f>
        <v/>
      </c>
      <c r="M1732" s="14">
        <f>IFERROR(IF(OR(J1732=0,K1732=""),"",IF(E1732="Positivo",MAX(K1732/J1732,0),MAX(J1732/K1732,0))),"") </f>
        <v/>
      </c>
      <c r="N1732" s="5" t="inlineStr">
        <is>
          <t>ENT</t>
        </is>
      </c>
      <c r="O1732" s="5" t="inlineStr">
        <is>
          <t>DEC</t>
        </is>
      </c>
      <c r="P1732" s="15" t="n">
        <v>0</v>
      </c>
      <c r="Q1732" s="5" t="n">
        <v>0</v>
      </c>
      <c r="R1732" s="5" t="inlineStr">
        <is>
          <t>351-2023-09-30</t>
        </is>
      </c>
    </row>
    <row r="1733" hidden="1">
      <c r="A1733" s="21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01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73" t="n">
        <v>0</v>
      </c>
      <c r="K1733" s="9" t="n">
        <v>3.544282881692003</v>
      </c>
      <c r="L1733" s="14">
        <f>IFERROR(IF(OR(J1733=0,K1733=""),"",IF(E1733="Positivo",MIN(MAX(K1733/J1733,0),1.3),MIN(MAX(J1733/K1733,0),1.3))),"") </f>
        <v/>
      </c>
      <c r="M1733" s="14">
        <f>IFERROR(IF(OR(J1733=0,K1733=""),"",IF(E1733="Positivo",MAX(K1733/J1733,0),MAX(J1733/K1733,0))),"") </f>
        <v/>
      </c>
      <c r="N1733" s="5" t="inlineStr">
        <is>
          <t>ENT</t>
        </is>
      </c>
      <c r="O1733" s="5" t="inlineStr">
        <is>
          <t>DEC</t>
        </is>
      </c>
      <c r="P1733" s="15" t="n">
        <v>0</v>
      </c>
      <c r="Q1733" s="15" t="n">
        <v>0</v>
      </c>
      <c r="R1733" s="5" t="inlineStr">
        <is>
          <t>351-2023-12-31</t>
        </is>
      </c>
    </row>
    <row r="1734" hidden="1">
      <c r="A1734" s="21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01" t="n">
        <v>45382</v>
      </c>
      <c r="G1734" s="5" t="n">
        <v>2024</v>
      </c>
      <c r="H1734" s="5" t="inlineStr">
        <is>
          <t>Marzo</t>
        </is>
      </c>
      <c r="I1734" s="6" t="inlineStr">
        <is>
          <t>2024-1</t>
        </is>
      </c>
      <c r="J1734" s="5" t="n">
        <v>0</v>
      </c>
      <c r="K1734" s="5" t="n">
        <v>4.999240813847555</v>
      </c>
      <c r="L1734" s="14">
        <f>IFERROR(IF(OR(J1734=0,K1734=""),"",IF(E1734="Positivo",MIN(MAX(K1734/J1734,0),1.3),MIN(MAX(J1734/K1734,0),1.3))),"") </f>
        <v/>
      </c>
      <c r="M1734" s="14">
        <f>IFERROR(IF(OR(J1734=0,K1734=""),"",IF(E1734="Positivo",MAX(K1734/J1734,0),MAX(J1734/K1734,0))),"") </f>
        <v/>
      </c>
      <c r="N1734" s="5" t="inlineStr">
        <is>
          <t>ENT</t>
        </is>
      </c>
      <c r="O1734" s="5" t="inlineStr">
        <is>
          <t>DEC</t>
        </is>
      </c>
      <c r="P1734" s="15" t="n">
        <v>0</v>
      </c>
      <c r="Q1734" s="15" t="n">
        <v>0</v>
      </c>
      <c r="R1734" s="5" t="inlineStr">
        <is>
          <t>351-2024-03-31</t>
        </is>
      </c>
    </row>
    <row r="1735" hidden="1">
      <c r="A1735" s="21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01" t="n">
        <v>45473</v>
      </c>
      <c r="G1735" s="5" t="n">
        <v>2024</v>
      </c>
      <c r="H1735" s="5" t="inlineStr">
        <is>
          <t>Junio</t>
        </is>
      </c>
      <c r="I1735" s="6" t="inlineStr">
        <is>
          <t>2024-1</t>
        </is>
      </c>
      <c r="J1735" s="5" t="n">
        <v>0</v>
      </c>
      <c r="K1735" s="5" t="n">
        <v>12.52996115381436</v>
      </c>
      <c r="L1735" s="14">
        <f>IFERROR(IF(OR(J1735=0,K1735=""),"",IF(E1735="Positivo",MIN(MAX(K1735/J1735,0),1.3),MIN(MAX(J1735/K1735,0),1.3))),"") </f>
        <v/>
      </c>
      <c r="M1735" s="14">
        <f>IFERROR(IF(OR(J1735=0,K1735=""),"",IF(E1735="Positivo",MAX(K1735/J1735,0),MAX(J1735/K1735,0))),"") </f>
        <v/>
      </c>
      <c r="N1735" s="5" t="inlineStr">
        <is>
          <t>ENT</t>
        </is>
      </c>
      <c r="O1735" s="5" t="inlineStr">
        <is>
          <t>DEC</t>
        </is>
      </c>
      <c r="P1735" s="15" t="n">
        <v>0</v>
      </c>
      <c r="Q1735" s="15" t="n">
        <v>1</v>
      </c>
      <c r="R1735" s="5" t="inlineStr">
        <is>
          <t>351-2024-06-30</t>
        </is>
      </c>
    </row>
    <row r="1736" hidden="1">
      <c r="A1736" s="5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00" t="n">
        <v>45565</v>
      </c>
      <c r="G1736" s="5" t="n">
        <v>2024</v>
      </c>
      <c r="H1736" s="5" t="inlineStr">
        <is>
          <t>Septiembre</t>
        </is>
      </c>
      <c r="I1736" s="6" t="inlineStr">
        <is>
          <t>2024-2</t>
        </is>
      </c>
      <c r="J1736" s="5" t="n">
        <v>0</v>
      </c>
      <c r="K1736" s="9" t="n">
        <v>3.179572169536261</v>
      </c>
      <c r="L1736" s="14">
        <f>IFERROR(IF(OR(J1736=0,K1736=""),"",IF(E1736="Positivo",MIN(MAX(K1736/J1736,0),1.3),MIN(MAX(J1736/K1736,0),1.3))),"") </f>
        <v/>
      </c>
      <c r="M1736" s="14">
        <f>IFERROR(IF(OR(J1736=0,K1736=""),"",IF(E1736="Positivo",MAX(K1736/J1736,0),MAX(J1736/K1736,0))),"") </f>
        <v/>
      </c>
      <c r="N1736" s="5" t="inlineStr">
        <is>
          <t>ENT</t>
        </is>
      </c>
      <c r="O1736" s="5" t="inlineStr">
        <is>
          <t>DEC</t>
        </is>
      </c>
      <c r="P1736" s="15" t="n">
        <v>0</v>
      </c>
      <c r="Q1736" s="15" t="n">
        <v>1</v>
      </c>
      <c r="R1736" s="5" t="inlineStr">
        <is>
          <t>351-2024-09-30</t>
        </is>
      </c>
    </row>
    <row r="1737" hidden="1">
      <c r="A1737" s="28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00" t="n">
        <v>45657</v>
      </c>
      <c r="G1737" s="5" t="n">
        <v>2024</v>
      </c>
      <c r="H1737" s="5" t="inlineStr">
        <is>
          <t>Diciembre</t>
        </is>
      </c>
      <c r="I1737" s="6" t="inlineStr">
        <is>
          <t>2024-2</t>
        </is>
      </c>
      <c r="J1737" s="3" t="n">
        <v>0</v>
      </c>
      <c r="K1737" s="9" t="n">
        <v>1.497983483771846</v>
      </c>
      <c r="L1737" s="14">
        <f>IFERROR(IF(OR(J1737=0,K1737=""),"",IF(E1737="Positivo",MIN(MAX(K1737/J1737,0),1.3),MIN(MAX(J1737/K1737,0),1.3))),"") </f>
        <v/>
      </c>
      <c r="M1737" s="14">
        <f>IFERROR(IF(OR(J1737=0,K1737=""),"",IF(E1737="Positivo",MAX(K1737/J1737,0),MAX(J1737/K1737,0))),"") </f>
        <v/>
      </c>
      <c r="N1737" s="5" t="inlineStr">
        <is>
          <t>ENT</t>
        </is>
      </c>
      <c r="O1737" s="5" t="inlineStr">
        <is>
          <t>DEC</t>
        </is>
      </c>
      <c r="P1737" s="15" t="n">
        <v>0</v>
      </c>
      <c r="Q1737" s="15" t="n">
        <v>1</v>
      </c>
      <c r="R1737" s="5" t="inlineStr">
        <is>
          <t>351-2024-12-31</t>
        </is>
      </c>
    </row>
    <row r="1738" hidden="1">
      <c r="A1738" s="21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01" t="n">
        <v>45747</v>
      </c>
      <c r="G1738" s="5" t="n">
        <v>2025</v>
      </c>
      <c r="H1738" s="5" t="inlineStr">
        <is>
          <t>Marzo</t>
        </is>
      </c>
      <c r="I1738" s="6" t="inlineStr">
        <is>
          <t>2025-1</t>
        </is>
      </c>
      <c r="J1738" s="5" t="n">
        <v>0</v>
      </c>
      <c r="K1738" s="10" t="n">
        <v>0.47</v>
      </c>
      <c r="L1738" s="14">
        <f>IFERROR(IF(OR(J1738=0,K1738=""),"",IF(E1738="Positivo",MIN(MAX(K1738/J1738,0),1.3),MIN(MAX(J1738/K1738,0),1.3))),"") </f>
        <v/>
      </c>
      <c r="M1738" s="14">
        <f>IFERROR(IF(OR(J1738=0,K1738=""),"",IF(E1738="Positivo",MAX(K1738/J1738,0),MAX(J1738/K1738,0))),"") </f>
        <v/>
      </c>
      <c r="N1738" s="5" t="inlineStr">
        <is>
          <t>ENT</t>
        </is>
      </c>
      <c r="O1738" s="5" t="inlineStr">
        <is>
          <t>DEC</t>
        </is>
      </c>
      <c r="P1738" s="15" t="n">
        <v>0</v>
      </c>
      <c r="Q1738" s="15" t="n">
        <v>0</v>
      </c>
      <c r="R1738" s="5" t="inlineStr">
        <is>
          <t>351-2025-03-31</t>
        </is>
      </c>
    </row>
    <row r="1739" hidden="1">
      <c r="A1739" s="28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Trimestral</t>
        </is>
      </c>
      <c r="E1739" s="5" t="inlineStr">
        <is>
          <t>Negativo</t>
        </is>
      </c>
      <c r="F1739" s="101" t="n">
        <v>45838</v>
      </c>
      <c r="G1739" s="5" t="n">
        <v>2025</v>
      </c>
      <c r="H1739" s="5" t="inlineStr">
        <is>
          <t>Junio</t>
        </is>
      </c>
      <c r="I1739" s="6" t="inlineStr">
        <is>
          <t>2025-1</t>
        </is>
      </c>
      <c r="J1739" s="5" t="n">
        <v>0</v>
      </c>
      <c r="K1739" s="5" t="n">
        <v>0.65</v>
      </c>
      <c r="L1739" s="14">
        <f>IFERROR(IF(OR(J1739=0,K1739=""),"",IF(E1739="Positivo",MIN(MAX(K1739/J1739,0),1.3),MIN(MAX(J1739/K1739,0),1.3))),"") </f>
        <v/>
      </c>
      <c r="M1739" s="14">
        <f>IFERROR(IF(OR(J1739=0,K1739=""),"",IF(E1739="Positivo",MAX(K1739/J1739,0),MAX(J1739/K1739,0))),"") </f>
        <v/>
      </c>
      <c r="N1739" s="5" t="inlineStr">
        <is>
          <t>ENT</t>
        </is>
      </c>
      <c r="O1739" s="5" t="inlineStr">
        <is>
          <t>DEC</t>
        </is>
      </c>
      <c r="P1739" s="15" t="n">
        <v>0</v>
      </c>
      <c r="Q1739" s="15" t="n">
        <v>1</v>
      </c>
      <c r="R1739" s="5" t="inlineStr">
        <is>
          <t>351-2025-06-30</t>
        </is>
      </c>
    </row>
    <row r="1740" hidden="1">
      <c r="A1740" s="21" t="n">
        <v>351</v>
      </c>
      <c r="B1740" s="5" t="inlineStr">
        <is>
          <t>Partidas conciliatorias de bancos</t>
        </is>
      </c>
      <c r="C1740" s="5" t="inlineStr">
        <is>
          <t>Contabilidad</t>
        </is>
      </c>
      <c r="D1740" s="5" t="inlineStr">
        <is>
          <t>Semestral</t>
        </is>
      </c>
      <c r="E1740" s="5" t="inlineStr">
        <is>
          <t>Negativo</t>
        </is>
      </c>
      <c r="F1740" s="101" t="n">
        <v>45930</v>
      </c>
      <c r="G1740" s="5" t="n">
        <v>2025</v>
      </c>
      <c r="H1740" s="5" t="inlineStr">
        <is>
          <t>Septiembre</t>
        </is>
      </c>
      <c r="I1740" s="6" t="inlineStr">
        <is>
          <t>2025-2</t>
        </is>
      </c>
      <c r="J1740" s="73" t="n">
        <v>0</v>
      </c>
      <c r="K1740" s="9" t="n">
        <v>0.26</v>
      </c>
      <c r="L1740" s="14">
        <f>IFERROR(IF(OR(J1740=0,K1740=""),"",IF(E1740="Positivo",MIN(MAX(K1740/J1740,0),1.3),MIN(MAX(J1740/K1740,0),1.3))),"") </f>
        <v/>
      </c>
      <c r="M1740" s="14">
        <f>IFERROR(IF(OR(J1740=0,K1740=""),"",IF(E1740="Positivo",MAX(K1740/J1740,0),MAX(J1740/K1740,0))),"") </f>
        <v/>
      </c>
      <c r="N1740" s="5" t="inlineStr">
        <is>
          <t>ENT</t>
        </is>
      </c>
      <c r="O1740" s="5" t="inlineStr">
        <is>
          <t>DEC</t>
        </is>
      </c>
      <c r="P1740" s="15" t="n">
        <v>0</v>
      </c>
      <c r="Q1740" s="15" t="n">
        <v>1</v>
      </c>
      <c r="R1740" s="5" t="inlineStr">
        <is>
          <t>351-2025-09-30</t>
        </is>
      </c>
    </row>
    <row r="1741" hidden="1">
      <c r="A1741" s="21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01" t="n">
        <v>45016</v>
      </c>
      <c r="G1741" s="5" t="n">
        <v>2023</v>
      </c>
      <c r="H1741" s="5" t="inlineStr">
        <is>
          <t>Marzo</t>
        </is>
      </c>
      <c r="I1741" s="6" t="inlineStr">
        <is>
          <t>2023-1</t>
        </is>
      </c>
      <c r="J1741" s="5" t="n">
        <v>0</v>
      </c>
      <c r="K1741" s="10" t="n">
        <v>0.0103859685564802</v>
      </c>
      <c r="L1741" s="14">
        <f>IFERROR(IF(OR(J1741=0,K1741=""),"",IF(E1741="Positivo",MIN(MAX(K1741/J1741,0),1.3),MIN(MAX(J1741/K1741,0),1.3))),"") </f>
        <v/>
      </c>
      <c r="M1741" s="14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2</v>
      </c>
      <c r="R1741" s="5" t="inlineStr">
        <is>
          <t>352-2023-03-31</t>
        </is>
      </c>
    </row>
    <row r="1742" hidden="1">
      <c r="A1742" s="21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01" t="n">
        <v>45107</v>
      </c>
      <c r="G1742" s="5" t="n">
        <v>2023</v>
      </c>
      <c r="H1742" s="5" t="inlineStr">
        <is>
          <t>Junio</t>
        </is>
      </c>
      <c r="I1742" s="6" t="inlineStr">
        <is>
          <t>2023-1</t>
        </is>
      </c>
      <c r="J1742" s="5" t="n">
        <v>0</v>
      </c>
      <c r="K1742" s="10" t="n">
        <v>0.0277008310249307</v>
      </c>
      <c r="L1742" s="14">
        <f>IFERROR(IF(OR(J1742=0,K1742=""),"",IF(E1742="Positivo",MIN(MAX(K1742/J1742,0),1.3),MIN(MAX(J1742/K1742,0),1.3))),"") </f>
        <v/>
      </c>
      <c r="M1742" s="14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15" t="n">
        <v>0</v>
      </c>
      <c r="Q1742" s="15" t="n">
        <v>2</v>
      </c>
      <c r="R1742" s="5" t="inlineStr">
        <is>
          <t>352-2023-06-30</t>
        </is>
      </c>
    </row>
    <row r="1743" hidden="1">
      <c r="A1743" s="5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01" t="n">
        <v>45199</v>
      </c>
      <c r="G1743" s="5" t="n">
        <v>2023</v>
      </c>
      <c r="H1743" s="5" t="inlineStr">
        <is>
          <t>Septiembre</t>
        </is>
      </c>
      <c r="I1743" s="6" t="inlineStr">
        <is>
          <t>2023-2</t>
        </is>
      </c>
      <c r="J1743" s="5" t="n">
        <v>0</v>
      </c>
      <c r="K1743" s="5" t="n">
        <v>0.0251173450966232</v>
      </c>
      <c r="L1743" s="14">
        <f>IFERROR(IF(OR(J1743=0,K1743=""),"",IF(E1743="Positivo",MIN(MAX(K1743/J1743,0),1.3),MIN(MAX(J1743/K1743,0),1.3))),"") </f>
        <v/>
      </c>
      <c r="M1743" s="14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5" t="n">
        <v>0</v>
      </c>
      <c r="Q1743" s="5" t="n">
        <v>2</v>
      </c>
      <c r="R1743" s="5" t="inlineStr">
        <is>
          <t>352-2023-09-30</t>
        </is>
      </c>
    </row>
    <row r="1744" hidden="1">
      <c r="A1744" s="5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01" t="n">
        <v>45291</v>
      </c>
      <c r="G1744" s="5" t="n">
        <v>2023</v>
      </c>
      <c r="H1744" s="5" t="inlineStr">
        <is>
          <t>Diciembre</t>
        </is>
      </c>
      <c r="I1744" s="6" t="inlineStr">
        <is>
          <t>2023-2</t>
        </is>
      </c>
      <c r="J1744" s="5" t="n">
        <v>0</v>
      </c>
      <c r="K1744" s="5" t="n">
        <v>0.2832748164698372</v>
      </c>
      <c r="L1744" s="14">
        <f>IFERROR(IF(OR(J1744=0,K1744=""),"",IF(E1744="Positivo",MIN(MAX(K1744/J1744,0),1.3),MIN(MAX(J1744/K1744,0),1.3))),"") </f>
        <v/>
      </c>
      <c r="M1744" s="14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5" t="n">
        <v>0</v>
      </c>
      <c r="Q1744" s="5" t="n">
        <v>2</v>
      </c>
      <c r="R1744" s="5" t="inlineStr">
        <is>
          <t>352-2023-12-31</t>
        </is>
      </c>
    </row>
    <row r="1745" hidden="1">
      <c r="A1745" s="5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01" t="n">
        <v>45382</v>
      </c>
      <c r="G1745" s="5" t="n">
        <v>2024</v>
      </c>
      <c r="H1745" s="5" t="inlineStr">
        <is>
          <t>Marzo</t>
        </is>
      </c>
      <c r="I1745" s="6" t="inlineStr">
        <is>
          <t>2024-1</t>
        </is>
      </c>
      <c r="J1745" s="5" t="n">
        <v>0</v>
      </c>
      <c r="K1745" s="5" t="n">
        <v>0.0244043805863152</v>
      </c>
      <c r="L1745" s="14">
        <f>IFERROR(IF(OR(J1745=0,K1745=""),"",IF(E1745="Positivo",MIN(MAX(K1745/J1745,0),1.3),MIN(MAX(J1745/K1745,0),1.3))),"") </f>
        <v/>
      </c>
      <c r="M1745" s="14">
        <f>IFERROR(IF(OR(J1745=0,K1745=""),"",IF(E1745="Positivo",MAX(K1745/J1745,0),MAX(J1745/K1745,0))),"") </f>
        <v/>
      </c>
      <c r="N1745" s="5" t="inlineStr">
        <is>
          <t>%</t>
        </is>
      </c>
      <c r="O1745" s="5" t="inlineStr">
        <is>
          <t>%</t>
        </is>
      </c>
      <c r="P1745" s="5" t="n">
        <v>0</v>
      </c>
      <c r="Q1745" s="5" t="n">
        <v>2</v>
      </c>
      <c r="R1745" s="5" t="inlineStr">
        <is>
          <t>352-2024-03-31</t>
        </is>
      </c>
    </row>
    <row r="1746" hidden="1">
      <c r="A1746" s="5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01" t="n">
        <v>45473</v>
      </c>
      <c r="G1746" s="5" t="n">
        <v>2024</v>
      </c>
      <c r="H1746" s="5" t="inlineStr">
        <is>
          <t>Junio</t>
        </is>
      </c>
      <c r="I1746" s="6" t="inlineStr">
        <is>
          <t>2024-1</t>
        </is>
      </c>
      <c r="J1746" s="5" t="n">
        <v>0</v>
      </c>
      <c r="K1746" s="5" t="n">
        <v>0.1487989796641394</v>
      </c>
      <c r="L1746" s="14">
        <f>IFERROR(IF(OR(J1746=0,K1746=""),"",IF(E1746="Positivo",MIN(MAX(K1746/J1746,0),1.3),MIN(MAX(J1746/K1746,0),1.3))),"") </f>
        <v/>
      </c>
      <c r="M1746" s="14">
        <f>IFERROR(IF(OR(J1746=0,K1746=""),"",IF(E1746="Positivo",MAX(K1746/J1746,0),MAX(J1746/K1746,0))),"") </f>
        <v/>
      </c>
      <c r="N1746" s="5" t="inlineStr">
        <is>
          <t>%</t>
        </is>
      </c>
      <c r="O1746" s="5" t="inlineStr">
        <is>
          <t>%</t>
        </is>
      </c>
      <c r="P1746" s="5" t="n">
        <v>0</v>
      </c>
      <c r="Q1746" s="5" t="n">
        <v>2</v>
      </c>
      <c r="R1746" s="5" t="inlineStr">
        <is>
          <t>352-2024-06-30</t>
        </is>
      </c>
    </row>
    <row r="1747" hidden="1">
      <c r="A1747" s="5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01" t="n">
        <v>45565</v>
      </c>
      <c r="G1747" s="5" t="n">
        <v>2024</v>
      </c>
      <c r="H1747" s="5" t="inlineStr">
        <is>
          <t>Septiembre</t>
        </is>
      </c>
      <c r="I1747" s="6" t="inlineStr">
        <is>
          <t>2024-2</t>
        </is>
      </c>
      <c r="J1747" s="5" t="n">
        <v>0</v>
      </c>
      <c r="K1747" s="5" t="n">
        <v>0.0009651857499975</v>
      </c>
      <c r="L1747" s="14">
        <f>IFERROR(IF(OR(J1747=0,K1747=""),"",IF(E1747="Positivo",MIN(MAX(K1747/J1747,0),1.3),MIN(MAX(J1747/K1747,0),1.3))),"") </f>
        <v/>
      </c>
      <c r="M1747" s="14">
        <f>IFERROR(IF(OR(J1747=0,K1747=""),"",IF(E1747="Positivo",MAX(K1747/J1747,0),MAX(J1747/K1747,0))),"") </f>
        <v/>
      </c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2</v>
      </c>
      <c r="R1747" s="5" t="inlineStr">
        <is>
          <t>352-2024-09-30</t>
        </is>
      </c>
    </row>
    <row r="1748" hidden="1">
      <c r="A1748" s="21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01" t="n">
        <v>45657</v>
      </c>
      <c r="G1748" s="5" t="n">
        <v>2024</v>
      </c>
      <c r="H1748" s="5" t="inlineStr">
        <is>
          <t>Diciembre</t>
        </is>
      </c>
      <c r="I1748" s="6" t="inlineStr">
        <is>
          <t>2024-2</t>
        </is>
      </c>
      <c r="J1748" s="5" t="n">
        <v>0</v>
      </c>
      <c r="K1748" s="10" t="n">
        <v>0</v>
      </c>
      <c r="L1748" s="14">
        <f>IFERROR(IF(OR(J1748=0,K1748=""),"",IF(E1748="Positivo",MIN(MAX(K1748/J1748,0),1.3),MIN(MAX(J1748/K1748,0),1.3))),"") </f>
        <v/>
      </c>
      <c r="M1748" s="55">
        <f>IFERROR(IF(OR(J1748=0,K1748=""),"",IF(E1748="Positivo",MAX(K1748/J1748,0),MAX(J1748/K1748,0))),"") </f>
        <v/>
      </c>
      <c r="N1748" s="5" t="inlineStr">
        <is>
          <t>%</t>
        </is>
      </c>
      <c r="O1748" s="5" t="inlineStr">
        <is>
          <t>%</t>
        </is>
      </c>
      <c r="P1748" s="15" t="n">
        <v>0</v>
      </c>
      <c r="Q1748" s="15" t="n">
        <v>2</v>
      </c>
      <c r="R1748" s="5" t="inlineStr">
        <is>
          <t>352-2024-12-31</t>
        </is>
      </c>
    </row>
    <row r="1749" hidden="1">
      <c r="A1749" s="5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01" t="n">
        <v>45747</v>
      </c>
      <c r="G1749" s="5" t="n">
        <v>2025</v>
      </c>
      <c r="H1749" s="5" t="inlineStr">
        <is>
          <t>Marzo</t>
        </is>
      </c>
      <c r="I1749" s="6" t="inlineStr">
        <is>
          <t>2025-1</t>
        </is>
      </c>
      <c r="J1749" s="5" t="n">
        <v>0</v>
      </c>
      <c r="K1749" s="5" t="n">
        <v>0</v>
      </c>
      <c r="L1749" s="14">
        <f>IFERROR(IF(OR(J1749=0,K1749=""),"",IF(E1749="Positivo",MIN(MAX(K1749/J1749,0),1.3),MIN(MAX(J1749/K1749,0),1.3))),"") </f>
        <v/>
      </c>
      <c r="M1749" s="14">
        <f>IFERROR(IF(OR(J1749=0,K1749=""),"",IF(E1749="Positivo",MAX(K1749/J1749,0),MAX(J1749/K1749,0))),"") </f>
        <v/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2</v>
      </c>
      <c r="R1749" s="5" t="inlineStr">
        <is>
          <t>352-2025-03-31</t>
        </is>
      </c>
    </row>
    <row r="1750" hidden="1">
      <c r="A1750" s="5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Trimestral</t>
        </is>
      </c>
      <c r="E1750" s="5" t="inlineStr">
        <is>
          <t>Negativo</t>
        </is>
      </c>
      <c r="F1750" s="101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>
        <v>0</v>
      </c>
      <c r="K1750" s="5" t="n">
        <v>0.01</v>
      </c>
      <c r="L1750" s="14">
        <f>IFERROR(IF(OR(J1750=0,K1750=""),"",IF(E1750="Positivo",MIN(MAX(K1750/J1750,0),1.3),MIN(MAX(J1750/K1750,0),1.3))),"") </f>
        <v/>
      </c>
      <c r="M1750" s="14">
        <f>IFERROR(IF(OR(J1750=0,K1750=""),"",IF(E1750="Positivo",MAX(K1750/J1750,0),MAX(J1750/K1750,0))),"") </f>
        <v/>
      </c>
      <c r="N1750" s="5" t="inlineStr">
        <is>
          <t>%</t>
        </is>
      </c>
      <c r="O1750" s="5" t="inlineStr">
        <is>
          <t>%</t>
        </is>
      </c>
      <c r="P1750" s="5" t="n">
        <v>0</v>
      </c>
      <c r="Q1750" s="5" t="n">
        <v>2</v>
      </c>
      <c r="R1750" s="5" t="inlineStr">
        <is>
          <t>352-2025-06-30</t>
        </is>
      </c>
    </row>
    <row r="1751" hidden="1">
      <c r="A1751" s="21" t="n">
        <v>352</v>
      </c>
      <c r="B1751" s="5" t="inlineStr">
        <is>
          <t>Nivel de facturas generadas con error</t>
        </is>
      </c>
      <c r="C1751" s="5" t="inlineStr">
        <is>
          <t>Contabilidad</t>
        </is>
      </c>
      <c r="D1751" s="5" t="inlineStr">
        <is>
          <t>Semestral</t>
        </is>
      </c>
      <c r="E1751" s="5" t="inlineStr">
        <is>
          <t>Negativo</t>
        </is>
      </c>
      <c r="F1751" s="101" t="n">
        <v>45930</v>
      </c>
      <c r="G1751" s="5" t="n">
        <v>2025</v>
      </c>
      <c r="H1751" s="5" t="inlineStr">
        <is>
          <t>Septiembre</t>
        </is>
      </c>
      <c r="I1751" s="6" t="inlineStr">
        <is>
          <t>2025-2</t>
        </is>
      </c>
      <c r="J1751" s="5" t="n">
        <v>0</v>
      </c>
      <c r="K1751" s="112" t="n">
        <v>0.01</v>
      </c>
      <c r="L1751" s="14">
        <f>IFERROR(IF(OR(J1751=0,K1751=""),"",IF(E1751="Positivo",MIN(MAX(K1751/J1751,0),1.3),MIN(MAX(J1751/K1751,0),1.3))),"") </f>
        <v/>
      </c>
      <c r="M1751" s="14">
        <f>IFERROR(IF(OR(J1751=0,K1751=""),"",IF(E1751="Positivo",MAX(K1751/J1751,0),MAX(J1751/K1751,0))),"") </f>
        <v/>
      </c>
      <c r="N1751" s="5" t="inlineStr">
        <is>
          <t>%</t>
        </is>
      </c>
      <c r="O1751" s="5" t="inlineStr">
        <is>
          <t>%</t>
        </is>
      </c>
      <c r="P1751" s="15" t="n">
        <v>0</v>
      </c>
      <c r="Q1751" s="15" t="n">
        <v>2</v>
      </c>
      <c r="R1751" s="5" t="inlineStr">
        <is>
          <t>352-2025-09-30</t>
        </is>
      </c>
    </row>
    <row r="1752" hidden="1">
      <c r="A1752" s="21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01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35</v>
      </c>
      <c r="K1752" s="112" t="n">
        <v>40.384615384615</v>
      </c>
      <c r="L1752" s="14">
        <f>IFERROR(IF(OR(J1752=0,K1752=""),"",IF(E1752="Positivo",MIN(MAX(K1752/J1752,0),1.3),MIN(MAX(J1752/K1752,0),1.3))),"") </f>
        <v/>
      </c>
      <c r="M1752" s="14">
        <f>IFERROR(IF(OR(J1752=0,K1752=""),"",IF(E1752="Positivo",MAX(K1752/J1752,0),MAX(J1752/K1752,0))),"") </f>
        <v/>
      </c>
      <c r="N1752" s="5" t="inlineStr">
        <is>
          <t>DEC</t>
        </is>
      </c>
      <c r="O1752" s="5" t="inlineStr">
        <is>
          <t>DEC</t>
        </is>
      </c>
      <c r="P1752" s="15" t="n">
        <v>0</v>
      </c>
      <c r="Q1752" s="15" t="n">
        <v>0</v>
      </c>
      <c r="R1752" s="5" t="inlineStr">
        <is>
          <t>353-2023-06-30</t>
        </is>
      </c>
    </row>
    <row r="1753" hidden="1">
      <c r="A1753" s="21" t="n">
        <v>353</v>
      </c>
      <c r="B1753" s="5" t="inlineStr">
        <is>
          <t>Cobertura de tableros BI en procesos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01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35</v>
      </c>
      <c r="K1753" s="112" t="n">
        <v>40.3846153846154</v>
      </c>
      <c r="L1753" s="14">
        <f>IFERROR(IF(OR(J1753=0,K1753=""),"",IF(E1753="Positivo",MIN(MAX(K1753/J1753,0),1.3),MIN(MAX(J1753/K1753,0),1.3))),"") </f>
        <v/>
      </c>
      <c r="M1753" s="14">
        <f>IFERROR(IF(OR(J1753=0,K1753=""),"",IF(E1753="Positivo",MAX(K1753/J1753,0),MAX(J1753/K1753,0))),"") </f>
        <v/>
      </c>
      <c r="N1753" s="5" t="inlineStr">
        <is>
          <t>DEC</t>
        </is>
      </c>
      <c r="O1753" s="5" t="inlineStr">
        <is>
          <t>DEC</t>
        </is>
      </c>
      <c r="P1753" s="15" t="n">
        <v>0</v>
      </c>
      <c r="Q1753" s="15" t="n">
        <v>0</v>
      </c>
      <c r="R1753" s="5" t="inlineStr">
        <is>
          <t>353-2023-12-31</t>
        </is>
      </c>
    </row>
    <row r="1754" hidden="1">
      <c r="A1754" s="21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01" t="n">
        <v>45107</v>
      </c>
      <c r="G1754" s="5" t="n">
        <v>2023</v>
      </c>
      <c r="H1754" s="5" t="inlineStr">
        <is>
          <t>Junio</t>
        </is>
      </c>
      <c r="I1754" s="6" t="inlineStr">
        <is>
          <t>2023-1</t>
        </is>
      </c>
      <c r="J1754" s="5" t="n">
        <v>10</v>
      </c>
      <c r="K1754" s="112" t="n">
        <v>5.07</v>
      </c>
      <c r="L1754" s="14">
        <f>IFERROR(IF(OR(J1754=0,K1754=""),"",IF(E1754="Positivo",MIN(MAX(K1754/J1754,0),1.3),MIN(MAX(J1754/K1754,0),1.3))),"") </f>
        <v/>
      </c>
      <c r="M1754" s="14">
        <f>IFERROR(IF(OR(J1754=0,K1754=""),"",IF(E1754="Positivo",MAX(K1754/J1754,0),MAX(J1754/K1754,0))),"") </f>
        <v/>
      </c>
      <c r="N1754" s="5" t="inlineStr">
        <is>
          <t>DEC</t>
        </is>
      </c>
      <c r="O1754" s="5" t="inlineStr">
        <is>
          <t>DEC</t>
        </is>
      </c>
      <c r="P1754" s="15" t="n">
        <v>2</v>
      </c>
      <c r="Q1754" s="15" t="n">
        <v>2</v>
      </c>
      <c r="R1754" s="5" t="inlineStr">
        <is>
          <t>354-2023-06-30</t>
        </is>
      </c>
    </row>
    <row r="1755" hidden="1">
      <c r="A1755" s="21" t="n">
        <v>354</v>
      </c>
      <c r="B1755" s="5" t="inlineStr">
        <is>
          <t>Plan de formación en analitica</t>
        </is>
      </c>
      <c r="C1755" s="5" t="inlineStr">
        <is>
          <t>DATOS Y ANALÍTICA</t>
        </is>
      </c>
      <c r="D1755" s="5" t="inlineStr">
        <is>
          <t>Semestral</t>
        </is>
      </c>
      <c r="E1755" s="5" t="inlineStr">
        <is>
          <t>Positivo</t>
        </is>
      </c>
      <c r="F1755" s="101" t="n">
        <v>45291</v>
      </c>
      <c r="G1755" s="5" t="n">
        <v>2023</v>
      </c>
      <c r="H1755" s="5" t="inlineStr">
        <is>
          <t>Diciembre</t>
        </is>
      </c>
      <c r="I1755" s="6" t="inlineStr">
        <is>
          <t>2023-2</t>
        </is>
      </c>
      <c r="J1755" s="5" t="n">
        <v>10</v>
      </c>
      <c r="K1755" s="112" t="n">
        <v>31.77</v>
      </c>
      <c r="L1755" s="14">
        <f>IFERROR(IF(OR(J1755=0,K1755=""),"",IF(E1755="Positivo",MIN(MAX(K1755/J1755,0),1.3),MIN(MAX(J1755/K1755,0),1.3))),"") </f>
        <v/>
      </c>
      <c r="M1755" s="14">
        <f>IFERROR(IF(OR(J1755=0,K1755=""),"",IF(E1755="Positivo",MAX(K1755/J1755,0),MAX(J1755/K1755,0))),"") </f>
        <v/>
      </c>
      <c r="N1755" s="5" t="inlineStr">
        <is>
          <t>DEC</t>
        </is>
      </c>
      <c r="O1755" s="5" t="inlineStr">
        <is>
          <t>DEC</t>
        </is>
      </c>
      <c r="P1755" s="15" t="n">
        <v>0</v>
      </c>
      <c r="Q1755" s="15" t="n">
        <v>0</v>
      </c>
      <c r="R1755" s="5" t="inlineStr">
        <is>
          <t>354-2023-12-31</t>
        </is>
      </c>
    </row>
    <row r="1756" hidden="1">
      <c r="A1756" s="21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01" t="n">
        <v>45107</v>
      </c>
      <c r="G1756" s="5" t="n">
        <v>2023</v>
      </c>
      <c r="H1756" s="5" t="inlineStr">
        <is>
          <t>Junio</t>
        </is>
      </c>
      <c r="I1756" s="6" t="inlineStr">
        <is>
          <t>2023-1</t>
        </is>
      </c>
      <c r="J1756" s="5" t="n">
        <v>1</v>
      </c>
      <c r="K1756" s="112" t="n">
        <v>0.31754780991781</v>
      </c>
      <c r="L1756" s="14">
        <f>IFERROR(IF(OR(J1756=0,K1756=""),"",IF(E1756="Positivo",MIN(MAX(K1756/J1756,0),1.3),MIN(MAX(J1756/K1756,0),1.3))),"") </f>
        <v/>
      </c>
      <c r="M1756" s="14">
        <f>IFERROR(IF(OR(J1756=0,K1756=""),"",IF(E1756="Positivo",MAX(K1756/J1756,0),MAX(J1756/K1756,0))),"") </f>
        <v/>
      </c>
      <c r="N1756" s="5" t="inlineStr">
        <is>
          <t>ENT</t>
        </is>
      </c>
      <c r="O1756" s="5" t="inlineStr">
        <is>
          <t>DEC</t>
        </is>
      </c>
      <c r="P1756" s="15" t="n">
        <v>1</v>
      </c>
      <c r="Q1756" s="15" t="n">
        <v>1</v>
      </c>
      <c r="R1756" s="5" t="inlineStr">
        <is>
          <t>355-2023-06-30</t>
        </is>
      </c>
    </row>
    <row r="1757" hidden="1">
      <c r="A1757" s="21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01" t="n">
        <v>45291</v>
      </c>
      <c r="G1757" s="5" t="n">
        <v>2023</v>
      </c>
      <c r="H1757" s="5" t="inlineStr">
        <is>
          <t>Diciembre</t>
        </is>
      </c>
      <c r="I1757" s="6" t="inlineStr">
        <is>
          <t>2023-2</t>
        </is>
      </c>
      <c r="J1757" s="5" t="n">
        <v>1</v>
      </c>
      <c r="K1757" s="112" t="n">
        <v>1.64916004403234</v>
      </c>
      <c r="L1757" s="14">
        <f>IFERROR(IF(OR(J1757=0,K1757=""),"",IF(E1757="Positivo",MIN(MAX(K1757/J1757,0),1.3),MIN(MAX(J1757/K1757,0),1.3))),"") </f>
        <v/>
      </c>
      <c r="M1757" s="14">
        <f>IFERROR(IF(OR(J1757=0,K1757=""),"",IF(E1757="Positivo",MAX(K1757/J1757,0),MAX(J1757/K1757,0))),"") </f>
        <v/>
      </c>
      <c r="N1757" s="5" t="inlineStr">
        <is>
          <t>DEC</t>
        </is>
      </c>
      <c r="O1757" s="5" t="inlineStr">
        <is>
          <t>DEC</t>
        </is>
      </c>
      <c r="P1757" s="15" t="n">
        <v>0</v>
      </c>
      <c r="Q1757" s="15" t="n">
        <v>0</v>
      </c>
      <c r="R1757" s="5" t="inlineStr">
        <is>
          <t>355-2023-12-31</t>
        </is>
      </c>
    </row>
    <row r="1758" hidden="1">
      <c r="A1758" s="21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01" t="n">
        <v>45657</v>
      </c>
      <c r="G1758" s="5" t="n">
        <v>2024</v>
      </c>
      <c r="H1758" s="5" t="inlineStr">
        <is>
          <t>Diciembre</t>
        </is>
      </c>
      <c r="I1758" s="6" t="inlineStr">
        <is>
          <t>2024-2</t>
        </is>
      </c>
      <c r="J1758" s="5" t="n">
        <v>1.7</v>
      </c>
      <c r="K1758" s="10" t="n">
        <v>1.69</v>
      </c>
      <c r="L1758" s="14">
        <f>IFERROR(IF(OR(J1758=0,K1758=""),"",IF(E1758="Positivo",MIN(MAX(K1758/J1758,0),1.3),MIN(MAX(J1758/K1758,0),1.3))),"") </f>
        <v/>
      </c>
      <c r="M1758" s="14">
        <f>IFERROR(IF(OR(J1758=0,K1758=""),"",IF(E1758="Positivo",MAX(K1758/J1758,0),MAX(J1758/K1758,0))),"") </f>
        <v/>
      </c>
      <c r="N1758" s="5" t="n"/>
      <c r="O1758" s="5" t="n"/>
      <c r="P1758" s="15" t="n">
        <v>0</v>
      </c>
      <c r="Q1758" s="15" t="n">
        <v>0</v>
      </c>
      <c r="R1758" s="5" t="inlineStr">
        <is>
          <t>355-2024-12-31</t>
        </is>
      </c>
    </row>
    <row r="1759" hidden="1">
      <c r="A1759" s="21" t="n">
        <v>355</v>
      </c>
      <c r="B1759" s="5" t="inlineStr">
        <is>
          <t>Indice de liquidez</t>
        </is>
      </c>
      <c r="C1759" s="5" t="inlineStr">
        <is>
          <t>Tesorería</t>
        </is>
      </c>
      <c r="D1759" s="5" t="inlineStr">
        <is>
          <t>Anual</t>
        </is>
      </c>
      <c r="E1759" s="5" t="inlineStr">
        <is>
          <t>Positivo</t>
        </is>
      </c>
      <c r="F1759" s="101" t="n">
        <v>46022</v>
      </c>
      <c r="G1759" s="5" t="n">
        <v>2025</v>
      </c>
      <c r="H1759" s="5" t="inlineStr">
        <is>
          <t>Diciembre</t>
        </is>
      </c>
      <c r="I1759" s="6" t="inlineStr">
        <is>
          <t>2025-2</t>
        </is>
      </c>
      <c r="J1759" s="5" t="n">
        <v>1.4</v>
      </c>
      <c r="K1759" s="10" t="n">
        <v>1.56</v>
      </c>
      <c r="L1759" s="14">
        <f>IFERROR(IF(OR(J1759=0,K1759=""),"",IF(E1759="Positivo",MIN(MAX(K1759/J1759,0),1.3),MIN(MAX(J1759/K1759,0),1.3))),"") </f>
        <v/>
      </c>
      <c r="M1759" s="14">
        <f>IFERROR(IF(OR(J1759=0,K1759=""),"",IF(E1759="Positivo",MAX(K1759/J1759,0),MAX(J1759/K1759,0))),"") </f>
        <v/>
      </c>
      <c r="N1759" s="5" t="inlineStr">
        <is>
          <t>ENT</t>
        </is>
      </c>
      <c r="O1759" s="5" t="inlineStr">
        <is>
          <t>DEC</t>
        </is>
      </c>
      <c r="P1759" s="15" t="n">
        <v>1</v>
      </c>
      <c r="Q1759" s="15" t="n">
        <v>1</v>
      </c>
      <c r="R1759" s="5" t="inlineStr">
        <is>
          <t>355-2025-12-31</t>
        </is>
      </c>
    </row>
    <row r="1760" hidden="1">
      <c r="A1760" s="21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01" t="n">
        <v>45107</v>
      </c>
      <c r="G1760" s="5" t="n">
        <v>2023</v>
      </c>
      <c r="H1760" s="5" t="inlineStr">
        <is>
          <t>Junio</t>
        </is>
      </c>
      <c r="I1760" s="6" t="inlineStr">
        <is>
          <t>2023-1</t>
        </is>
      </c>
      <c r="J1760" s="5" t="n">
        <v>60</v>
      </c>
      <c r="K1760" s="10" t="n">
        <v>49.213961407602</v>
      </c>
      <c r="L1760" s="14">
        <f>IFERROR(IF(OR(J1760=0,K1760=""),"",IF(E1760="Positivo",MIN(MAX(K1760/J1760,0),1.3),MIN(MAX(J1760/K1760,0),1.3))),"") </f>
        <v/>
      </c>
      <c r="M1760" s="14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356-2023-06-30</t>
        </is>
      </c>
    </row>
    <row r="1761" hidden="1">
      <c r="A1761" s="21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01" t="n">
        <v>45291</v>
      </c>
      <c r="G1761" s="5" t="n">
        <v>2023</v>
      </c>
      <c r="H1761" s="5" t="inlineStr">
        <is>
          <t>Diciembre</t>
        </is>
      </c>
      <c r="I1761" s="6" t="inlineStr">
        <is>
          <t>2023-2</t>
        </is>
      </c>
      <c r="J1761" s="5" t="n">
        <v>60</v>
      </c>
      <c r="K1761" s="10" t="n">
        <v>61.54</v>
      </c>
      <c r="L1761" s="14">
        <f>IFERROR(IF(OR(J1761=0,K1761=""),"",IF(E1761="Positivo",MIN(MAX(K1761/J1761,0),1.3),MIN(MAX(J1761/K1761,0),1.3))),"") </f>
        <v/>
      </c>
      <c r="M1761" s="14">
        <f>IFERROR(IF(OR(J1761=0,K1761=""),"",IF(E1761="Positivo",MAX(K1761/J1761,0),MAX(J1761/K1761,0))),"") </f>
        <v/>
      </c>
      <c r="N1761" s="5" t="inlineStr">
        <is>
          <t>%</t>
        </is>
      </c>
      <c r="O1761" s="5" t="inlineStr">
        <is>
          <t>%</t>
        </is>
      </c>
      <c r="P1761" s="15" t="n">
        <v>0</v>
      </c>
      <c r="Q1761" s="15" t="n">
        <v>0</v>
      </c>
      <c r="R1761" s="5" t="inlineStr">
        <is>
          <t>356-2023-12-31</t>
        </is>
      </c>
    </row>
    <row r="1762" hidden="1">
      <c r="A1762" s="21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01" t="n">
        <v>45473</v>
      </c>
      <c r="G1762" s="5" t="n">
        <v>2024</v>
      </c>
      <c r="H1762" s="5" t="inlineStr">
        <is>
          <t>Junio</t>
        </is>
      </c>
      <c r="I1762" s="6" t="inlineStr">
        <is>
          <t>2024-1</t>
        </is>
      </c>
      <c r="J1762" s="5" t="n">
        <v>60</v>
      </c>
      <c r="K1762" s="10" t="n">
        <v>54.08</v>
      </c>
      <c r="L1762" s="14">
        <f>IFERROR(IF(OR(J1762=0,K1762=""),"",IF(E1762="Positivo",MIN(MAX(K1762/J1762,0),1.3),MIN(MAX(J1762/K1762,0),1.3))),"") </f>
        <v/>
      </c>
      <c r="M1762" s="14">
        <f>IFERROR(IF(OR(J1762=0,K1762=""),"",IF(E1762="Positivo",MAX(K1762/J1762,0),MAX(J1762/K1762,0))),"") </f>
        <v/>
      </c>
      <c r="N1762" s="5" t="inlineStr">
        <is>
          <t>%</t>
        </is>
      </c>
      <c r="O1762" s="5" t="inlineStr">
        <is>
          <t>%</t>
        </is>
      </c>
      <c r="P1762" s="15" t="n">
        <v>1</v>
      </c>
      <c r="Q1762" s="15" t="n">
        <v>1</v>
      </c>
      <c r="R1762" s="5" t="inlineStr">
        <is>
          <t>356-2024-06-30</t>
        </is>
      </c>
    </row>
    <row r="1763" hidden="1">
      <c r="A1763" s="21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01" t="n">
        <v>45657</v>
      </c>
      <c r="G1763" s="5" t="n">
        <v>2024</v>
      </c>
      <c r="H1763" s="5" t="inlineStr">
        <is>
          <t>Diciembre</t>
        </is>
      </c>
      <c r="I1763" s="6" t="inlineStr">
        <is>
          <t>2024-2</t>
        </is>
      </c>
      <c r="J1763" s="5" t="n">
        <v>60</v>
      </c>
      <c r="K1763" s="10" t="n">
        <v>65.55</v>
      </c>
      <c r="L1763" s="14">
        <f>IFERROR(IF(OR(J1763=0,K1763=""),"",IF(E1763="Positivo",MIN(MAX(K1763/J1763,0),1.3),MIN(MAX(J1763/K1763,0),1.3))),"") </f>
        <v/>
      </c>
      <c r="M1763" s="14">
        <f>IFERROR(IF(OR(J1763=0,K1763=""),"",IF(E1763="Positivo",MAX(K1763/J1763,0),MAX(J1763/K1763,0))),"") </f>
        <v/>
      </c>
      <c r="N1763" s="5" t="inlineStr">
        <is>
          <t>%</t>
        </is>
      </c>
      <c r="O1763" s="5" t="inlineStr">
        <is>
          <t>%</t>
        </is>
      </c>
      <c r="P1763" s="15" t="n">
        <v>1</v>
      </c>
      <c r="Q1763" s="15" t="n">
        <v>1</v>
      </c>
      <c r="R1763" s="5" t="inlineStr">
        <is>
          <t>356-2024-12-31</t>
        </is>
      </c>
    </row>
    <row r="1764" hidden="1">
      <c r="A1764" s="21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Semestral</t>
        </is>
      </c>
      <c r="E1764" s="5" t="inlineStr">
        <is>
          <t>Negativo</t>
        </is>
      </c>
      <c r="F1764" s="101" t="n">
        <v>45838</v>
      </c>
      <c r="G1764" s="5" t="n">
        <v>2025</v>
      </c>
      <c r="H1764" s="5" t="inlineStr">
        <is>
          <t>Junio</t>
        </is>
      </c>
      <c r="I1764" s="6" t="inlineStr">
        <is>
          <t>2025-1</t>
        </is>
      </c>
      <c r="J1764" s="5" t="n">
        <v>60</v>
      </c>
      <c r="K1764" s="10" t="n">
        <v>49.14</v>
      </c>
      <c r="L1764" s="14">
        <f>IFERROR(IF(OR(J1764=0,K1764=""),"",IF(E1764="Positivo",MIN(MAX(K1764/J1764,0),1.3),MIN(MAX(J1764/K1764,0),1.3))),"") </f>
        <v/>
      </c>
      <c r="M1764" s="14">
        <f>IFERROR(IF(OR(J1764=0,K1764=""),"",IF(E1764="Positivo",MAX(K1764/J1764,0),MAX(J1764/K1764,0))),"") </f>
        <v/>
      </c>
      <c r="N1764" s="5" t="inlineStr">
        <is>
          <t>%</t>
        </is>
      </c>
      <c r="O1764" s="5" t="inlineStr">
        <is>
          <t>%</t>
        </is>
      </c>
      <c r="P1764" s="15" t="n">
        <v>1</v>
      </c>
      <c r="Q1764" s="15" t="n">
        <v>1</v>
      </c>
      <c r="R1764" s="5" t="inlineStr">
        <is>
          <t>356-2025-06-30</t>
        </is>
      </c>
    </row>
    <row r="1765" hidden="1">
      <c r="A1765" s="21" t="n">
        <v>356</v>
      </c>
      <c r="B1765" s="5" t="inlineStr">
        <is>
          <t>Indice de Endeudamiento</t>
        </is>
      </c>
      <c r="C1765" s="5" t="inlineStr">
        <is>
          <t>Tesorería</t>
        </is>
      </c>
      <c r="D1765" s="5" t="inlineStr">
        <is>
          <t>Trimestral</t>
        </is>
      </c>
      <c r="E1765" s="5" t="inlineStr">
        <is>
          <t>Negativo</t>
        </is>
      </c>
      <c r="F1765" s="101" t="n">
        <v>46022</v>
      </c>
      <c r="G1765" s="5" t="n">
        <v>2025</v>
      </c>
      <c r="H1765" s="5" t="inlineStr">
        <is>
          <t>Diciembre</t>
        </is>
      </c>
      <c r="I1765" s="6" t="inlineStr">
        <is>
          <t>2025-2</t>
        </is>
      </c>
      <c r="J1765" s="5" t="n">
        <v>60</v>
      </c>
      <c r="K1765" s="10" t="n">
        <v>64.77</v>
      </c>
      <c r="L1765" s="14">
        <f>IFERROR(IF(OR(J1765=0,K1765=""),"",IF(E1765="Positivo",MIN(MAX(K1765/J1765,0),1.3),MIN(MAX(J1765/K1765,0),1.3))),"") </f>
        <v/>
      </c>
      <c r="M1765" s="14">
        <f>IFERROR(IF(OR(J1765=0,K1765=""),"",IF(E1765="Positivo",MAX(K1765/J1765,0),MAX(J1765/K1765,0))),"") </f>
        <v/>
      </c>
      <c r="N1765" s="5" t="inlineStr">
        <is>
          <t>%</t>
        </is>
      </c>
      <c r="O1765" s="5" t="inlineStr">
        <is>
          <t>%</t>
        </is>
      </c>
      <c r="P1765" s="15" t="n">
        <v>0</v>
      </c>
      <c r="Q1765" s="15" t="n">
        <v>1</v>
      </c>
      <c r="R1765" s="5" t="inlineStr">
        <is>
          <t>356-2025-12-31</t>
        </is>
      </c>
    </row>
    <row r="1766" hidden="1">
      <c r="A1766" s="21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01" t="n">
        <v>45107</v>
      </c>
      <c r="G1766" s="5" t="n">
        <v>2023</v>
      </c>
      <c r="H1766" s="5" t="inlineStr">
        <is>
          <t>Junio</t>
        </is>
      </c>
      <c r="I1766" s="6" t="inlineStr">
        <is>
          <t>2023-1</t>
        </is>
      </c>
      <c r="J1766" s="5" t="n"/>
      <c r="K1766" s="10" t="n">
        <v>3.0055354363176</v>
      </c>
      <c r="L1766" s="14" t="n"/>
      <c r="M1766" s="14" t="n"/>
      <c r="N1766" s="5" t="inlineStr">
        <is>
          <t>Metrica</t>
        </is>
      </c>
      <c r="O1766" s="5" t="inlineStr">
        <is>
          <t>DEC</t>
        </is>
      </c>
      <c r="P1766" s="15" t="n">
        <v>2</v>
      </c>
      <c r="Q1766" s="15" t="n">
        <v>2</v>
      </c>
      <c r="R1766" s="5" t="inlineStr">
        <is>
          <t>357-2023-06-30</t>
        </is>
      </c>
    </row>
    <row r="1767" hidden="1">
      <c r="A1767" s="21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01" t="n">
        <v>45291</v>
      </c>
      <c r="G1767" s="5" t="n">
        <v>2023</v>
      </c>
      <c r="H1767" s="5" t="inlineStr">
        <is>
          <t>Diciembre</t>
        </is>
      </c>
      <c r="I1767" s="6" t="inlineStr">
        <is>
          <t>2023-2</t>
        </is>
      </c>
      <c r="J1767" s="5" t="n"/>
      <c r="K1767" s="10" t="n">
        <v>4.45</v>
      </c>
      <c r="L1767" s="14" t="n"/>
      <c r="M1767" s="14" t="n"/>
      <c r="N1767" s="5" t="inlineStr">
        <is>
          <t>Metrica</t>
        </is>
      </c>
      <c r="O1767" s="5" t="inlineStr">
        <is>
          <t>DEC</t>
        </is>
      </c>
      <c r="P1767" s="15" t="n">
        <v>0</v>
      </c>
      <c r="Q1767" s="15" t="n">
        <v>0</v>
      </c>
      <c r="R1767" s="5" t="inlineStr">
        <is>
          <t>357-2023-12-31</t>
        </is>
      </c>
    </row>
    <row r="1768" hidden="1">
      <c r="A1768" s="21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01" t="n">
        <v>45473</v>
      </c>
      <c r="G1768" s="5" t="n">
        <v>2024</v>
      </c>
      <c r="H1768" s="5" t="inlineStr">
        <is>
          <t>Junio</t>
        </is>
      </c>
      <c r="I1768" s="6" t="inlineStr">
        <is>
          <t>2024-1</t>
        </is>
      </c>
      <c r="J1768" s="5" t="n"/>
      <c r="K1768" s="10" t="n">
        <v>3.87</v>
      </c>
      <c r="L1768" s="14" t="n"/>
      <c r="M1768" s="14" t="n"/>
      <c r="N1768" s="5" t="inlineStr">
        <is>
          <t>Metrica</t>
        </is>
      </c>
      <c r="O1768" s="5" t="inlineStr">
        <is>
          <t>DEC</t>
        </is>
      </c>
      <c r="P1768" s="15" t="n">
        <v>2</v>
      </c>
      <c r="Q1768" s="15" t="n">
        <v>2</v>
      </c>
      <c r="R1768" s="5" t="inlineStr">
        <is>
          <t>357-2024-06-30</t>
        </is>
      </c>
    </row>
    <row r="1769" hidden="1">
      <c r="A1769" s="21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01" t="n">
        <v>45657</v>
      </c>
      <c r="G1769" s="5" t="n">
        <v>2024</v>
      </c>
      <c r="H1769" s="5" t="inlineStr">
        <is>
          <t>Diciembre</t>
        </is>
      </c>
      <c r="I1769" s="6" t="inlineStr">
        <is>
          <t>2024-2</t>
        </is>
      </c>
      <c r="J1769" s="5" t="n"/>
      <c r="K1769" s="10" t="n">
        <v>0.51</v>
      </c>
      <c r="L1769" s="14" t="n"/>
      <c r="M1769" s="14" t="n"/>
      <c r="N1769" s="5" t="inlineStr">
        <is>
          <t>Metrica</t>
        </is>
      </c>
      <c r="O1769" s="5" t="inlineStr">
        <is>
          <t>DEC</t>
        </is>
      </c>
      <c r="P1769" s="15" t="n">
        <v>2</v>
      </c>
      <c r="Q1769" s="15" t="n">
        <v>2</v>
      </c>
      <c r="R1769" s="5" t="inlineStr">
        <is>
          <t>357-2024-12-31</t>
        </is>
      </c>
    </row>
    <row r="1770" hidden="1">
      <c r="A1770" s="21" t="n">
        <v>357</v>
      </c>
      <c r="B1770" s="5" t="inlineStr">
        <is>
          <t>Cartera</t>
        </is>
      </c>
      <c r="C1770" s="5" t="inlineStr">
        <is>
          <t>Tesorería</t>
        </is>
      </c>
      <c r="D1770" s="5" t="inlineStr">
        <is>
          <t>Semestral</t>
        </is>
      </c>
      <c r="E1770" s="5" t="inlineStr">
        <is>
          <t>Positivo</t>
        </is>
      </c>
      <c r="F1770" s="101" t="n">
        <v>45838</v>
      </c>
      <c r="G1770" s="5" t="n">
        <v>2025</v>
      </c>
      <c r="H1770" s="5" t="inlineStr">
        <is>
          <t>Junio</t>
        </is>
      </c>
      <c r="I1770" s="6" t="inlineStr">
        <is>
          <t>2025-1</t>
        </is>
      </c>
      <c r="J1770" s="5" t="n"/>
      <c r="K1770" s="10" t="n">
        <v>0.85</v>
      </c>
      <c r="L1770" s="14" t="n"/>
      <c r="M1770" s="14" t="n"/>
      <c r="N1770" s="5" t="inlineStr">
        <is>
          <t>Metrica</t>
        </is>
      </c>
      <c r="O1770" s="5" t="inlineStr">
        <is>
          <t>DEC</t>
        </is>
      </c>
      <c r="P1770" s="15" t="n">
        <v>2</v>
      </c>
      <c r="Q1770" s="15" t="n">
        <v>2</v>
      </c>
      <c r="R1770" s="5" t="inlineStr">
        <is>
          <t>357-2025-06-30</t>
        </is>
      </c>
    </row>
    <row r="1771" hidden="1">
      <c r="A1771" s="21" t="n">
        <v>357</v>
      </c>
      <c r="B1771" s="5" t="inlineStr">
        <is>
          <t>Cartera - Metrica</t>
        </is>
      </c>
      <c r="C1771" s="5" t="inlineStr">
        <is>
          <t>Tesorería</t>
        </is>
      </c>
      <c r="D1771" s="5" t="inlineStr">
        <is>
          <t>Trimestral</t>
        </is>
      </c>
      <c r="E1771" s="5" t="inlineStr">
        <is>
          <t>Positivo</t>
        </is>
      </c>
      <c r="F1771" s="101" t="n">
        <v>46022</v>
      </c>
      <c r="G1771" s="5" t="n">
        <v>2025</v>
      </c>
      <c r="H1771" s="5" t="inlineStr">
        <is>
          <t>Diciembre</t>
        </is>
      </c>
      <c r="I1771" s="6" t="inlineStr">
        <is>
          <t>2025-2</t>
        </is>
      </c>
      <c r="J1771" s="5" t="n">
        <v>10049277970</v>
      </c>
      <c r="K1771" s="10" t="n">
        <v>0.44</v>
      </c>
      <c r="L1771" s="14" t="n"/>
      <c r="M1771" s="14" t="n"/>
      <c r="N1771" s="5" t="inlineStr">
        <is>
          <t>Metrica</t>
        </is>
      </c>
      <c r="O1771" s="5" t="n"/>
      <c r="P1771" s="15" t="n">
        <v>0</v>
      </c>
      <c r="Q1771" s="15" t="n">
        <v>2</v>
      </c>
      <c r="R1771" s="5" t="inlineStr">
        <is>
          <t>357-2025-12-31</t>
        </is>
      </c>
      <c r="S1771" t="inlineStr">
        <is>
          <t>Metrica</t>
        </is>
      </c>
    </row>
    <row r="1772" hidden="1">
      <c r="A1772" s="21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01" t="n">
        <v>45107</v>
      </c>
      <c r="G1772" s="5" t="n">
        <v>2023</v>
      </c>
      <c r="H1772" s="5" t="inlineStr">
        <is>
          <t>Junio</t>
        </is>
      </c>
      <c r="I1772" s="6" t="inlineStr">
        <is>
          <t>2023-1</t>
        </is>
      </c>
      <c r="J1772" s="5" t="n">
        <v>87</v>
      </c>
      <c r="K1772" s="10" t="n">
        <v>86.98453608247399</v>
      </c>
      <c r="L1772" s="14">
        <f>IFERROR(IF(OR(J1772=0,K1772=""),"",IF(E1772="Positivo",MIN(MAX(K1772/J1772,0),1.3),MIN(MAX(J1772/K1772,0),1.3))),"") </f>
        <v/>
      </c>
      <c r="M1772" s="14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358-2023-06-30</t>
        </is>
      </c>
    </row>
    <row r="1773" hidden="1">
      <c r="A1773" s="21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01" t="n">
        <v>45291</v>
      </c>
      <c r="G1773" s="5" t="n">
        <v>2023</v>
      </c>
      <c r="H1773" s="5" t="inlineStr">
        <is>
          <t>Diciembre</t>
        </is>
      </c>
      <c r="I1773" s="6" t="inlineStr">
        <is>
          <t>2023-2</t>
        </is>
      </c>
      <c r="J1773" s="5" t="n">
        <v>87</v>
      </c>
      <c r="K1773" s="10" t="n">
        <v>95</v>
      </c>
      <c r="L1773" s="14">
        <f>IFERROR(IF(OR(J1773=0,K1773=""),"",IF(E1773="Positivo",MIN(MAX(K1773/J1773,0),1.3),MIN(MAX(J1773/K1773,0),1.3))),"") </f>
        <v/>
      </c>
      <c r="M1773" s="14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358-2023-12-31</t>
        </is>
      </c>
    </row>
    <row r="1774" hidden="1">
      <c r="A1774" s="21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01" t="n">
        <v>45473</v>
      </c>
      <c r="G1774" s="5" t="n">
        <v>2024</v>
      </c>
      <c r="H1774" s="5" t="inlineStr">
        <is>
          <t>Junio</t>
        </is>
      </c>
      <c r="I1774" s="6" t="inlineStr">
        <is>
          <t>2024-1</t>
        </is>
      </c>
      <c r="J1774" s="5" t="n">
        <v>87</v>
      </c>
      <c r="K1774" s="10" t="n">
        <v>97.98999999999999</v>
      </c>
      <c r="L1774" s="14">
        <f>IFERROR(IF(OR(J1774=0,K1774=""),"",IF(E1774="Positivo",MIN(MAX(K1774/J1774,0),1.3),MIN(MAX(J1774/K1774,0),1.3))),"") </f>
        <v/>
      </c>
      <c r="M1774" s="14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358-2024-06-30</t>
        </is>
      </c>
    </row>
    <row r="1775" hidden="1">
      <c r="A1775" s="21" t="n">
        <v>358</v>
      </c>
      <c r="B1775" s="5" t="inlineStr">
        <is>
          <t>Acompañamiento a estudiantes en practicas</t>
        </is>
      </c>
      <c r="C1775" s="5" t="inlineStr">
        <is>
          <t>Prácticas</t>
        </is>
      </c>
      <c r="D1775" s="5" t="inlineStr">
        <is>
          <t>Semestral</t>
        </is>
      </c>
      <c r="E1775" s="5" t="inlineStr">
        <is>
          <t>Positivo</t>
        </is>
      </c>
      <c r="F1775" s="101" t="n">
        <v>45657</v>
      </c>
      <c r="G1775" s="5" t="n">
        <v>2024</v>
      </c>
      <c r="H1775" s="5" t="inlineStr">
        <is>
          <t>Diciembre</t>
        </is>
      </c>
      <c r="I1775" s="6" t="inlineStr">
        <is>
          <t>2024-2</t>
        </is>
      </c>
      <c r="J1775" s="5" t="n">
        <v>87</v>
      </c>
      <c r="K1775" s="10" t="n">
        <v>100</v>
      </c>
      <c r="L1775" s="14">
        <f>IFERROR(IF(OR(J1775=0,K1775=""),"",IF(E1775="Positivo",MIN(MAX(K1775/J1775,0),1.3),MIN(MAX(J1775/K1775,0),1.3))),"") </f>
        <v/>
      </c>
      <c r="M1775" s="14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358-2024-12-31</t>
        </is>
      </c>
    </row>
    <row r="1776" hidden="1">
      <c r="A1776" s="21" t="n">
        <v>358</v>
      </c>
      <c r="B1776" s="5" t="inlineStr">
        <is>
          <t>Nivel de acompañamiento a estudiantes en práctica</t>
        </is>
      </c>
      <c r="C1776" s="5" t="inlineStr">
        <is>
          <t>Prácticas</t>
        </is>
      </c>
      <c r="D1776" s="5" t="inlineStr">
        <is>
          <t>Trimestral</t>
        </is>
      </c>
      <c r="E1776" s="5" t="inlineStr">
        <is>
          <t>Positivo</t>
        </is>
      </c>
      <c r="F1776" s="101" t="n">
        <v>45838</v>
      </c>
      <c r="G1776" s="5" t="n">
        <v>2025</v>
      </c>
      <c r="H1776" s="5" t="inlineStr">
        <is>
          <t>Junio</t>
        </is>
      </c>
      <c r="I1776" s="6" t="inlineStr">
        <is>
          <t>2025-1</t>
        </is>
      </c>
      <c r="J1776" s="5" t="n">
        <v>100</v>
      </c>
      <c r="K1776" s="10" t="n">
        <v>100</v>
      </c>
      <c r="L1776" s="14">
        <f>IFERROR(IF(OR(J1776=0,K1776=""),"",IF(E1776="Positivo",MIN(MAX(K1776/J1776,0),1.3),MIN(MAX(J1776/K1776,0),1.3))),"") </f>
        <v/>
      </c>
      <c r="M1776" s="14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358-2025-06-30</t>
        </is>
      </c>
    </row>
    <row r="1777" hidden="1">
      <c r="A1777" s="21" t="n">
        <v>358</v>
      </c>
      <c r="B1777" s="5" t="inlineStr">
        <is>
          <t>Acompañamiento a estudiantes en practicas</t>
        </is>
      </c>
      <c r="C1777" s="5" t="inlineStr">
        <is>
          <t>Prácticas</t>
        </is>
      </c>
      <c r="D1777" s="5" t="inlineStr">
        <is>
          <t>Semestral</t>
        </is>
      </c>
      <c r="E1777" s="5" t="inlineStr">
        <is>
          <t>Positivo</t>
        </is>
      </c>
      <c r="F1777" s="101" t="n">
        <v>46022</v>
      </c>
      <c r="G1777" s="5" t="n">
        <v>2025</v>
      </c>
      <c r="H1777" s="5" t="inlineStr">
        <is>
          <t>Diciembre</t>
        </is>
      </c>
      <c r="I1777" s="6" t="inlineStr">
        <is>
          <t>2025-2</t>
        </is>
      </c>
      <c r="J1777" s="5" t="n">
        <v>100</v>
      </c>
      <c r="K1777" s="10" t="n">
        <v>100</v>
      </c>
      <c r="L1777" s="14">
        <f>IFERROR(IF(OR(J1777=0,K1777=""),"",IF(E1777="Positivo",MIN(MAX(K1777/J1777,0),1.3),MIN(MAX(J1777/K1777,0),1.3))),"") </f>
        <v/>
      </c>
      <c r="M1777" s="14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358-2025-12-31</t>
        </is>
      </c>
    </row>
    <row r="1778" hidden="1">
      <c r="A1778" s="21" t="n">
        <v>359</v>
      </c>
      <c r="B1778" s="5" t="inlineStr">
        <is>
          <t>Satisfacción Institucional CSAT</t>
        </is>
      </c>
      <c r="C1778" s="5" t="inlineStr">
        <is>
          <t>EXPERIENCIA INSTITUCIONAL</t>
        </is>
      </c>
      <c r="D1778" s="5" t="inlineStr">
        <is>
          <t>Trimestral</t>
        </is>
      </c>
      <c r="E1778" s="5" t="inlineStr">
        <is>
          <t>Positivo</t>
        </is>
      </c>
      <c r="F1778" s="101" t="n">
        <v>45473</v>
      </c>
      <c r="G1778" s="5" t="n">
        <v>2024</v>
      </c>
      <c r="H1778" s="5" t="inlineStr">
        <is>
          <t>Junio</t>
        </is>
      </c>
      <c r="I1778" s="6" t="inlineStr">
        <is>
          <t>2024-1</t>
        </is>
      </c>
      <c r="J1778" s="5" t="n">
        <v>80</v>
      </c>
      <c r="K1778" s="10" t="n">
        <v>0</v>
      </c>
      <c r="L1778" s="14">
        <f>IFERROR(IF(OR(J1778=0,K1778=""),"",IF(E1778="Positivo",MIN(MAX(K1778/J1778,0),1.3),MIN(MAX(J1778/K1778,0),1.3))),"") </f>
        <v/>
      </c>
      <c r="M1778" s="14">
        <f>IFERROR(IF(OR(J1778=0,K1778=""),"",IF(E1778="Positivo",MAX(K1778/J1778,0),MAX(J1778/K1778,0))),"") </f>
        <v/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359-2024-06-30</t>
        </is>
      </c>
    </row>
    <row r="1779" hidden="1">
      <c r="A1779" s="21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01" t="n">
        <v>45657</v>
      </c>
      <c r="G1779" s="5" t="n">
        <v>2024</v>
      </c>
      <c r="H1779" s="5" t="inlineStr">
        <is>
          <t>Diciembre</t>
        </is>
      </c>
      <c r="I1779" s="6" t="inlineStr">
        <is>
          <t>2024-2</t>
        </is>
      </c>
      <c r="J1779" s="5" t="n">
        <v>80</v>
      </c>
      <c r="K1779" s="10" t="n">
        <v>86</v>
      </c>
      <c r="L1779" s="14">
        <f>IFERROR(IF(OR(J1779=0,K1779=""),"",IF(E1779="Positivo",MIN(MAX(K1779/J1779,0),1.3),MIN(MAX(J1779/K1779,0),1.3))),"") </f>
        <v/>
      </c>
      <c r="M1779" s="14">
        <f>IFERROR(IF(OR(J1779=0,K1779=""),"",IF(E1779="Positivo",MAX(K1779/J1779,0),MAX(J1779/K1779,0))),"") </f>
        <v/>
      </c>
      <c r="N1779" s="5" t="inlineStr">
        <is>
          <t>%</t>
        </is>
      </c>
      <c r="O1779" s="5" t="inlineStr">
        <is>
          <t>%</t>
        </is>
      </c>
      <c r="P1779" s="15" t="n">
        <v>0</v>
      </c>
      <c r="Q1779" s="15" t="n">
        <v>0</v>
      </c>
      <c r="R1779" s="5" t="inlineStr">
        <is>
          <t>359-2024-12-31</t>
        </is>
      </c>
    </row>
    <row r="1780" hidden="1">
      <c r="A1780" s="21" t="n">
        <v>359</v>
      </c>
      <c r="B1780" s="5" t="inlineStr">
        <is>
          <t>Satisfacción Institucional</t>
        </is>
      </c>
      <c r="C1780" s="5" t="inlineStr">
        <is>
          <t>EXPERIENCIA INSTITUCIONAL</t>
        </is>
      </c>
      <c r="D1780" s="5" t="inlineStr">
        <is>
          <t>Semestral</t>
        </is>
      </c>
      <c r="E1780" s="5" t="inlineStr">
        <is>
          <t>Positivo</t>
        </is>
      </c>
      <c r="F1780" s="101" t="n">
        <v>45838</v>
      </c>
      <c r="G1780" s="5" t="n">
        <v>2025</v>
      </c>
      <c r="H1780" s="5" t="inlineStr">
        <is>
          <t>Junio</t>
        </is>
      </c>
      <c r="I1780" s="6" t="inlineStr">
        <is>
          <t>2025-1</t>
        </is>
      </c>
      <c r="J1780" s="5" t="n">
        <v>80</v>
      </c>
      <c r="K1780" s="10" t="n">
        <v>90</v>
      </c>
      <c r="L1780" s="14">
        <f>IFERROR(IF(OR(J1780=0,K1780=""),"",IF(E1780="Positivo",MIN(MAX(K1780/J1780,0),1.3),MIN(MAX(J1780/K1780,0),1.3))),"") </f>
        <v/>
      </c>
      <c r="M1780" s="14">
        <f>IFERROR(IF(OR(J1780=0,K1780=""),"",IF(E1780="Positivo",MAX(K1780/J1780,0),MAX(J1780/K1780,0))),"") </f>
        <v/>
      </c>
      <c r="N1780" s="5" t="inlineStr">
        <is>
          <t>%</t>
        </is>
      </c>
      <c r="O1780" s="5" t="inlineStr">
        <is>
          <t>%</t>
        </is>
      </c>
      <c r="P1780" s="15" t="n">
        <v>0</v>
      </c>
      <c r="Q1780" s="15" t="n">
        <v>0</v>
      </c>
      <c r="R1780" s="5" t="inlineStr">
        <is>
          <t>359-2025-06-30</t>
        </is>
      </c>
    </row>
    <row r="1781" hidden="1">
      <c r="A1781" s="21" t="n">
        <v>359</v>
      </c>
      <c r="B1781" s="5" t="inlineStr">
        <is>
          <t>Satisfacción Institucional CSAT</t>
        </is>
      </c>
      <c r="C1781" s="5" t="inlineStr">
        <is>
          <t>EXPERIENCIA INSTITUCIONAL</t>
        </is>
      </c>
      <c r="D1781" s="5" t="inlineStr">
        <is>
          <t>Trimestral</t>
        </is>
      </c>
      <c r="E1781" s="5" t="inlineStr">
        <is>
          <t>Positivo</t>
        </is>
      </c>
      <c r="F1781" s="101" t="n">
        <v>46022</v>
      </c>
      <c r="G1781" s="5" t="n">
        <v>2025</v>
      </c>
      <c r="H1781" s="5" t="inlineStr">
        <is>
          <t>Diciembre</t>
        </is>
      </c>
      <c r="I1781" s="6" t="inlineStr">
        <is>
          <t>2025-2</t>
        </is>
      </c>
      <c r="J1781" s="5" t="n">
        <v>85</v>
      </c>
      <c r="K1781" s="10" t="n">
        <v>89.90000000000001</v>
      </c>
      <c r="L1781" s="14">
        <f>IFERROR(IF(OR(J1781=0,K1781=""),"",IF(E1781="Positivo",MIN(MAX(K1781/J1781,0),1.3),MIN(MAX(J1781/K1781,0),1.3))),"") </f>
        <v/>
      </c>
      <c r="M1781" s="14">
        <f>IFERROR(IF(OR(J1781=0,K1781=""),"",IF(E1781="Positivo",MAX(K1781/J1781,0),MAX(J1781/K1781,0))),"") </f>
        <v/>
      </c>
      <c r="N1781" s="5" t="inlineStr">
        <is>
          <t>%</t>
        </is>
      </c>
      <c r="O1781" s="5" t="inlineStr">
        <is>
          <t>%</t>
        </is>
      </c>
      <c r="P1781" s="15" t="n">
        <v>0</v>
      </c>
      <c r="Q1781" s="15" t="n">
        <v>0</v>
      </c>
      <c r="R1781" s="5" t="inlineStr">
        <is>
          <t>359-2025-12-31</t>
        </is>
      </c>
    </row>
    <row r="1782" hidden="1">
      <c r="A1782" s="21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01" t="n">
        <v>45107</v>
      </c>
      <c r="G1782" s="5" t="n">
        <v>2023</v>
      </c>
      <c r="H1782" s="5" t="inlineStr">
        <is>
          <t>Junio</t>
        </is>
      </c>
      <c r="I1782" s="6" t="inlineStr">
        <is>
          <t>2023-1</t>
        </is>
      </c>
      <c r="J1782" s="5" t="n">
        <v>0</v>
      </c>
      <c r="K1782" s="10" t="n">
        <v>0</v>
      </c>
      <c r="L1782" s="14">
        <f>IFERROR(IF(OR(J1782=0,K1782=""),"",IF(E1782="Positivo",MIN(MAX(K1782/J1782,0),1.3),MIN(MAX(J1782/K1782,0),1.3))),"") </f>
        <v/>
      </c>
      <c r="M1782" s="14">
        <f>IFERROR(IF(OR(J1782=0,K1782=""),"",IF(E1782="Positivo",MAX(K1782/J1782,0),MAX(J1782/K1782,0))),"") </f>
        <v/>
      </c>
      <c r="N1782" s="5" t="n"/>
      <c r="O1782" s="5" t="n"/>
      <c r="P1782" s="15" t="n">
        <v>0</v>
      </c>
      <c r="Q1782" s="15" t="n">
        <v>0</v>
      </c>
      <c r="R1782" s="5" t="inlineStr">
        <is>
          <t>360-2023-06-30</t>
        </is>
      </c>
    </row>
    <row r="1783" hidden="1">
      <c r="A1783" s="21" t="n">
        <v>360</v>
      </c>
      <c r="B1783" s="5" t="inlineStr">
        <is>
          <t>Cumplimiento de cronogramas</t>
        </is>
      </c>
      <c r="C1783" s="5" t="inlineStr">
        <is>
          <t>EXPERIENCIA INSTITUCIONAL</t>
        </is>
      </c>
      <c r="D1783" s="5" t="inlineStr">
        <is>
          <t>Semestral</t>
        </is>
      </c>
      <c r="E1783" s="5" t="inlineStr">
        <is>
          <t>Positivo</t>
        </is>
      </c>
      <c r="F1783" s="101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0</v>
      </c>
      <c r="K1783" s="10" t="n">
        <v>0</v>
      </c>
      <c r="L1783" s="14">
        <f>IFERROR(IF(OR(J1783=0,K1783=""),"",IF(E1783="Positivo",MIN(MAX(K1783/J1783,0),1.3),MIN(MAX(J1783/K1783,0),1.3))),"") </f>
        <v/>
      </c>
      <c r="M1783" s="14">
        <f>IFERROR(IF(OR(J1783=0,K1783=""),"",IF(E1783="Positivo",MAX(K1783/J1783,0),MAX(J1783/K1783,0))),"") </f>
        <v/>
      </c>
      <c r="N1783" s="5" t="n"/>
      <c r="O1783" s="5" t="n"/>
      <c r="P1783" s="15" t="n">
        <v>0</v>
      </c>
      <c r="Q1783" s="15" t="n">
        <v>0</v>
      </c>
      <c r="R1783" s="5" t="inlineStr">
        <is>
          <t>360-2023-12-31</t>
        </is>
      </c>
    </row>
    <row r="1784" hidden="1">
      <c r="A1784" s="21" t="n">
        <v>361</v>
      </c>
      <c r="B1784" s="5" t="inlineStr">
        <is>
          <t>%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01" t="n">
        <v>45291</v>
      </c>
      <c r="G1784" s="5" t="n">
        <v>2023</v>
      </c>
      <c r="H1784" s="5" t="inlineStr">
        <is>
          <t>Diciembre</t>
        </is>
      </c>
      <c r="I1784" s="6" t="inlineStr">
        <is>
          <t>2023-2</t>
        </is>
      </c>
      <c r="J1784" s="5" t="n">
        <v>4.5</v>
      </c>
      <c r="K1784" s="10" t="n">
        <v>4.56</v>
      </c>
      <c r="L1784" s="14">
        <f>IFERROR(IF(OR(J1784=0,K1784=""),"",IF(E1784="Positivo",MIN(MAX(K1784/J1784,0),1.3),MIN(MAX(J1784/K1784,0),1.3))),"") </f>
        <v/>
      </c>
      <c r="M1784" s="14">
        <f>IFERROR(IF(OR(J1784=0,K1784=""),"",IF(E1784="Positivo",MAX(K1784/J1784,0),MAX(J1784/K1784,0))),"") </f>
        <v/>
      </c>
      <c r="N1784" s="5" t="n"/>
      <c r="O1784" s="5" t="n"/>
      <c r="P1784" s="15" t="n">
        <v>2</v>
      </c>
      <c r="Q1784" s="15" t="n">
        <v>2</v>
      </c>
      <c r="R1784" s="5" t="inlineStr">
        <is>
          <t>361-2023-12-31</t>
        </is>
      </c>
    </row>
    <row r="1785" hidden="1">
      <c r="A1785" s="21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01" t="n">
        <v>45657</v>
      </c>
      <c r="G1785" s="5" t="n">
        <v>2024</v>
      </c>
      <c r="H1785" s="5" t="inlineStr">
        <is>
          <t>Diciembre</t>
        </is>
      </c>
      <c r="I1785" s="6" t="inlineStr">
        <is>
          <t>2024-2</t>
        </is>
      </c>
      <c r="J1785" s="5" t="n"/>
      <c r="K1785" s="10" t="n"/>
      <c r="L1785" s="14" t="n"/>
      <c r="M1785" s="14" t="n"/>
      <c r="N1785" s="5" t="inlineStr">
        <is>
          <t>DEC</t>
        </is>
      </c>
      <c r="O1785" s="5" t="inlineStr">
        <is>
          <t>No Aplica</t>
        </is>
      </c>
      <c r="P1785" s="15" t="n">
        <v>1</v>
      </c>
      <c r="Q1785" s="15" t="n">
        <v>2</v>
      </c>
      <c r="R1785" s="5" t="inlineStr">
        <is>
          <t>361-2024-12-31</t>
        </is>
      </c>
      <c r="S1785" t="inlineStr">
        <is>
          <t>No Aplica</t>
        </is>
      </c>
    </row>
    <row r="1786" hidden="1">
      <c r="A1786" s="21" t="n">
        <v>361</v>
      </c>
      <c r="B1786" s="5" t="inlineStr">
        <is>
          <t>Índice de Inclusión</t>
        </is>
      </c>
      <c r="C1786" s="5" t="inlineStr">
        <is>
          <t>Gestión de la Responsabilidad Social</t>
        </is>
      </c>
      <c r="D1786" s="5" t="inlineStr">
        <is>
          <t>Anual</t>
        </is>
      </c>
      <c r="E1786" s="5" t="inlineStr">
        <is>
          <t>Positivo</t>
        </is>
      </c>
      <c r="F1786" s="101" t="n">
        <v>46022</v>
      </c>
      <c r="G1786" s="5" t="n">
        <v>2025</v>
      </c>
      <c r="H1786" s="5" t="inlineStr">
        <is>
          <t>Diciembre</t>
        </is>
      </c>
      <c r="I1786" s="6" t="inlineStr">
        <is>
          <t>2025-2</t>
        </is>
      </c>
      <c r="J1786" s="5" t="n">
        <v>4.6</v>
      </c>
      <c r="K1786" s="10" t="n">
        <v>4.78</v>
      </c>
      <c r="L1786" s="14">
        <f>IFERROR(IF(OR(J1786=0,K1786=""),"",IF(E1786="Positivo",MIN(MAX(K1786/J1786,0),1.3),MIN(MAX(J1786/K1786,0),1.3))),"") </f>
        <v/>
      </c>
      <c r="M1786" s="14">
        <f>IFERROR(IF(OR(J1786=0,K1786=""),"",IF(E1786="Positivo",MAX(K1786/J1786,0),MAX(J1786/K1786,0))),"") </f>
        <v/>
      </c>
      <c r="N1786" s="5" t="inlineStr">
        <is>
          <t>DEC</t>
        </is>
      </c>
      <c r="O1786" s="5" t="inlineStr">
        <is>
          <t>DEC</t>
        </is>
      </c>
      <c r="P1786" s="15" t="n">
        <v>1</v>
      </c>
      <c r="Q1786" s="15" t="n">
        <v>2</v>
      </c>
      <c r="R1786" s="5" t="inlineStr">
        <is>
          <t>361-2025-12-31</t>
        </is>
      </c>
    </row>
    <row r="1787" hidden="1">
      <c r="A1787" s="21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01" t="n">
        <v>45016</v>
      </c>
      <c r="G1787" s="5" t="n">
        <v>2023</v>
      </c>
      <c r="H1787" s="5" t="inlineStr">
        <is>
          <t>Marzo</t>
        </is>
      </c>
      <c r="I1787" s="6" t="inlineStr">
        <is>
          <t>2023-1</t>
        </is>
      </c>
      <c r="J1787" s="5" t="n"/>
      <c r="K1787" s="10" t="n"/>
      <c r="L1787" s="14" t="n"/>
      <c r="M1787" s="14" t="n"/>
      <c r="N1787" s="5" t="inlineStr">
        <is>
          <t>%</t>
        </is>
      </c>
      <c r="O1787" s="5" t="inlineStr">
        <is>
          <t>No Aplica</t>
        </is>
      </c>
      <c r="P1787" s="15" t="n">
        <v>0</v>
      </c>
      <c r="Q1787" s="15" t="n">
        <v>0</v>
      </c>
      <c r="R1787" s="5" t="inlineStr">
        <is>
          <t>362-2023-03-31</t>
        </is>
      </c>
      <c r="S1787" t="inlineStr">
        <is>
          <t>No Aplica</t>
        </is>
      </c>
    </row>
    <row r="1788" hidden="1">
      <c r="A1788" s="21" t="n">
        <v>362</v>
      </c>
      <c r="B1788" s="5" t="inlineStr">
        <is>
          <t>Aseguramiento de matricula académica presencial</t>
        </is>
      </c>
      <c r="C1788" s="5" t="inlineStr">
        <is>
          <t>Operaciones Académicas</t>
        </is>
      </c>
      <c r="D1788" s="5" t="inlineStr">
        <is>
          <t>Trimestral</t>
        </is>
      </c>
      <c r="E1788" s="5" t="inlineStr">
        <is>
          <t>Positivo</t>
        </is>
      </c>
      <c r="F1788" s="101" t="n">
        <v>45107</v>
      </c>
      <c r="G1788" s="5" t="n">
        <v>2023</v>
      </c>
      <c r="H1788" s="5" t="inlineStr">
        <is>
          <t>Junio</t>
        </is>
      </c>
      <c r="I1788" s="6" t="inlineStr">
        <is>
          <t>2023-1</t>
        </is>
      </c>
      <c r="J1788" s="5" t="n"/>
      <c r="K1788" s="10" t="n"/>
      <c r="L1788" s="14" t="n"/>
      <c r="M1788" s="14" t="n"/>
      <c r="N1788" s="5" t="inlineStr">
        <is>
          <t>%</t>
        </is>
      </c>
      <c r="O1788" s="5" t="inlineStr">
        <is>
          <t>No Aplica</t>
        </is>
      </c>
      <c r="P1788" s="15" t="n">
        <v>0</v>
      </c>
      <c r="Q1788" s="15" t="n">
        <v>0</v>
      </c>
      <c r="R1788" s="5" t="inlineStr">
        <is>
          <t>362-2023-06-30</t>
        </is>
      </c>
      <c r="S1788" t="inlineStr">
        <is>
          <t>No Aplica</t>
        </is>
      </c>
    </row>
    <row r="1789" hidden="1">
      <c r="A1789" s="21" t="n">
        <v>362</v>
      </c>
      <c r="B1789" s="5" t="inlineStr">
        <is>
          <t>Aseguramiento de matricula académica presencial</t>
        </is>
      </c>
      <c r="C1789" s="5" t="inlineStr">
        <is>
          <t>Operaciones Académicas</t>
        </is>
      </c>
      <c r="D1789" s="5" t="inlineStr">
        <is>
          <t>Semestral</t>
        </is>
      </c>
      <c r="E1789" s="5" t="inlineStr">
        <is>
          <t>Positivo</t>
        </is>
      </c>
      <c r="F1789" s="101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100</v>
      </c>
      <c r="K1789" s="10" t="n">
        <v>99.156641448592</v>
      </c>
      <c r="L1789" s="14">
        <f>IFERROR(IF(OR(J1789=0,K1789=""),"",IF(E1789="Positivo",MIN(MAX(K1789/J1789,0),1.3),MIN(MAX(J1789/K1789,0),1.3))),"") </f>
        <v/>
      </c>
      <c r="M1789" s="14">
        <f>IFERROR(IF(OR(J1789=0,K1789=""),"",IF(E1789="Positivo",MAX(K1789/J1789,0),MAX(J1789/K1789,0))),"") </f>
        <v/>
      </c>
      <c r="N1789" s="5" t="inlineStr">
        <is>
          <t>%</t>
        </is>
      </c>
      <c r="O1789" s="5" t="inlineStr">
        <is>
          <t>%</t>
        </is>
      </c>
      <c r="P1789" s="15" t="n">
        <v>0</v>
      </c>
      <c r="Q1789" s="15" t="n">
        <v>0</v>
      </c>
      <c r="R1789" s="5" t="inlineStr">
        <is>
          <t>362-2023-12-31</t>
        </is>
      </c>
    </row>
    <row r="1790" hidden="1">
      <c r="A1790" s="21" t="n">
        <v>362</v>
      </c>
      <c r="B1790" s="5" t="inlineStr">
        <is>
          <t>Aseguramiento de matricula académica presencial</t>
        </is>
      </c>
      <c r="C1790" s="5" t="inlineStr">
        <is>
          <t>Operaciones Académicas</t>
        </is>
      </c>
      <c r="D1790" s="5" t="inlineStr">
        <is>
          <t>Semestral</t>
        </is>
      </c>
      <c r="E1790" s="5" t="inlineStr">
        <is>
          <t>Positivo</t>
        </is>
      </c>
      <c r="F1790" s="101" t="n">
        <v>45473</v>
      </c>
      <c r="G1790" s="5" t="n">
        <v>2024</v>
      </c>
      <c r="H1790" s="5" t="inlineStr">
        <is>
          <t>Junio</t>
        </is>
      </c>
      <c r="I1790" s="6" t="inlineStr">
        <is>
          <t>2024-1</t>
        </is>
      </c>
      <c r="J1790" s="5" t="n">
        <v>98</v>
      </c>
      <c r="K1790" s="10" t="n">
        <v>99.58432304038006</v>
      </c>
      <c r="L1790" s="14">
        <f>IFERROR(IF(OR(J1790=0,K1790=""),"",IF(E1790="Positivo",MIN(MAX(K1790/J1790,0),1.3),MIN(MAX(J1790/K1790,0),1.3))),"") </f>
        <v/>
      </c>
      <c r="M1790" s="14">
        <f>IFERROR(IF(OR(J1790=0,K1790=""),"",IF(E1790="Positivo",MAX(K1790/J1790,0),MAX(J1790/K1790,0))),"") </f>
        <v/>
      </c>
      <c r="N1790" s="5" t="inlineStr">
        <is>
          <t>%</t>
        </is>
      </c>
      <c r="O1790" s="5" t="inlineStr">
        <is>
          <t>%</t>
        </is>
      </c>
      <c r="P1790" s="15" t="n">
        <v>0</v>
      </c>
      <c r="Q1790" s="15" t="n">
        <v>0</v>
      </c>
      <c r="R1790" s="5" t="inlineStr">
        <is>
          <t>362-2024-06-30</t>
        </is>
      </c>
    </row>
    <row r="1791" hidden="1">
      <c r="A1791" s="21" t="n">
        <v>362</v>
      </c>
      <c r="B1791" s="5" t="inlineStr">
        <is>
          <t>Aseguramiento de matricula académica presencial</t>
        </is>
      </c>
      <c r="C1791" s="5" t="inlineStr">
        <is>
          <t>Operaciones Académicas</t>
        </is>
      </c>
      <c r="D1791" s="5" t="inlineStr">
        <is>
          <t>Semestral</t>
        </is>
      </c>
      <c r="E1791" s="5" t="inlineStr">
        <is>
          <t>Positivo</t>
        </is>
      </c>
      <c r="F1791" s="101" t="n">
        <v>45657</v>
      </c>
      <c r="G1791" s="5" t="n">
        <v>2024</v>
      </c>
      <c r="H1791" s="5" t="inlineStr">
        <is>
          <t>Diciembre</t>
        </is>
      </c>
      <c r="I1791" s="6" t="inlineStr">
        <is>
          <t>2024-2</t>
        </is>
      </c>
      <c r="J1791" s="5" t="n">
        <v>98</v>
      </c>
      <c r="K1791" s="10" t="n">
        <v>99.48999999999999</v>
      </c>
      <c r="L1791" s="14">
        <f>IFERROR(IF(OR(J1791=0,K1791=""),"",IF(E1791="Positivo",MIN(MAX(K1791/J1791,0),1.3),MIN(MAX(J1791/K1791,0),1.3))),"") </f>
        <v/>
      </c>
      <c r="M1791" s="14">
        <f>IFERROR(IF(OR(J1791=0,K1791=""),"",IF(E1791="Positivo",MAX(K1791/J1791,0),MAX(J1791/K1791,0))),"") </f>
        <v/>
      </c>
      <c r="N1791" s="5" t="inlineStr">
        <is>
          <t>%</t>
        </is>
      </c>
      <c r="O1791" s="5" t="inlineStr">
        <is>
          <t>%</t>
        </is>
      </c>
      <c r="P1791" s="15" t="n">
        <v>0</v>
      </c>
      <c r="Q1791" s="15" t="n">
        <v>0</v>
      </c>
      <c r="R1791" s="5" t="inlineStr">
        <is>
          <t>362-2024-12-31</t>
        </is>
      </c>
    </row>
    <row r="1792" hidden="1">
      <c r="A1792" s="21" t="n">
        <v>362</v>
      </c>
      <c r="B1792" s="5" t="inlineStr">
        <is>
          <t>Aseguramiento de matricula académica presencial</t>
        </is>
      </c>
      <c r="C1792" s="5" t="inlineStr">
        <is>
          <t>Operaciones Académicas</t>
        </is>
      </c>
      <c r="D1792" s="5" t="inlineStr">
        <is>
          <t>Semestral</t>
        </is>
      </c>
      <c r="E1792" s="5" t="inlineStr">
        <is>
          <t>Positivo</t>
        </is>
      </c>
      <c r="F1792" s="101" t="n">
        <v>45838</v>
      </c>
      <c r="G1792" s="5" t="n">
        <v>2025</v>
      </c>
      <c r="H1792" s="5" t="inlineStr">
        <is>
          <t>Junio</t>
        </is>
      </c>
      <c r="I1792" s="6" t="inlineStr">
        <is>
          <t>2025-1</t>
        </is>
      </c>
      <c r="J1792" s="5" t="n">
        <v>98</v>
      </c>
      <c r="K1792" s="10" t="n">
        <v>99.63</v>
      </c>
      <c r="L1792" s="14">
        <f>IFERROR(IF(OR(J1792=0,K1792=""),"",IF(E1792="Positivo",MIN(MAX(K1792/J1792,0),1.3),MIN(MAX(J1792/K1792,0),1.3))),"") </f>
        <v/>
      </c>
      <c r="M1792" s="14">
        <f>IFERROR(IF(OR(J1792=0,K1792=""),"",IF(E1792="Positivo",MAX(K1792/J1792,0),MAX(J1792/K1792,0))),"") </f>
        <v/>
      </c>
      <c r="N1792" s="5" t="inlineStr">
        <is>
          <t>%</t>
        </is>
      </c>
      <c r="O1792" s="5" t="inlineStr">
        <is>
          <t>%</t>
        </is>
      </c>
      <c r="P1792" s="15" t="n">
        <v>0</v>
      </c>
      <c r="Q1792" s="15" t="n">
        <v>0</v>
      </c>
      <c r="R1792" s="5" t="inlineStr">
        <is>
          <t>362-2025-06-30</t>
        </is>
      </c>
    </row>
    <row r="1793" hidden="1">
      <c r="A1793" s="21" t="n">
        <v>362</v>
      </c>
      <c r="B1793" s="5" t="inlineStr">
        <is>
          <t>Aseguramiento de matricula académica presencial</t>
        </is>
      </c>
      <c r="C1793" s="5" t="inlineStr">
        <is>
          <t>Operaciones Académicas</t>
        </is>
      </c>
      <c r="D1793" s="5" t="inlineStr">
        <is>
          <t>Trimestral</t>
        </is>
      </c>
      <c r="E1793" s="5" t="inlineStr">
        <is>
          <t>Positivo</t>
        </is>
      </c>
      <c r="F1793" s="101" t="n">
        <v>46022</v>
      </c>
      <c r="G1793" s="5" t="n">
        <v>2025</v>
      </c>
      <c r="H1793" s="5" t="inlineStr">
        <is>
          <t>Diciembre</t>
        </is>
      </c>
      <c r="I1793" s="6" t="inlineStr">
        <is>
          <t>2025-2</t>
        </is>
      </c>
      <c r="J1793" s="5" t="n">
        <v>98</v>
      </c>
      <c r="K1793" s="10" t="n">
        <v>99.7</v>
      </c>
      <c r="L1793" s="14">
        <f>IFERROR(IF(OR(J1793=0,K1793=""),"",IF(E1793="Positivo",MIN(MAX(K1793/J1793,0),1.3),MIN(MAX(J1793/K1793,0),1.3))),"") </f>
        <v/>
      </c>
      <c r="M1793" s="14">
        <f>IFERROR(IF(OR(J1793=0,K1793=""),"",IF(E1793="Positivo",MAX(K1793/J1793,0),MAX(J1793/K1793,0))),"") </f>
        <v/>
      </c>
      <c r="N1793" s="5" t="inlineStr">
        <is>
          <t>%</t>
        </is>
      </c>
      <c r="O1793" s="5" t="inlineStr">
        <is>
          <t>%</t>
        </is>
      </c>
      <c r="P1793" s="15" t="n">
        <v>0</v>
      </c>
      <c r="Q1793" s="15" t="n">
        <v>0</v>
      </c>
      <c r="R1793" s="5" t="inlineStr">
        <is>
          <t>362-2025-12-31</t>
        </is>
      </c>
    </row>
    <row r="1794" hidden="1">
      <c r="A1794" s="21" t="n">
        <v>363</v>
      </c>
      <c r="B1794" s="5" t="inlineStr">
        <is>
          <t>Seguimiento a la parametrización de aulas master y secciones de asignaturas</t>
        </is>
      </c>
      <c r="C1794" s="5" t="inlineStr">
        <is>
          <t>Operaciones Académicas</t>
        </is>
      </c>
      <c r="D1794" s="5" t="inlineStr">
        <is>
          <t>Semestral</t>
        </is>
      </c>
      <c r="E1794" s="5" t="inlineStr">
        <is>
          <t>Positivo</t>
        </is>
      </c>
      <c r="F1794" s="101" t="n">
        <v>45291</v>
      </c>
      <c r="G1794" s="5" t="n">
        <v>2023</v>
      </c>
      <c r="H1794" s="5" t="inlineStr">
        <is>
          <t>Diciembre</t>
        </is>
      </c>
      <c r="I1794" s="6" t="inlineStr">
        <is>
          <t>2023-2</t>
        </is>
      </c>
      <c r="J1794" s="5" t="n">
        <v>100</v>
      </c>
      <c r="K1794" s="10" t="n">
        <v>100</v>
      </c>
      <c r="L1794" s="14">
        <f>IFERROR(IF(OR(J1794=0,K1794=""),"",IF(E1794="Positivo",MIN(MAX(K1794/J1794,0),1.3),MIN(MAX(J1794/K1794,0),1.3))),"") </f>
        <v/>
      </c>
      <c r="M1794" s="14">
        <f>IFERROR(IF(OR(J1794=0,K1794=""),"",IF(E1794="Positivo",MAX(K1794/J1794,0),MAX(J1794/K1794,0))),"") </f>
        <v/>
      </c>
      <c r="N1794" s="5" t="inlineStr">
        <is>
          <t>%</t>
        </is>
      </c>
      <c r="O1794" s="5" t="inlineStr">
        <is>
          <t>%</t>
        </is>
      </c>
      <c r="P1794" s="15" t="n">
        <v>0</v>
      </c>
      <c r="Q1794" s="15" t="n">
        <v>0</v>
      </c>
      <c r="R1794" s="5" t="inlineStr">
        <is>
          <t>363-2023-12-31</t>
        </is>
      </c>
    </row>
    <row r="1795" hidden="1">
      <c r="A1795" s="21" t="n">
        <v>363</v>
      </c>
      <c r="B1795" s="5" t="inlineStr">
        <is>
          <t>Seguimiento a la parametrización de aulas master y secciones de asignaturas</t>
        </is>
      </c>
      <c r="C1795" s="5" t="inlineStr">
        <is>
          <t>Operaciones Académicas</t>
        </is>
      </c>
      <c r="D1795" s="5" t="inlineStr">
        <is>
          <t>Semestral</t>
        </is>
      </c>
      <c r="E1795" s="5" t="inlineStr">
        <is>
          <t>Positivo</t>
        </is>
      </c>
      <c r="F1795" s="101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100</v>
      </c>
      <c r="K1795" s="10" t="n">
        <v>100</v>
      </c>
      <c r="L1795" s="14">
        <f>IFERROR(IF(OR(J1795=0,K1795=""),"",IF(E1795="Positivo",MIN(MAX(K1795/J1795,0),1.3),MIN(MAX(J1795/K1795,0),1.3))),"") </f>
        <v/>
      </c>
      <c r="M1795" s="14">
        <f>IFERROR(IF(OR(J1795=0,K1795=""),"",IF(E1795="Positivo",MAX(K1795/J1795,0),MAX(J1795/K1795,0))),"") </f>
        <v/>
      </c>
      <c r="N1795" s="5" t="inlineStr">
        <is>
          <t>%</t>
        </is>
      </c>
      <c r="O1795" s="5" t="inlineStr">
        <is>
          <t>%</t>
        </is>
      </c>
      <c r="P1795" s="15" t="n">
        <v>0</v>
      </c>
      <c r="Q1795" s="15" t="n">
        <v>0</v>
      </c>
      <c r="R1795" s="5" t="inlineStr">
        <is>
          <t>363-2024-06-30</t>
        </is>
      </c>
    </row>
    <row r="1796" hidden="1">
      <c r="A1796" s="21" t="n">
        <v>363</v>
      </c>
      <c r="B1796" s="5" t="inlineStr">
        <is>
          <t>Seguimiento a la parametrización de aulas master y secciones de asignaturas</t>
        </is>
      </c>
      <c r="C1796" s="5" t="inlineStr">
        <is>
          <t>Operaciones Académicas</t>
        </is>
      </c>
      <c r="D1796" s="5" t="inlineStr">
        <is>
          <t>Semestral</t>
        </is>
      </c>
      <c r="E1796" s="5" t="inlineStr">
        <is>
          <t>Positivo</t>
        </is>
      </c>
      <c r="F1796" s="101" t="n">
        <v>45657</v>
      </c>
      <c r="G1796" s="5" t="n">
        <v>2024</v>
      </c>
      <c r="H1796" s="5" t="inlineStr">
        <is>
          <t>Diciembre</t>
        </is>
      </c>
      <c r="I1796" s="6" t="inlineStr">
        <is>
          <t>2024-2</t>
        </is>
      </c>
      <c r="J1796" s="5" t="n">
        <v>100</v>
      </c>
      <c r="K1796" s="10" t="n">
        <v>100</v>
      </c>
      <c r="L1796" s="14">
        <f>IFERROR(IF(OR(J1796=0,K1796=""),"",IF(E1796="Positivo",MIN(MAX(K1796/J1796,0),1.3),MIN(MAX(J1796/K1796,0),1.3))),"") </f>
        <v/>
      </c>
      <c r="M1796" s="14">
        <f>IFERROR(IF(OR(J1796=0,K1796=""),"",IF(E1796="Positivo",MAX(K1796/J1796,0),MAX(J1796/K1796,0))),"") </f>
        <v/>
      </c>
      <c r="N1796" s="5" t="inlineStr">
        <is>
          <t>%</t>
        </is>
      </c>
      <c r="O1796" s="5" t="inlineStr">
        <is>
          <t>%</t>
        </is>
      </c>
      <c r="P1796" s="15" t="n">
        <v>0</v>
      </c>
      <c r="Q1796" s="15" t="n">
        <v>0</v>
      </c>
      <c r="R1796" s="5" t="inlineStr">
        <is>
          <t>363-2024-12-31</t>
        </is>
      </c>
    </row>
    <row r="1797" hidden="1">
      <c r="A1797" s="21" t="n">
        <v>363</v>
      </c>
      <c r="B1797" s="5" t="inlineStr">
        <is>
          <t>Seguimiento a la parametrización de aulas master y secciones de asignaturas</t>
        </is>
      </c>
      <c r="C1797" s="5" t="inlineStr">
        <is>
          <t>Operaciones Académicas</t>
        </is>
      </c>
      <c r="D1797" s="5" t="inlineStr">
        <is>
          <t>Trimestral</t>
        </is>
      </c>
      <c r="E1797" s="5" t="inlineStr">
        <is>
          <t>Positivo</t>
        </is>
      </c>
      <c r="F1797" s="101" t="n">
        <v>45838</v>
      </c>
      <c r="G1797" s="5" t="n">
        <v>2025</v>
      </c>
      <c r="H1797" s="5" t="inlineStr">
        <is>
          <t>Junio</t>
        </is>
      </c>
      <c r="I1797" s="6" t="inlineStr">
        <is>
          <t>2025-1</t>
        </is>
      </c>
      <c r="J1797" s="5" t="n">
        <v>100</v>
      </c>
      <c r="K1797" s="10" t="n">
        <v>100</v>
      </c>
      <c r="L1797" s="14">
        <f>IFERROR(IF(OR(J1797=0,K1797=""),"",IF(E1797="Positivo",MIN(MAX(K1797/J1797,0),1.3),MIN(MAX(J1797/K1797,0),1.3))),"") </f>
        <v/>
      </c>
      <c r="M1797" s="14">
        <f>IFERROR(IF(OR(J1797=0,K1797=""),"",IF(E1797="Positivo",MAX(K1797/J1797,0),MAX(J1797/K1797,0))),"") </f>
        <v/>
      </c>
      <c r="N1797" s="5" t="inlineStr">
        <is>
          <t>%</t>
        </is>
      </c>
      <c r="O1797" s="5" t="inlineStr">
        <is>
          <t>%</t>
        </is>
      </c>
      <c r="P1797" s="15" t="n">
        <v>0</v>
      </c>
      <c r="Q1797" s="15" t="n">
        <v>0</v>
      </c>
      <c r="R1797" s="5" t="inlineStr">
        <is>
          <t>363-2025-06-30</t>
        </is>
      </c>
    </row>
    <row r="1798" hidden="1">
      <c r="A1798" s="21" t="n">
        <v>363</v>
      </c>
      <c r="B1798" s="5" t="inlineStr">
        <is>
          <t>Seguimiento a la parametrización de aulas master y secciones de asignaturas</t>
        </is>
      </c>
      <c r="C1798" s="5" t="inlineStr">
        <is>
          <t>Operaciones Académicas</t>
        </is>
      </c>
      <c r="D1798" s="5" t="inlineStr">
        <is>
          <t>Trimestral</t>
        </is>
      </c>
      <c r="E1798" s="5" t="inlineStr">
        <is>
          <t>Positivo</t>
        </is>
      </c>
      <c r="F1798" s="101" t="n">
        <v>46022</v>
      </c>
      <c r="G1798" s="5" t="n">
        <v>2025</v>
      </c>
      <c r="H1798" s="5" t="inlineStr">
        <is>
          <t>Diciembre</t>
        </is>
      </c>
      <c r="I1798" s="6" t="inlineStr">
        <is>
          <t>2025-2</t>
        </is>
      </c>
      <c r="J1798" s="5" t="n">
        <v>100</v>
      </c>
      <c r="K1798" s="10" t="n">
        <v>100</v>
      </c>
      <c r="L1798" s="14">
        <f>IFERROR(IF(OR(J1798=0,K1798=""),"",IF(E1798="Positivo",MIN(MAX(K1798/J1798,0),1.3),MIN(MAX(J1798/K1798,0),1.3))),"") </f>
        <v/>
      </c>
      <c r="M1798" s="14">
        <f>IFERROR(IF(OR(J1798=0,K1798=""),"",IF(E1798="Positivo",MAX(K1798/J1798,0),MAX(J1798/K1798,0))),"") </f>
        <v/>
      </c>
      <c r="N1798" s="5" t="inlineStr">
        <is>
          <t>%</t>
        </is>
      </c>
      <c r="O1798" s="5" t="inlineStr">
        <is>
          <t>%</t>
        </is>
      </c>
      <c r="P1798" s="15" t="n">
        <v>0</v>
      </c>
      <c r="Q1798" s="15" t="n">
        <v>0</v>
      </c>
      <c r="R1798" s="5" t="inlineStr">
        <is>
          <t>363-2025-12-31</t>
        </is>
      </c>
    </row>
    <row r="1799" hidden="1">
      <c r="A1799" s="21" t="n">
        <v>364</v>
      </c>
      <c r="B1799" s="5" t="inlineStr">
        <is>
          <t>Impacto de actividades de Responsabilidad y proyección</t>
        </is>
      </c>
      <c r="C1799" s="5" t="inlineStr">
        <is>
          <t>Gestión de la Responsabilidad Social</t>
        </is>
      </c>
      <c r="D1799" s="5" t="inlineStr">
        <is>
          <t>Semestral</t>
        </is>
      </c>
      <c r="E1799" s="5" t="inlineStr">
        <is>
          <t>Negativo</t>
        </is>
      </c>
      <c r="F1799" s="101" t="n">
        <v>45107</v>
      </c>
      <c r="G1799" s="5" t="n">
        <v>2023</v>
      </c>
      <c r="H1799" s="5" t="inlineStr">
        <is>
          <t>Junio</t>
        </is>
      </c>
      <c r="I1799" s="6" t="inlineStr">
        <is>
          <t>2023-1</t>
        </is>
      </c>
      <c r="J1799" s="5" t="n">
        <v>0</v>
      </c>
      <c r="K1799" s="10" t="n">
        <v>30244</v>
      </c>
      <c r="L1799" s="14">
        <f>IFERROR(IF(OR(J1799=0,K1799=""),"",IF(E1799="Positivo",MIN(MAX(K1799/J1799,0),1.3),MIN(MAX(J1799/K1799,0),1.3))),"") </f>
        <v/>
      </c>
      <c r="M1799" s="14">
        <f>IFERROR(IF(OR(J1799=0,K1799=""),"",IF(E1799="Positivo",MAX(K1799/J1799,0),MAX(J1799/K1799,0))),"") </f>
        <v/>
      </c>
      <c r="N1799" s="5" t="n"/>
      <c r="O1799" s="5" t="n"/>
      <c r="P1799" s="15" t="n">
        <v>0</v>
      </c>
      <c r="Q1799" s="15" t="n">
        <v>0</v>
      </c>
      <c r="R1799" s="5" t="inlineStr">
        <is>
          <t>364-2023-06-30</t>
        </is>
      </c>
    </row>
    <row r="1800" hidden="1">
      <c r="A1800" s="21" t="n">
        <v>364</v>
      </c>
      <c r="B1800" s="5" t="inlineStr">
        <is>
          <t>Impacto de actividades de Responsabilidad y proyección</t>
        </is>
      </c>
      <c r="C1800" s="5" t="inlineStr">
        <is>
          <t>Gestión de la Responsabilidad Social</t>
        </is>
      </c>
      <c r="D1800" s="5" t="inlineStr">
        <is>
          <t>Semestral</t>
        </is>
      </c>
      <c r="E1800" s="5" t="inlineStr">
        <is>
          <t>Negativo</t>
        </is>
      </c>
      <c r="F1800" s="101" t="n">
        <v>45291</v>
      </c>
      <c r="G1800" s="5" t="n">
        <v>2023</v>
      </c>
      <c r="H1800" s="5" t="inlineStr">
        <is>
          <t>Diciembre</t>
        </is>
      </c>
      <c r="I1800" s="6" t="inlineStr">
        <is>
          <t>2023-2</t>
        </is>
      </c>
      <c r="J1800" s="5" t="n">
        <v>0</v>
      </c>
      <c r="K1800" s="10" t="n">
        <v>78450</v>
      </c>
      <c r="L1800" s="14">
        <f>IFERROR(IF(OR(J1800=0,K1800=""),"",IF(E1800="Positivo",MIN(MAX(K1800/J1800,0),1.3),MIN(MAX(J1800/K1800,0),1.3))),"") </f>
        <v/>
      </c>
      <c r="M1800" s="14">
        <f>IFERROR(IF(OR(J1800=0,K1800=""),"",IF(E1800="Positivo",MAX(K1800/J1800,0),MAX(J1800/K1800,0))),"") </f>
        <v/>
      </c>
      <c r="N1800" s="5" t="n"/>
      <c r="O1800" s="5" t="n"/>
      <c r="P1800" s="15" t="n">
        <v>0</v>
      </c>
      <c r="Q1800" s="15" t="n">
        <v>0</v>
      </c>
      <c r="R1800" s="5" t="inlineStr">
        <is>
          <t>364-2023-12-31</t>
        </is>
      </c>
    </row>
    <row r="1801" hidden="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Negativo</t>
        </is>
      </c>
      <c r="F1801" s="108" t="n">
        <v>45473</v>
      </c>
      <c r="G1801" t="n">
        <v>2024</v>
      </c>
      <c r="H1801" t="inlineStr">
        <is>
          <t>Junio</t>
        </is>
      </c>
      <c r="I1801" t="inlineStr">
        <is>
          <t>2024-1</t>
        </is>
      </c>
      <c r="J1801" t="n">
        <v>100</v>
      </c>
      <c r="K1801" t="n">
        <v>132.73</v>
      </c>
      <c r="L1801" s="39">
        <f>IFERROR(IF(OR(J1801=0,K1801=""),"",IF(E1801="Positivo",MIN(MAX(K1801/J1801,0),1.3),MIN(MAX(J1801/K1801,0),1.3))),"") </f>
        <v/>
      </c>
      <c r="M1801" s="39">
        <f>IFERROR(IF(OR(J1801=0,K1801=""),"",IF(E1801="Positivo",MAX(K1801/J1801,0),MAX(J1801/K1801,0))),"") </f>
        <v/>
      </c>
      <c r="P1801" t="n">
        <v>0</v>
      </c>
      <c r="Q1801" t="n">
        <v>0</v>
      </c>
      <c r="R1801" t="inlineStr">
        <is>
          <t>364-2024-06-30</t>
        </is>
      </c>
    </row>
    <row r="1802" hidden="1">
      <c r="A1802" t="n">
        <v>364</v>
      </c>
      <c r="B1802" t="inlineStr">
        <is>
          <t>Impacto de actividades de Responsabilidad y proyección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08" t="n">
        <v>45657</v>
      </c>
      <c r="G1802" t="n">
        <v>2024</v>
      </c>
      <c r="H1802" t="inlineStr">
        <is>
          <t>Diciembre</t>
        </is>
      </c>
      <c r="I1802" t="inlineStr">
        <is>
          <t>2024-2</t>
        </is>
      </c>
      <c r="J1802" t="n">
        <v>100</v>
      </c>
      <c r="K1802" t="n">
        <v>98.09</v>
      </c>
      <c r="L1802" s="39">
        <f>IFERROR(IF(OR(J1802=0,K1802=""),"",IF(E1802="Positivo",MIN(MAX(K1802/J1802,0),1.3),MIN(MAX(J1802/K1802,0),1.3))),"") </f>
        <v/>
      </c>
      <c r="M1802" s="39">
        <f>IFERROR(IF(OR(J1802=0,K1802=""),"",IF(E1802="Positivo",MAX(K1802/J1802,0),MAX(J1802/K1802,0))),"") </f>
        <v/>
      </c>
      <c r="P1802" t="n">
        <v>0</v>
      </c>
      <c r="Q1802" t="n">
        <v>0</v>
      </c>
      <c r="R1802" t="inlineStr">
        <is>
          <t>364-2024-12-31</t>
        </is>
      </c>
    </row>
    <row r="1803" hidden="1">
      <c r="A1803" t="n">
        <v>364</v>
      </c>
      <c r="B1803" t="inlineStr">
        <is>
          <t>Impacto de actividades de Responsabilidad y proyección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08" t="n">
        <v>45838</v>
      </c>
      <c r="G1803" t="n">
        <v>2025</v>
      </c>
      <c r="H1803" t="inlineStr">
        <is>
          <t>Junio</t>
        </is>
      </c>
      <c r="I1803" t="inlineStr">
        <is>
          <t>2025-1</t>
        </is>
      </c>
      <c r="J1803" t="n">
        <v>100</v>
      </c>
      <c r="K1803" t="n">
        <v>93.89</v>
      </c>
      <c r="L1803" s="39">
        <f>IFERROR(IF(OR(J1803=0,K1803=""),"",IF(E1803="Positivo",MIN(MAX(K1803/J1803,0),1.3),MIN(MAX(J1803/K1803,0),1.3))),"") </f>
        <v/>
      </c>
      <c r="M1803" s="39">
        <f>IFERROR(IF(OR(J1803=0,K1803=""),"",IF(E1803="Positivo",MAX(K1803/J1803,0),MAX(J1803/K1803,0))),"") </f>
        <v/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364-2025-06-30</t>
        </is>
      </c>
    </row>
    <row r="1804" hidden="1">
      <c r="A1804" t="n">
        <v>364</v>
      </c>
      <c r="B1804" t="inlineStr">
        <is>
          <t>Impacto de actividades de Responsabilidad y proyección</t>
        </is>
      </c>
      <c r="C1804" t="inlineStr">
        <is>
          <t>Gestión de la Responsabilidad Social</t>
        </is>
      </c>
      <c r="D1804" t="inlineStr">
        <is>
          <t>Trimestral</t>
        </is>
      </c>
      <c r="E1804" t="inlineStr">
        <is>
          <t>Positivo</t>
        </is>
      </c>
      <c r="F1804" s="108" t="n">
        <v>46022</v>
      </c>
      <c r="G1804" t="n">
        <v>2025</v>
      </c>
      <c r="H1804" t="inlineStr">
        <is>
          <t>Diciembre</t>
        </is>
      </c>
      <c r="I1804" t="inlineStr">
        <is>
          <t>2025-2</t>
        </is>
      </c>
      <c r="J1804" t="n">
        <v>100</v>
      </c>
      <c r="K1804" t="n">
        <v>78.11</v>
      </c>
      <c r="L1804" s="39">
        <f>IFERROR(IF(OR(J1804=0,K1804=""),"",IF(E1804="Positivo",MIN(MAX(K1804/J1804,0),1.3),MIN(MAX(J1804/K1804,0),1.3))),"") </f>
        <v/>
      </c>
      <c r="M1804" s="39">
        <f>IFERROR(IF(OR(J1804=0,K1804=""),"",IF(E1804="Positivo",MAX(K1804/J1804,0),MAX(J1804/K1804,0))),"") </f>
        <v/>
      </c>
      <c r="N1804" t="inlineStr">
        <is>
          <t>ENT</t>
        </is>
      </c>
      <c r="O1804" t="inlineStr">
        <is>
          <t>ENT</t>
        </is>
      </c>
      <c r="P1804" t="n">
        <v>0</v>
      </c>
      <c r="Q1804" t="n">
        <v>0</v>
      </c>
      <c r="R1804" t="inlineStr">
        <is>
          <t>364-2025-12-31</t>
        </is>
      </c>
    </row>
    <row r="1805" hidden="1">
      <c r="A1805" t="n">
        <v>365</v>
      </c>
      <c r="B1805" t="inlineStr">
        <is>
          <t>Seguimiento de asignación docente a NRC Pregrado-Posgrado Presencial</t>
        </is>
      </c>
      <c r="C1805" t="inlineStr">
        <is>
          <t>Operaciones Académicas</t>
        </is>
      </c>
      <c r="D1805" t="inlineStr">
        <is>
          <t>Semestral</t>
        </is>
      </c>
      <c r="E1805" t="inlineStr">
        <is>
          <t>Positivo</t>
        </is>
      </c>
      <c r="F1805" s="108" t="n">
        <v>45291</v>
      </c>
      <c r="G1805" t="n">
        <v>2023</v>
      </c>
      <c r="H1805" t="inlineStr">
        <is>
          <t>Diciembre</t>
        </is>
      </c>
      <c r="I1805" t="inlineStr">
        <is>
          <t>2023-2</t>
        </is>
      </c>
      <c r="J1805" t="n">
        <v>100</v>
      </c>
      <c r="K1805" t="n">
        <v>100</v>
      </c>
      <c r="L1805" s="39">
        <f>IFERROR(IF(OR(J1805=0,K1805=""),"",IF(E1805="Positivo",MIN(MAX(K1805/J1805,0),1.3),MIN(MAX(J1805/K1805,0),1.3))),"") </f>
        <v/>
      </c>
      <c r="M1805" s="39">
        <f>IFERROR(IF(OR(J1805=0,K1805=""),"",IF(E1805="Positivo",MAX(K1805/J1805,0),MAX(J1805/K1805,0))),"") </f>
        <v/>
      </c>
      <c r="N1805" t="inlineStr">
        <is>
          <t>%</t>
        </is>
      </c>
      <c r="O1805" t="inlineStr">
        <is>
          <t>%</t>
        </is>
      </c>
      <c r="P1805" t="n">
        <v>0</v>
      </c>
      <c r="Q1805" t="n">
        <v>0</v>
      </c>
      <c r="R1805" t="inlineStr">
        <is>
          <t>365-2023-12-31</t>
        </is>
      </c>
    </row>
    <row r="1806" hidden="1">
      <c r="A1806" t="n">
        <v>366</v>
      </c>
      <c r="B1806" t="inlineStr">
        <is>
          <t>Normalización de cobros pecuniarios</t>
        </is>
      </c>
      <c r="C1806" t="inlineStr">
        <is>
          <t>Operaciones Académicas</t>
        </is>
      </c>
      <c r="D1806" t="inlineStr">
        <is>
          <t>Anual</t>
        </is>
      </c>
      <c r="E1806" t="inlineStr">
        <is>
          <t>Positivo</t>
        </is>
      </c>
      <c r="F1806" s="108" t="n">
        <v>45291</v>
      </c>
      <c r="G1806" t="n">
        <v>2023</v>
      </c>
      <c r="H1806" t="inlineStr">
        <is>
          <t>Diciembre</t>
        </is>
      </c>
      <c r="I1806" t="inlineStr">
        <is>
          <t>2023-2</t>
        </is>
      </c>
      <c r="J1806" t="n">
        <v>100</v>
      </c>
      <c r="K1806" t="n">
        <v>100</v>
      </c>
      <c r="L1806" s="39">
        <f>IFERROR(IF(OR(J1806=0,K1806=""),"",IF(E1806="Positivo",MIN(MAX(K1806/J1806,0),1.3),MIN(MAX(J1806/K1806,0),1.3))),"") </f>
        <v/>
      </c>
      <c r="M1806" s="39">
        <f>IFERROR(IF(OR(J1806=0,K1806=""),"",IF(E1806="Positivo",MAX(K1806/J1806,0),MAX(J1806/K1806,0))),"") </f>
        <v/>
      </c>
      <c r="N1806" t="inlineStr">
        <is>
          <t>%</t>
        </is>
      </c>
      <c r="O1806" t="inlineStr">
        <is>
          <t>%</t>
        </is>
      </c>
      <c r="P1806" t="n">
        <v>0</v>
      </c>
      <c r="Q1806" t="n">
        <v>0</v>
      </c>
      <c r="R1806" t="inlineStr">
        <is>
          <t>366-2023-12-31</t>
        </is>
      </c>
    </row>
    <row r="1807" hidden="1">
      <c r="A1807" t="n">
        <v>366</v>
      </c>
      <c r="B1807" t="inlineStr">
        <is>
          <t>Normalización de cobros pecuniarios</t>
        </is>
      </c>
      <c r="C1807" t="inlineStr">
        <is>
          <t>Operaciones Académicas</t>
        </is>
      </c>
      <c r="D1807" t="inlineStr">
        <is>
          <t>Anual</t>
        </is>
      </c>
      <c r="E1807" t="inlineStr">
        <is>
          <t>Positivo</t>
        </is>
      </c>
      <c r="F1807" s="108" t="n">
        <v>45657</v>
      </c>
      <c r="G1807" t="n">
        <v>2024</v>
      </c>
      <c r="H1807" t="inlineStr">
        <is>
          <t>Diciembre</t>
        </is>
      </c>
      <c r="I1807" t="inlineStr">
        <is>
          <t>2024-2</t>
        </is>
      </c>
      <c r="J1807" t="n">
        <v>100</v>
      </c>
      <c r="K1807" t="n">
        <v>100</v>
      </c>
      <c r="L1807" s="39">
        <f>IFERROR(IF(OR(J1807=0,K1807=""),"",IF(E1807="Positivo",MIN(MAX(K1807/J1807,0),1.3),MIN(MAX(J1807/K1807,0),1.3))),"") </f>
        <v/>
      </c>
      <c r="M1807" s="39">
        <f>IFERROR(IF(OR(J1807=0,K1807=""),"",IF(E1807="Positivo",MAX(K1807/J1807,0),MAX(J1807/K1807,0))),"") </f>
        <v/>
      </c>
      <c r="N1807" t="inlineStr">
        <is>
          <t>%</t>
        </is>
      </c>
      <c r="O1807" t="inlineStr">
        <is>
          <t>%</t>
        </is>
      </c>
      <c r="P1807" t="n">
        <v>0</v>
      </c>
      <c r="Q1807" t="n">
        <v>0</v>
      </c>
      <c r="R1807" t="inlineStr">
        <is>
          <t>366-2024-12-31</t>
        </is>
      </c>
    </row>
    <row r="1808" hidden="1">
      <c r="A1808" t="n">
        <v>366</v>
      </c>
      <c r="B1808" t="inlineStr">
        <is>
          <t>Normalización de cobros pecuniarios</t>
        </is>
      </c>
      <c r="C1808" t="inlineStr">
        <is>
          <t>Operaciones Académicas</t>
        </is>
      </c>
      <c r="D1808" t="inlineStr">
        <is>
          <t>Anual</t>
        </is>
      </c>
      <c r="E1808" t="inlineStr">
        <is>
          <t>Positivo</t>
        </is>
      </c>
      <c r="F1808" s="108" t="n">
        <v>46022</v>
      </c>
      <c r="G1808" t="n">
        <v>2025</v>
      </c>
      <c r="H1808" t="inlineStr">
        <is>
          <t>Diciembre</t>
        </is>
      </c>
      <c r="I1808" t="inlineStr">
        <is>
          <t>2025-2</t>
        </is>
      </c>
      <c r="J1808" t="n">
        <v>100</v>
      </c>
      <c r="K1808" t="n">
        <v>100</v>
      </c>
      <c r="L1808" s="39">
        <f>IFERROR(IF(OR(J1808=0,K1808=""),"",IF(E1808="Positivo",MIN(MAX(K1808/J1808,0),1.3),MIN(MAX(J1808/K1808,0),1.3))),"") </f>
        <v/>
      </c>
      <c r="M1808" s="39">
        <f>IFERROR(IF(OR(J1808=0,K1808=""),"",IF(E1808="Positivo",MAX(K1808/J1808,0),MAX(J1808/K1808,0))),"") </f>
        <v/>
      </c>
      <c r="N1808" t="inlineStr">
        <is>
          <t>ENT</t>
        </is>
      </c>
      <c r="O1808" t="inlineStr">
        <is>
          <t>ENT</t>
        </is>
      </c>
      <c r="P1808" t="n">
        <v>0</v>
      </c>
      <c r="Q1808" t="n">
        <v>0</v>
      </c>
      <c r="R1808" t="inlineStr">
        <is>
          <t>366-2025-12-31</t>
        </is>
      </c>
    </row>
    <row r="1809" hidden="1">
      <c r="A1809" t="n">
        <v>367</v>
      </c>
      <c r="B1809" t="inlineStr">
        <is>
          <t>% Estudiantes con Becas</t>
        </is>
      </c>
      <c r="C1809" t="inlineStr">
        <is>
          <t>Gestión de la Responsabilidad Social</t>
        </is>
      </c>
      <c r="D1809" t="inlineStr">
        <is>
          <t>Anual</t>
        </is>
      </c>
      <c r="E1809" t="inlineStr">
        <is>
          <t>Positivo</t>
        </is>
      </c>
      <c r="F1809" s="108" t="n">
        <v>45291</v>
      </c>
      <c r="G1809" t="n">
        <v>2023</v>
      </c>
      <c r="H1809" t="inlineStr">
        <is>
          <t>Diciembre</t>
        </is>
      </c>
      <c r="I1809" t="inlineStr">
        <is>
          <t>2023-2</t>
        </is>
      </c>
      <c r="J1809" t="n">
        <v>5</v>
      </c>
      <c r="K1809" t="n">
        <v>6.249756705204562</v>
      </c>
      <c r="L1809" s="39">
        <f>IFERROR(IF(OR(J1809=0,K1809=""),"",IF(E1809="Positivo",MIN(MAX(K1809/J1809,0),1.3),MIN(MAX(J1809/K1809,0),1.3))),"") </f>
        <v/>
      </c>
      <c r="M1809" s="39">
        <f>IFERROR(IF(OR(J1809=0,K1809=""),"",IF(E1809="Positivo",MAX(K1809/J1809,0),MAX(J1809/K1809,0))),"") </f>
        <v/>
      </c>
      <c r="N1809" t="inlineStr">
        <is>
          <t>%</t>
        </is>
      </c>
      <c r="O1809" t="inlineStr">
        <is>
          <t>%</t>
        </is>
      </c>
      <c r="P1809" t="n">
        <v>2</v>
      </c>
      <c r="Q1809" t="n">
        <v>2</v>
      </c>
      <c r="R1809" t="inlineStr">
        <is>
          <t>367-2023-12-31</t>
        </is>
      </c>
    </row>
    <row r="1810" hidden="1">
      <c r="A1810" t="n">
        <v>367</v>
      </c>
      <c r="B1810" t="inlineStr">
        <is>
          <t>Estudiantes con Becas</t>
        </is>
      </c>
      <c r="C1810" t="inlineStr">
        <is>
          <t>Gestión de la Responsabilidad Social</t>
        </is>
      </c>
      <c r="D1810" t="inlineStr">
        <is>
          <t>Anual</t>
        </is>
      </c>
      <c r="E1810" t="inlineStr">
        <is>
          <t>Positivo</t>
        </is>
      </c>
      <c r="F1810" s="108" t="n">
        <v>45657</v>
      </c>
      <c r="G1810" t="n">
        <v>2024</v>
      </c>
      <c r="H1810" t="inlineStr">
        <is>
          <t>Diciembre</t>
        </is>
      </c>
      <c r="I1810" t="inlineStr">
        <is>
          <t>2024-2</t>
        </is>
      </c>
      <c r="J1810" t="n">
        <v>5</v>
      </c>
      <c r="K1810" t="n">
        <v>4.96</v>
      </c>
      <c r="L1810" s="39">
        <f>IFERROR(IF(OR(J1810=0,K1810=""),"",IF(E1810="Positivo",MIN(MAX(K1810/J1810,0),1.3),MIN(MAX(J1810/K1810,0),1.3))),"") </f>
        <v/>
      </c>
      <c r="M1810" s="39">
        <f>IFERROR(IF(OR(J1810=0,K1810=""),"",IF(E1810="Positivo",MAX(K1810/J1810,0),MAX(J1810/K1810,0))),"") </f>
        <v/>
      </c>
      <c r="N1810" t="inlineStr">
        <is>
          <t>%</t>
        </is>
      </c>
      <c r="O1810" t="inlineStr">
        <is>
          <t>%</t>
        </is>
      </c>
      <c r="P1810" t="n">
        <v>2</v>
      </c>
      <c r="Q1810" t="n">
        <v>2</v>
      </c>
      <c r="R1810" t="inlineStr">
        <is>
          <t>367-2024-12-31</t>
        </is>
      </c>
    </row>
    <row r="1811" hidden="1">
      <c r="A1811" t="n">
        <v>367</v>
      </c>
      <c r="B1811" t="inlineStr">
        <is>
          <t>Estudiantes con Becas</t>
        </is>
      </c>
      <c r="C1811" t="inlineStr">
        <is>
          <t>Gestión de la Responsabilidad Social</t>
        </is>
      </c>
      <c r="D1811" t="inlineStr">
        <is>
          <t>Anual</t>
        </is>
      </c>
      <c r="E1811" t="inlineStr">
        <is>
          <t>Positivo</t>
        </is>
      </c>
      <c r="F1811" s="108" t="n">
        <v>46022</v>
      </c>
      <c r="G1811" t="n">
        <v>2025</v>
      </c>
      <c r="H1811" t="inlineStr">
        <is>
          <t>Diciembre</t>
        </is>
      </c>
      <c r="I1811" t="inlineStr">
        <is>
          <t>2025-2</t>
        </is>
      </c>
      <c r="J1811" t="n">
        <v>5</v>
      </c>
      <c r="K1811" t="n">
        <v>3.82</v>
      </c>
      <c r="L1811" s="39">
        <f>IFERROR(IF(OR(J1811=0,K1811=""),"",IF(E1811="Positivo",MIN(MAX(K1811/J1811,0),1.3),MIN(MAX(J1811/K1811,0),1.3))),"") </f>
        <v/>
      </c>
      <c r="M1811" s="39">
        <f>IFERROR(IF(OR(J1811=0,K1811=""),"",IF(E1811="Positivo",MAX(K1811/J1811,0),MAX(J1811/K1811,0))),"") </f>
        <v/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2</v>
      </c>
      <c r="R1811" t="inlineStr">
        <is>
          <t>367-2025-12-31</t>
        </is>
      </c>
    </row>
    <row r="1812" hidden="1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08" t="n">
        <v>45199</v>
      </c>
      <c r="G1812" t="n">
        <v>2023</v>
      </c>
      <c r="H1812" t="inlineStr">
        <is>
          <t>Septiembre</t>
        </is>
      </c>
      <c r="I1812" t="inlineStr">
        <is>
          <t>2023-2</t>
        </is>
      </c>
      <c r="J1812" t="n">
        <v>90</v>
      </c>
      <c r="K1812" t="n">
        <v>95</v>
      </c>
      <c r="L1812" s="39">
        <f>IFERROR(IF(OR(J1812=0,K1812=""),"",IF(E1812="Positivo",MIN(MAX(K1812/J1812,0),1.3),MIN(MAX(J1812/K1812,0),1.3))),"") </f>
        <v/>
      </c>
      <c r="M1812" s="39">
        <f>IFERROR(IF(OR(J1812=0,K1812=""),"",IF(E1812="Positivo",MAX(K1812/J1812,0),MAX(J1812/K1812,0))),"") </f>
        <v/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368-2023-09-30</t>
        </is>
      </c>
    </row>
    <row r="1813" hidden="1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08" t="n">
        <v>45291</v>
      </c>
      <c r="G1813" t="n">
        <v>2023</v>
      </c>
      <c r="H1813" t="inlineStr">
        <is>
          <t>Diciembre</t>
        </is>
      </c>
      <c r="I1813" t="inlineStr">
        <is>
          <t>2023-2</t>
        </is>
      </c>
      <c r="J1813" t="n">
        <v>90</v>
      </c>
      <c r="K1813" t="n">
        <v>94</v>
      </c>
      <c r="L1813" s="39">
        <f>IFERROR(IF(OR(J1813=0,K1813=""),"",IF(E1813="Positivo",MIN(MAX(K1813/J1813,0),1.3),MIN(MAX(J1813/K1813,0),1.3))),"") </f>
        <v/>
      </c>
      <c r="M1813" s="39">
        <f>IFERROR(IF(OR(J1813=0,K1813=""),"",IF(E1813="Positivo",MAX(K1813/J1813,0),MAX(J1813/K1813,0))),"") </f>
        <v/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368-2023-12-31</t>
        </is>
      </c>
    </row>
    <row r="1814" hidden="1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08" t="n">
        <v>45382</v>
      </c>
      <c r="G1814" t="n">
        <v>2024</v>
      </c>
      <c r="H1814" t="inlineStr">
        <is>
          <t>Marzo</t>
        </is>
      </c>
      <c r="I1814" t="inlineStr">
        <is>
          <t>2024-1</t>
        </is>
      </c>
      <c r="J1814" t="n">
        <v>90</v>
      </c>
      <c r="K1814" t="n">
        <v>94</v>
      </c>
      <c r="L1814" s="39">
        <f>IFERROR(IF(OR(J1814=0,K1814=""),"",IF(E1814="Positivo",MIN(MAX(K1814/J1814,0),1.3),MIN(MAX(J1814/K1814,0),1.3))),"") </f>
        <v/>
      </c>
      <c r="M1814" s="39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368-2024-03-31</t>
        </is>
      </c>
    </row>
    <row r="1815" hidden="1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08" t="n">
        <v>45473</v>
      </c>
      <c r="G1815" t="n">
        <v>2024</v>
      </c>
      <c r="H1815" t="inlineStr">
        <is>
          <t>Junio</t>
        </is>
      </c>
      <c r="I1815" t="inlineStr">
        <is>
          <t>2024-1</t>
        </is>
      </c>
      <c r="J1815" t="n">
        <v>90</v>
      </c>
      <c r="K1815" t="n">
        <v>95</v>
      </c>
      <c r="L1815" s="39">
        <f>IFERROR(IF(OR(J1815=0,K1815=""),"",IF(E1815="Positivo",MIN(MAX(K1815/J1815,0),1.3),MIN(MAX(J1815/K1815,0),1.3))),"") </f>
        <v/>
      </c>
      <c r="M1815" s="3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368-2024-06-30</t>
        </is>
      </c>
    </row>
    <row r="1816" hidden="1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08" t="n">
        <v>45565</v>
      </c>
      <c r="G1816" t="n">
        <v>2024</v>
      </c>
      <c r="H1816" t="inlineStr">
        <is>
          <t>Septiembre</t>
        </is>
      </c>
      <c r="I1816" t="inlineStr">
        <is>
          <t>2024-2</t>
        </is>
      </c>
      <c r="J1816" t="n">
        <v>90</v>
      </c>
      <c r="K1816" t="n">
        <v>94</v>
      </c>
      <c r="L1816" s="39">
        <f>IFERROR(IF(OR(J1816=0,K1816=""),"",IF(E1816="Positivo",MIN(MAX(K1816/J1816,0),1.3),MIN(MAX(J1816/K1816,0),1.3))),"") </f>
        <v/>
      </c>
      <c r="M1816" s="3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368-2024-09-30</t>
        </is>
      </c>
    </row>
    <row r="1817" hidden="1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08" t="n">
        <v>45657</v>
      </c>
      <c r="G1817" t="n">
        <v>2024</v>
      </c>
      <c r="H1817" t="inlineStr">
        <is>
          <t>Diciembre</t>
        </is>
      </c>
      <c r="I1817" t="inlineStr">
        <is>
          <t>2024-2</t>
        </is>
      </c>
      <c r="J1817" t="n">
        <v>90</v>
      </c>
      <c r="K1817" t="n">
        <v>94</v>
      </c>
      <c r="L1817" s="39">
        <f>IFERROR(IF(OR(J1817=0,K1817=""),"",IF(E1817="Positivo",MIN(MAX(K1817/J1817,0),1.3),MIN(MAX(J1817/K1817,0),1.3))),"") </f>
        <v/>
      </c>
      <c r="M1817" s="3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368-2024-12-31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08" t="n">
        <v>45747</v>
      </c>
      <c r="G1818" t="n">
        <v>2025</v>
      </c>
      <c r="H1818" t="inlineStr">
        <is>
          <t>Marzo</t>
        </is>
      </c>
      <c r="I1818" t="inlineStr">
        <is>
          <t>2025-1</t>
        </is>
      </c>
      <c r="J1818" t="n">
        <v>93</v>
      </c>
      <c r="K1818" t="n">
        <v>94</v>
      </c>
      <c r="L1818" s="39">
        <f>IFERROR(IF(OR(J1818=0,K1818=""),"",IF(E1818="Positivo",MIN(MAX(K1818/J1818,0),1.3),MIN(MAX(J1818/K1818,0),1.3))),"") </f>
        <v/>
      </c>
      <c r="M1818" s="3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368-2025-03-31</t>
        </is>
      </c>
    </row>
    <row r="1819">
      <c r="A1819" t="n">
        <v>368</v>
      </c>
      <c r="B1819" t="inlineStr">
        <is>
          <t>Satisfacción de los estudiantes de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08" t="n">
        <v>45838</v>
      </c>
      <c r="G1819" t="n">
        <v>2025</v>
      </c>
      <c r="H1819" t="inlineStr">
        <is>
          <t>Junio</t>
        </is>
      </c>
      <c r="I1819" t="inlineStr">
        <is>
          <t>2025-1</t>
        </is>
      </c>
      <c r="J1819" t="n">
        <v>93</v>
      </c>
      <c r="K1819" t="n">
        <v>96</v>
      </c>
      <c r="L1819" s="39">
        <f>IFERROR(IF(OR(J1819=0,K1819=""),"",IF(E1819="Positivo",MIN(MAX(K1819/J1819,0),1.3),MIN(MAX(J1819/K1819,0),1.3))),"") </f>
        <v/>
      </c>
      <c r="M1819" s="3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368-2025-06-30</t>
        </is>
      </c>
    </row>
    <row r="1820">
      <c r="A1820" t="n">
        <v>368</v>
      </c>
      <c r="B1820" t="inlineStr">
        <is>
          <t>Satisfacción de los estudiantes de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08" t="n">
        <v>45930</v>
      </c>
      <c r="G1820" t="n">
        <v>2025</v>
      </c>
      <c r="H1820" t="inlineStr">
        <is>
          <t>Septiembre</t>
        </is>
      </c>
      <c r="I1820" t="inlineStr">
        <is>
          <t>2025-2</t>
        </is>
      </c>
      <c r="J1820" t="n">
        <v>93</v>
      </c>
      <c r="K1820" t="n">
        <v>95</v>
      </c>
      <c r="L1820" s="39">
        <f>IFERROR(IF(OR(J1820=0,K1820=""),"",IF(E1820="Positivo",MIN(MAX(K1820/J1820,0),1.3),MIN(MAX(J1820/K1820,0),1.3))),"") </f>
        <v/>
      </c>
      <c r="M1820" s="3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368-2025-09-30</t>
        </is>
      </c>
    </row>
    <row r="1821">
      <c r="A1821" t="n">
        <v>368</v>
      </c>
      <c r="B1821" t="inlineStr">
        <is>
          <t>Satisfacción de los estudiantes de Educación para toda la vida</t>
        </is>
      </c>
      <c r="C1821" t="inlineStr">
        <is>
          <t>Operación de nuevos negocios y CI</t>
        </is>
      </c>
      <c r="D1821" t="inlineStr">
        <is>
          <t>Semestral</t>
        </is>
      </c>
      <c r="E1821" t="inlineStr">
        <is>
          <t>Positivo</t>
        </is>
      </c>
      <c r="F1821" s="108" t="n">
        <v>46022</v>
      </c>
      <c r="G1821" t="n">
        <v>2025</v>
      </c>
      <c r="H1821" t="inlineStr">
        <is>
          <t>Diciembre</t>
        </is>
      </c>
      <c r="I1821" t="inlineStr">
        <is>
          <t>2025-2</t>
        </is>
      </c>
      <c r="J1821" t="n">
        <v>93</v>
      </c>
      <c r="K1821" t="n">
        <v>95</v>
      </c>
      <c r="L1821" s="39">
        <f>IFERROR(IF(OR(J1821=0,K1821=""),"",IF(E1821="Positivo",MIN(MAX(K1821/J1821,0),1.3),MIN(MAX(J1821/K1821,0),1.3))),"") </f>
        <v/>
      </c>
      <c r="M1821" s="3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368-2025-12-31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108" t="n">
        <v>45107</v>
      </c>
      <c r="G1822" t="n">
        <v>2023</v>
      </c>
      <c r="H1822" t="inlineStr">
        <is>
          <t>Junio</t>
        </is>
      </c>
      <c r="I1822" t="inlineStr">
        <is>
          <t>2023-1</t>
        </is>
      </c>
      <c r="J1822" t="n">
        <v>0</v>
      </c>
      <c r="K1822" t="n">
        <v>78</v>
      </c>
      <c r="L1822" s="39">
        <f>IFERROR(IF(OR(J1822=0,K1822=""),"",IF(E1822="Positivo",MIN(MAX(K1822/J1822,0),1.3),MIN(MAX(J1822/K1822,0),1.3))),"") </f>
        <v/>
      </c>
      <c r="M1822" s="39">
        <f>IFERROR(IF(OR(J1822=0,K1822=""),"",IF(E1822="Positivo",MAX(K1822/J1822,0),MAX(J1822/K1822,0))),"") </f>
        <v/>
      </c>
      <c r="N1822" t="inlineStr">
        <is>
          <t>Linea Base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369-2023-06-30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Semestral</t>
        </is>
      </c>
      <c r="E1823" t="inlineStr">
        <is>
          <t>Positivo</t>
        </is>
      </c>
      <c r="F1823" s="108" t="n">
        <v>45291</v>
      </c>
      <c r="G1823" t="n">
        <v>2023</v>
      </c>
      <c r="H1823" t="inlineStr">
        <is>
          <t>Diciembre</t>
        </is>
      </c>
      <c r="I1823" t="inlineStr">
        <is>
          <t>2023-2</t>
        </is>
      </c>
      <c r="J1823" t="n">
        <v>0</v>
      </c>
      <c r="K1823" t="n">
        <v>96</v>
      </c>
      <c r="L1823" s="39">
        <f>IFERROR(IF(OR(J1823=0,K1823=""),"",IF(E1823="Positivo",MIN(MAX(K1823/J1823,0),1.3),MIN(MAX(J1823/K1823,0),1.3))),"") </f>
        <v/>
      </c>
      <c r="M1823" s="39">
        <f>IFERROR(IF(OR(J1823=0,K1823=""),"",IF(E1823="Positivo",MAX(K1823/J1823,0),MAX(J1823/K1823,0))),"") </f>
        <v/>
      </c>
      <c r="N1823" t="inlineStr">
        <is>
          <t>Linea Base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369-2023-12-31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Semestral</t>
        </is>
      </c>
      <c r="E1824" t="inlineStr">
        <is>
          <t>Positivo</t>
        </is>
      </c>
      <c r="F1824" s="108" t="n">
        <v>45473</v>
      </c>
      <c r="G1824" t="n">
        <v>2024</v>
      </c>
      <c r="H1824" t="inlineStr">
        <is>
          <t>Junio</t>
        </is>
      </c>
      <c r="I1824" t="inlineStr">
        <is>
          <t>2024-1</t>
        </is>
      </c>
      <c r="J1824" t="n">
        <v>100</v>
      </c>
      <c r="K1824" t="n">
        <v>76.25</v>
      </c>
      <c r="L1824" s="39">
        <f>IFERROR(IF(OR(J1824=0,K1824=""),"",IF(E1824="Positivo",MIN(MAX(K1824/J1824,0),1.3),MIN(MAX(J1824/K1824,0),1.3))),"") </f>
        <v/>
      </c>
      <c r="M1824" s="39">
        <f>IFERROR(IF(OR(J1824=0,K1824=""),"",IF(E1824="Positivo",MAX(K1824/J1824,0),MAX(J1824/K1824,0))),"") </f>
        <v/>
      </c>
      <c r="N1824" t="inlineStr">
        <is>
          <t>Linea Base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369-2024-06-30</t>
        </is>
      </c>
    </row>
    <row r="1825">
      <c r="A1825" t="n">
        <v>369</v>
      </c>
      <c r="B1825" t="inlineStr">
        <is>
          <t>Participación de POLI- voluntariados (Estudiantes- Colaboradores)</t>
        </is>
      </c>
      <c r="C1825" t="inlineStr">
        <is>
          <t>Gestión de la Responsabilidad Social</t>
        </is>
      </c>
      <c r="D1825" t="inlineStr">
        <is>
          <t>Semestral</t>
        </is>
      </c>
      <c r="E1825" t="inlineStr">
        <is>
          <t>Positivo</t>
        </is>
      </c>
      <c r="F1825" s="108" t="n">
        <v>45657</v>
      </c>
      <c r="G1825" t="n">
        <v>2024</v>
      </c>
      <c r="H1825" t="inlineStr">
        <is>
          <t>Diciembre</t>
        </is>
      </c>
      <c r="I1825" t="inlineStr">
        <is>
          <t>2024-2</t>
        </is>
      </c>
      <c r="J1825" t="n">
        <v>100</v>
      </c>
      <c r="K1825" t="n">
        <v>71.3</v>
      </c>
      <c r="L1825" s="39">
        <f>IFERROR(IF(OR(J1825=0,K1825=""),"",IF(E1825="Positivo",MIN(MAX(K1825/J1825,0),1.3),MIN(MAX(J1825/K1825,0),1.3))),"") </f>
        <v/>
      </c>
      <c r="M1825" s="39">
        <f>IFERROR(IF(OR(J1825=0,K1825=""),"",IF(E1825="Positivo",MAX(K1825/J1825,0),MAX(J1825/K1825,0))),"") </f>
        <v/>
      </c>
      <c r="P1825" t="n">
        <v>0</v>
      </c>
      <c r="Q1825" t="n">
        <v>0</v>
      </c>
      <c r="R1825" t="inlineStr">
        <is>
          <t>369-2024-12-31</t>
        </is>
      </c>
    </row>
    <row r="1826">
      <c r="A1826" t="n">
        <v>369</v>
      </c>
      <c r="B1826" t="inlineStr">
        <is>
          <t>Participación de POLI- voluntariados (Estudiantes- Colaboradores)</t>
        </is>
      </c>
      <c r="C1826" t="inlineStr">
        <is>
          <t>Gestión de la Responsabilidad Social</t>
        </is>
      </c>
      <c r="D1826" t="inlineStr">
        <is>
          <t>Trimestral</t>
        </is>
      </c>
      <c r="E1826" t="inlineStr">
        <is>
          <t>Positivo</t>
        </is>
      </c>
      <c r="F1826" s="108" t="n">
        <v>45838</v>
      </c>
      <c r="G1826" t="n">
        <v>2025</v>
      </c>
      <c r="H1826" t="inlineStr">
        <is>
          <t>Junio</t>
        </is>
      </c>
      <c r="I1826" t="inlineStr">
        <is>
          <t>2025-1</t>
        </is>
      </c>
      <c r="J1826" t="n">
        <v>100</v>
      </c>
      <c r="K1826" t="n">
        <v>88.89</v>
      </c>
      <c r="L1826" s="39">
        <f>IFERROR(IF(OR(J1826=0,K1826=""),"",IF(E1826="Positivo",MIN(MAX(K1826/J1826,0),1.3),MIN(MAX(J1826/K1826,0),1.3))),"") </f>
        <v/>
      </c>
      <c r="M1826" s="39">
        <f>IFERROR(IF(OR(J1826=0,K1826=""),"",IF(E1826="Positivo",MAX(K1826/J1826,0),MAX(J1826/K1826,0))),"") </f>
        <v/>
      </c>
      <c r="N1826" t="inlineStr">
        <is>
          <t>ENT</t>
        </is>
      </c>
      <c r="O1826" t="inlineStr">
        <is>
          <t>ENT</t>
        </is>
      </c>
      <c r="P1826" t="n">
        <v>0</v>
      </c>
      <c r="Q1826" t="n">
        <v>0</v>
      </c>
      <c r="R1826" t="inlineStr">
        <is>
          <t>369-2025-06-30</t>
        </is>
      </c>
    </row>
    <row r="1827">
      <c r="A1827" t="n">
        <v>369</v>
      </c>
      <c r="B1827" t="inlineStr">
        <is>
          <t>Participación de POLI- voluntariados (Estudiantes- Colaboradores)</t>
        </is>
      </c>
      <c r="C1827" t="inlineStr">
        <is>
          <t>Gestión de la Responsabilidad Social</t>
        </is>
      </c>
      <c r="D1827" t="inlineStr">
        <is>
          <t>Trimestral</t>
        </is>
      </c>
      <c r="E1827" t="inlineStr">
        <is>
          <t>Positivo</t>
        </is>
      </c>
      <c r="F1827" s="108" t="n">
        <v>46022</v>
      </c>
      <c r="G1827" t="n">
        <v>2025</v>
      </c>
      <c r="H1827" t="inlineStr">
        <is>
          <t>Diciembre</t>
        </is>
      </c>
      <c r="I1827" t="inlineStr">
        <is>
          <t>2025-2</t>
        </is>
      </c>
      <c r="J1827" t="n">
        <v>100</v>
      </c>
      <c r="K1827" t="n">
        <v>108.26</v>
      </c>
      <c r="L1827" s="39">
        <f>IFERROR(IF(OR(J1827=0,K1827=""),"",IF(E1827="Positivo",MIN(MAX(K1827/J1827,0),1.3),MIN(MAX(J1827/K1827,0),1.3))),"") </f>
        <v/>
      </c>
      <c r="M1827" s="39">
        <f>IFERROR(IF(OR(J1827=0,K1827=""),"",IF(E1827="Positivo",MAX(K1827/J1827,0),MAX(J1827/K1827,0))),"") </f>
        <v/>
      </c>
      <c r="N1827" t="inlineStr">
        <is>
          <t>ENT</t>
        </is>
      </c>
      <c r="O1827" t="inlineStr">
        <is>
          <t>ENT</t>
        </is>
      </c>
      <c r="P1827" t="n">
        <v>0</v>
      </c>
      <c r="Q1827" t="n">
        <v>0</v>
      </c>
      <c r="R1827" t="inlineStr">
        <is>
          <t>369-2025-12-31</t>
        </is>
      </c>
    </row>
    <row r="1828">
      <c r="A1828" t="n">
        <v>370</v>
      </c>
      <c r="B1828" t="inlineStr">
        <is>
          <t>Oportunidades de mejora - Huella Verde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08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0</v>
      </c>
      <c r="K1828" t="n">
        <v>0</v>
      </c>
      <c r="L1828" s="39">
        <f>IFERROR(IF(OR(J1828=0,K1828=""),"",IF(E1828="Positivo",MIN(MAX(K1828/J1828,0),1.3),MIN(MAX(J1828/K1828,0),1.3))),"") </f>
        <v/>
      </c>
      <c r="M1828" s="39">
        <f>IFERROR(IF(OR(J1828=0,K1828=""),"",IF(E1828="Positivo",MAX(K1828/J1828,0),MAX(J1828/K1828,0))),"") </f>
        <v/>
      </c>
      <c r="P1828" t="n">
        <v>0</v>
      </c>
      <c r="Q1828" t="n">
        <v>0</v>
      </c>
      <c r="R1828" t="inlineStr">
        <is>
          <t>370-2023-06-30</t>
        </is>
      </c>
    </row>
    <row r="1829" hidden="1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08" t="n">
        <v>45107</v>
      </c>
      <c r="G1829" t="n">
        <v>2023</v>
      </c>
      <c r="H1829" t="inlineStr">
        <is>
          <t>Junio</t>
        </is>
      </c>
      <c r="I1829" t="inlineStr">
        <is>
          <t>2023-1</t>
        </is>
      </c>
      <c r="J1829" t="n">
        <v>100</v>
      </c>
      <c r="K1829" t="n">
        <v>157.50274243636</v>
      </c>
      <c r="L1829" s="39">
        <f>IFERROR(IF(OR(J1829=0,K1829=""),"",IF(E1829="Positivo",MIN(MAX(K1829/J1829,0),1.3),MIN(MAX(J1829/K1829,0),1.3))),"") </f>
        <v/>
      </c>
      <c r="M1829" s="39">
        <f>IFERROR(IF(OR(J1829=0,K1829=""),"",IF(E1829="Positivo",MAX(K1829/J1829,0),MAX(J1829/K1829,0))),"") </f>
        <v/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371-2023-06-30</t>
        </is>
      </c>
    </row>
    <row r="1830" hidden="1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08" t="n">
        <v>45291</v>
      </c>
      <c r="G1830" t="n">
        <v>2023</v>
      </c>
      <c r="H1830" t="inlineStr">
        <is>
          <t>Diciembre</t>
        </is>
      </c>
      <c r="I1830" t="inlineStr">
        <is>
          <t>2023-2</t>
        </is>
      </c>
      <c r="J1830" t="n">
        <v>100</v>
      </c>
      <c r="K1830" t="n">
        <v>173.07</v>
      </c>
      <c r="L1830" s="39">
        <f>IFERROR(IF(OR(J1830=0,K1830=""),"",IF(E1830="Positivo",MIN(MAX(K1830/J1830,0),1.3),MIN(MAX(J1830/K1830,0),1.3))),"") </f>
        <v/>
      </c>
      <c r="M1830" s="39">
        <f>IFERROR(IF(OR(J1830=0,K1830=""),"",IF(E1830="Positivo",MAX(K1830/J1830,0),MAX(J1830/K1830,0))),"") </f>
        <v/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371-2023-12-31</t>
        </is>
      </c>
    </row>
    <row r="1831" hidden="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08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100</v>
      </c>
      <c r="K1831" t="n">
        <v>149.72</v>
      </c>
      <c r="L1831" s="39">
        <f>IFERROR(IF(OR(J1831=0,K1831=""),"",IF(E1831="Positivo",MIN(MAX(K1831/J1831,0),1.3),MIN(MAX(J1831/K1831,0),1.3))),"") </f>
        <v/>
      </c>
      <c r="M1831" s="39">
        <f>IFERROR(IF(OR(J1831=0,K1831=""),"",IF(E1831="Positivo",MAX(K1831/J1831,0),MAX(J1831/K1831,0))),"") </f>
        <v/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371-2024-06-30</t>
        </is>
      </c>
    </row>
    <row r="1832" hidden="1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08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96.98999999999999</v>
      </c>
      <c r="L1832" s="39">
        <f>IFERROR(IF(OR(J1832=0,K1832=""),"",IF(E1832="Positivo",MIN(MAX(K1832/J1832,0),1.3),MIN(MAX(J1832/K1832,0),1.3))),"") </f>
        <v/>
      </c>
      <c r="M1832" s="39">
        <f>IFERROR(IF(OR(J1832=0,K1832=""),"",IF(E1832="Positivo",MAX(K1832/J1832,0),MAX(J1832/K1832,0))),"") </f>
        <v/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371-2024-12-31</t>
        </is>
      </c>
    </row>
    <row r="1833" hidden="1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Semestral</t>
        </is>
      </c>
      <c r="E1833" t="inlineStr">
        <is>
          <t>Positivo</t>
        </is>
      </c>
      <c r="F1833" s="108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73.69</v>
      </c>
      <c r="L1833" s="39">
        <f>IFERROR(IF(OR(J1833=0,K1833=""),"",IF(E1833="Positivo",MIN(MAX(K1833/J1833,0),1.3),MIN(MAX(J1833/K1833,0),1.3))),"") </f>
        <v/>
      </c>
      <c r="M1833" s="39">
        <f>IFERROR(IF(OR(J1833=0,K1833=""),"",IF(E1833="Positivo",MAX(K1833/J1833,0),MAX(J1833/K1833,0))),"") </f>
        <v/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371-2025-06-30</t>
        </is>
      </c>
    </row>
    <row r="1834" hidden="1">
      <c r="A1834" t="n">
        <v>371</v>
      </c>
      <c r="B1834" t="inlineStr">
        <is>
          <t>Recaudación de fondos</t>
        </is>
      </c>
      <c r="C1834" t="inlineStr">
        <is>
          <t>Gestión de la Responsabilidad Social</t>
        </is>
      </c>
      <c r="D1834" t="inlineStr">
        <is>
          <t>Trimestral</t>
        </is>
      </c>
      <c r="E1834" t="inlineStr">
        <is>
          <t>Positivo</t>
        </is>
      </c>
      <c r="F1834" s="108" t="n">
        <v>46022</v>
      </c>
      <c r="G1834" t="n">
        <v>2025</v>
      </c>
      <c r="H1834" t="inlineStr">
        <is>
          <t>Diciembre</t>
        </is>
      </c>
      <c r="I1834" t="inlineStr">
        <is>
          <t>2025-2</t>
        </is>
      </c>
      <c r="J1834" t="n">
        <v>100</v>
      </c>
      <c r="K1834" t="n">
        <v>83.42</v>
      </c>
      <c r="L1834" s="39">
        <f>IFERROR(IF(OR(J1834=0,K1834=""),"",IF(E1834="Positivo",MIN(MAX(K1834/J1834,0),1.3),MIN(MAX(J1834/K1834,0),1.3))),"") </f>
        <v/>
      </c>
      <c r="M1834" s="39">
        <f>IFERROR(IF(OR(J1834=0,K1834=""),"",IF(E1834="Positivo",MAX(K1834/J1834,0),MAX(J1834/K1834,0))),"") </f>
        <v/>
      </c>
      <c r="N1834" t="inlineStr">
        <is>
          <t>$</t>
        </is>
      </c>
      <c r="O1834" t="inlineStr">
        <is>
          <t>$</t>
        </is>
      </c>
      <c r="P1834" t="n">
        <v>0</v>
      </c>
      <c r="Q1834" t="n">
        <v>0</v>
      </c>
      <c r="R1834" t="inlineStr">
        <is>
          <t>371-2025-12-31</t>
        </is>
      </c>
    </row>
    <row r="1835" hidden="1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08" t="n">
        <v>45199</v>
      </c>
      <c r="G1835" t="n">
        <v>2023</v>
      </c>
      <c r="H1835" t="inlineStr">
        <is>
          <t>Septiembre</t>
        </is>
      </c>
      <c r="I1835" t="inlineStr">
        <is>
          <t>2023-2</t>
        </is>
      </c>
      <c r="J1835" t="n">
        <v>87</v>
      </c>
      <c r="K1835" t="n">
        <v>96</v>
      </c>
      <c r="L1835" s="39">
        <f>IFERROR(IF(OR(J1835=0,K1835=""),"",IF(E1835="Positivo",MIN(MAX(K1835/J1835,0),1.3),MIN(MAX(J1835/K1835,0),1.3))),"") </f>
        <v/>
      </c>
      <c r="M1835" s="3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372-2023-09-30</t>
        </is>
      </c>
    </row>
    <row r="1836" hidden="1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08" t="n">
        <v>45291</v>
      </c>
      <c r="G1836" t="n">
        <v>2023</v>
      </c>
      <c r="H1836" t="inlineStr">
        <is>
          <t>Diciembre</t>
        </is>
      </c>
      <c r="I1836" t="inlineStr">
        <is>
          <t>2023-2</t>
        </is>
      </c>
      <c r="J1836" t="n">
        <v>87</v>
      </c>
      <c r="K1836" t="n">
        <v>95</v>
      </c>
      <c r="L1836" s="39">
        <f>IFERROR(IF(OR(J1836=0,K1836=""),"",IF(E1836="Positivo",MIN(MAX(K1836/J1836,0),1.3),MIN(MAX(J1836/K1836,0),1.3))),"") </f>
        <v/>
      </c>
      <c r="M1836" s="3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372-2023-12-31</t>
        </is>
      </c>
    </row>
    <row r="1837" hidden="1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08" t="n">
        <v>45382</v>
      </c>
      <c r="G1837" t="n">
        <v>2024</v>
      </c>
      <c r="H1837" t="inlineStr">
        <is>
          <t>Marzo</t>
        </is>
      </c>
      <c r="I1837" t="inlineStr">
        <is>
          <t>2024-1</t>
        </is>
      </c>
      <c r="J1837" t="n">
        <v>87</v>
      </c>
      <c r="K1837" t="n">
        <v>93</v>
      </c>
      <c r="L1837" s="39">
        <f>IFERROR(IF(OR(J1837=0,K1837=""),"",IF(E1837="Positivo",MIN(MAX(K1837/J1837,0),1.3),MIN(MAX(J1837/K1837,0),1.3))),"") </f>
        <v/>
      </c>
      <c r="M1837" s="3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372-2024-03-31</t>
        </is>
      </c>
    </row>
    <row r="1838" hidden="1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08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87</v>
      </c>
      <c r="K1838" t="n">
        <v>90</v>
      </c>
      <c r="L1838" s="39">
        <f>IFERROR(IF(OR(J1838=0,K1838=""),"",IF(E1838="Positivo",MIN(MAX(K1838/J1838,0),1.3),MIN(MAX(J1838/K1838,0),1.3))),"") </f>
        <v/>
      </c>
      <c r="M1838" s="39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372-2024-06-30</t>
        </is>
      </c>
    </row>
    <row r="1839" hidden="1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08" t="n">
        <v>45565</v>
      </c>
      <c r="G1839" t="n">
        <v>2024</v>
      </c>
      <c r="H1839" t="inlineStr">
        <is>
          <t>Septiembre</t>
        </is>
      </c>
      <c r="I1839" t="inlineStr">
        <is>
          <t>2024-2</t>
        </is>
      </c>
      <c r="J1839" t="n">
        <v>87</v>
      </c>
      <c r="K1839" t="n">
        <v>91</v>
      </c>
      <c r="L1839" s="39">
        <f>IFERROR(IF(OR(J1839=0,K1839=""),"",IF(E1839="Positivo",MIN(MAX(K1839/J1839,0),1.3),MIN(MAX(J1839/K1839,0),1.3))),"") </f>
        <v/>
      </c>
      <c r="M1839" s="3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372-2024-09-30</t>
        </is>
      </c>
    </row>
    <row r="1840" hidden="1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08" t="n">
        <v>45657</v>
      </c>
      <c r="G1840" t="n">
        <v>2024</v>
      </c>
      <c r="H1840" t="inlineStr">
        <is>
          <t>Diciembre</t>
        </is>
      </c>
      <c r="I1840" t="inlineStr">
        <is>
          <t>2024-2</t>
        </is>
      </c>
      <c r="J1840" t="n">
        <v>87</v>
      </c>
      <c r="K1840" t="n">
        <v>93</v>
      </c>
      <c r="L1840" s="39">
        <f>IFERROR(IF(OR(J1840=0,K1840=""),"",IF(E1840="Positivo",MIN(MAX(K1840/J1840,0),1.3),MIN(MAX(J1840/K1840,0),1.3))),"") </f>
        <v/>
      </c>
      <c r="M1840" s="3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372-2024-12-31</t>
        </is>
      </c>
    </row>
    <row r="1841" hidden="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08" t="n">
        <v>45747</v>
      </c>
      <c r="G1841" t="n">
        <v>2025</v>
      </c>
      <c r="H1841" t="inlineStr">
        <is>
          <t>Marzo</t>
        </is>
      </c>
      <c r="I1841" t="inlineStr">
        <is>
          <t>2025-1</t>
        </is>
      </c>
      <c r="J1841" t="n">
        <v>90</v>
      </c>
      <c r="K1841" t="n">
        <v>98</v>
      </c>
      <c r="L1841" s="39">
        <f>IFERROR(IF(OR(J1841=0,K1841=""),"",IF(E1841="Positivo",MIN(MAX(K1841/J1841,0),1.3),MIN(MAX(J1841/K1841,0),1.3))),"") </f>
        <v/>
      </c>
      <c r="M1841" s="3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372-2025-03-31</t>
        </is>
      </c>
    </row>
    <row r="1842" hidden="1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Educación no Formal</t>
        </is>
      </c>
      <c r="D1842" t="inlineStr">
        <is>
          <t>Trimestral</t>
        </is>
      </c>
      <c r="E1842" t="inlineStr">
        <is>
          <t>Positivo</t>
        </is>
      </c>
      <c r="F1842" s="108" t="n">
        <v>45838</v>
      </c>
      <c r="G1842" t="n">
        <v>2025</v>
      </c>
      <c r="H1842" t="inlineStr">
        <is>
          <t>Junio</t>
        </is>
      </c>
      <c r="I1842" t="inlineStr">
        <is>
          <t>2025-1</t>
        </is>
      </c>
      <c r="J1842" t="n">
        <v>90</v>
      </c>
      <c r="K1842" t="n">
        <v>90</v>
      </c>
      <c r="L1842" s="39">
        <f>IFERROR(IF(OR(J1842=0,K1842=""),"",IF(E1842="Positivo",MIN(MAX(K1842/J1842,0),1.3),MIN(MAX(J1842/K1842,0),1.3))),"") </f>
        <v/>
      </c>
      <c r="M1842" s="3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372-2025-06-30</t>
        </is>
      </c>
    </row>
    <row r="1843" hidden="1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08" t="n">
        <v>45930</v>
      </c>
      <c r="G1843" t="n">
        <v>2025</v>
      </c>
      <c r="H1843" t="inlineStr">
        <is>
          <t>Septiembre</t>
        </is>
      </c>
      <c r="I1843" t="inlineStr">
        <is>
          <t>2025-2</t>
        </is>
      </c>
      <c r="J1843" t="n">
        <v>90</v>
      </c>
      <c r="K1843" t="n">
        <v>97</v>
      </c>
      <c r="L1843" s="39">
        <f>IFERROR(IF(OR(J1843=0,K1843=""),"",IF(E1843="Positivo",MIN(MAX(K1843/J1843,0),1.3),MIN(MAX(J1843/K1843,0),1.3))),"") </f>
        <v/>
      </c>
      <c r="M1843" s="3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372-2025-09-30</t>
        </is>
      </c>
    </row>
    <row r="1844" hidden="1">
      <c r="A1844" t="n">
        <v>372</v>
      </c>
      <c r="B1844" t="inlineStr">
        <is>
          <t>Satisfacción de los clientes corporativos Educación para toda la vida</t>
        </is>
      </c>
      <c r="C1844" t="inlineStr">
        <is>
          <t>Operación de nuevos negocios y CI</t>
        </is>
      </c>
      <c r="D1844" t="inlineStr">
        <is>
          <t>Semestral</t>
        </is>
      </c>
      <c r="E1844" t="inlineStr">
        <is>
          <t>Positivo</t>
        </is>
      </c>
      <c r="F1844" s="108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90</v>
      </c>
      <c r="K1844" t="n">
        <v>97</v>
      </c>
      <c r="L1844" s="39">
        <f>IFERROR(IF(OR(J1844=0,K1844=""),"",IF(E1844="Positivo",MIN(MAX(K1844/J1844,0),1.3),MIN(MAX(J1844/K1844,0),1.3))),"") </f>
        <v/>
      </c>
      <c r="M1844" s="3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372-2025-12-31</t>
        </is>
      </c>
    </row>
    <row r="1845" hidden="1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Semestral</t>
        </is>
      </c>
      <c r="E1845" t="inlineStr">
        <is>
          <t>Positivo</t>
        </is>
      </c>
      <c r="F1845" s="108" t="n">
        <v>45016</v>
      </c>
      <c r="G1845" t="n">
        <v>2023</v>
      </c>
      <c r="H1845" t="inlineStr">
        <is>
          <t>Marzo</t>
        </is>
      </c>
      <c r="I1845" t="inlineStr">
        <is>
          <t>2023-1</t>
        </is>
      </c>
      <c r="J1845" t="n">
        <v>100</v>
      </c>
      <c r="K1845" t="n">
        <v>0</v>
      </c>
      <c r="L1845" s="39">
        <f>IFERROR(IF(OR(J1845=0,K1845=""),"",IF(E1845="Positivo",MIN(MAX(K1845/J1845,0),1.3),MIN(MAX(J1845/K1845,0),1.3))),"") </f>
        <v/>
      </c>
      <c r="M1845" s="39">
        <f>IFERROR(IF(OR(J1845=0,K1845=""),"",IF(E1845="Positivo",MAX(K1845/J1845,0),MAX(J1845/K1845,0))),"") 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373-2023-03-31</t>
        </is>
      </c>
      <c r="S1845" t="inlineStr"/>
    </row>
    <row r="1846" hidden="1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08" t="n">
        <v>45107</v>
      </c>
      <c r="G1846" t="n">
        <v>2023</v>
      </c>
      <c r="H1846" t="inlineStr">
        <is>
          <t>Junio</t>
        </is>
      </c>
      <c r="I1846" t="inlineStr">
        <is>
          <t>2023-1</t>
        </is>
      </c>
      <c r="J1846" t="n">
        <v>100</v>
      </c>
      <c r="K1846" t="n">
        <v>107.17166666667</v>
      </c>
      <c r="L1846" s="39">
        <f>IFERROR(IF(OR(J1846=0,K1846=""),"",IF(E1846="Positivo",MIN(MAX(K1846/J1846,0),1.3),MIN(MAX(J1846/K1846,0),1.3))),"") </f>
        <v/>
      </c>
      <c r="M1846" s="39">
        <f>IFERROR(IF(OR(J1846=0,K1846=""),"",IF(E1846="Positivo",MAX(K1846/J1846,0),MAX(J1846/K1846,0))),"") 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373-2023-06-30</t>
        </is>
      </c>
    </row>
    <row r="1847" hidden="1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08" t="n">
        <v>45199</v>
      </c>
      <c r="G1847" t="n">
        <v>2023</v>
      </c>
      <c r="H1847" t="inlineStr">
        <is>
          <t>Septiembre</t>
        </is>
      </c>
      <c r="I1847" t="inlineStr">
        <is>
          <t>2023-2</t>
        </is>
      </c>
      <c r="J1847" t="n">
        <v>100</v>
      </c>
      <c r="K1847" t="n">
        <v>91.508333333333</v>
      </c>
      <c r="L1847" s="39">
        <f>IFERROR(IF(OR(J1847=0,K1847=""),"",IF(E1847="Positivo",MIN(MAX(K1847/J1847,0),1.3),MIN(MAX(J1847/K1847,0),1.3))),"") </f>
        <v/>
      </c>
      <c r="M1847" s="39">
        <f>IFERROR(IF(OR(J1847=0,K1847=""),"",IF(E1847="Positivo",MAX(K1847/J1847,0),MAX(J1847/K1847,0))),"") 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373-2023-09-30</t>
        </is>
      </c>
    </row>
    <row r="1848" hidden="1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08" t="n">
        <v>45291</v>
      </c>
      <c r="G1848" t="n">
        <v>2023</v>
      </c>
      <c r="H1848" t="inlineStr">
        <is>
          <t>Diciembre</t>
        </is>
      </c>
      <c r="I1848" t="inlineStr">
        <is>
          <t>2023-2</t>
        </is>
      </c>
      <c r="J1848" t="n">
        <v>100</v>
      </c>
      <c r="K1848" t="n">
        <v>97.166666666667</v>
      </c>
      <c r="L1848" s="39">
        <f>IFERROR(IF(OR(J1848=0,K1848=""),"",IF(E1848="Positivo",MIN(MAX(K1848/J1848,0),1.3),MIN(MAX(J1848/K1848,0),1.3))),"") </f>
        <v/>
      </c>
      <c r="M1848" s="39">
        <f>IFERROR(IF(OR(J1848=0,K1848=""),"",IF(E1848="Positivo",MAX(K1848/J1848,0),MAX(J1848/K1848,0))),"") 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373-2023-12-31</t>
        </is>
      </c>
    </row>
    <row r="1849" hidden="1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08" t="n">
        <v>45382</v>
      </c>
      <c r="G1849" t="n">
        <v>2024</v>
      </c>
      <c r="H1849" t="inlineStr">
        <is>
          <t>Marzo</t>
        </is>
      </c>
      <c r="I1849" t="inlineStr">
        <is>
          <t>2024-1</t>
        </is>
      </c>
      <c r="J1849" t="n">
        <v>100</v>
      </c>
      <c r="K1849" t="n">
        <v>89.02</v>
      </c>
      <c r="L1849" s="39">
        <f>IFERROR(IF(OR(J1849=0,K1849=""),"",IF(E1849="Positivo",MIN(MAX(K1849/J1849,0),1.3),MIN(MAX(J1849/K1849,0),1.3))),"") </f>
        <v/>
      </c>
      <c r="M1849" s="39">
        <f>IFERROR(IF(OR(J1849=0,K1849=""),"",IF(E1849="Positivo",MAX(K1849/J1849,0),MAX(J1849/K1849,0))),"") 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373-2024-03-31</t>
        </is>
      </c>
    </row>
    <row r="1850" hidden="1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08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106.8</v>
      </c>
      <c r="L1850" s="39">
        <f>IFERROR(IF(OR(J1850=0,K1850=""),"",IF(E1850="Positivo",MIN(MAX(K1850/J1850,0),1.3),MIN(MAX(J1850/K1850,0),1.3))),"") </f>
        <v/>
      </c>
      <c r="M1850" s="39">
        <f>IFERROR(IF(OR(J1850=0,K1850=""),"",IF(E1850="Positivo",MAX(K1850/J1850,0),MAX(J1850/K1850,0))),"") 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373-2024-06-30</t>
        </is>
      </c>
    </row>
    <row r="1851" hidden="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08" t="n">
        <v>45565</v>
      </c>
      <c r="G1851" t="n">
        <v>2024</v>
      </c>
      <c r="H1851" t="inlineStr">
        <is>
          <t>Septiembre</t>
        </is>
      </c>
      <c r="I1851" t="inlineStr">
        <is>
          <t>2024-2</t>
        </is>
      </c>
      <c r="J1851" t="n">
        <v>100</v>
      </c>
      <c r="K1851" t="n">
        <v>99.61</v>
      </c>
      <c r="L1851" s="39">
        <f>IFERROR(IF(OR(J1851=0,K1851=""),"",IF(E1851="Positivo",MIN(MAX(K1851/J1851,0),1.3),MIN(MAX(J1851/K1851,0),1.3))),"") </f>
        <v/>
      </c>
      <c r="M1851" s="39">
        <f>IFERROR(IF(OR(J1851=0,K1851=""),"",IF(E1851="Positivo",MAX(K1851/J1851,0),MAX(J1851/K1851,0))),"") 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373-2024-09-30</t>
        </is>
      </c>
    </row>
    <row r="1852" hidden="1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Trimestral</t>
        </is>
      </c>
      <c r="E1852" t="inlineStr">
        <is>
          <t>Positivo</t>
        </is>
      </c>
      <c r="F1852" s="108" t="n">
        <v>45657</v>
      </c>
      <c r="G1852" t="n">
        <v>2024</v>
      </c>
      <c r="H1852" t="inlineStr">
        <is>
          <t>Diciembre</t>
        </is>
      </c>
      <c r="I1852" t="inlineStr">
        <is>
          <t>2024-2</t>
        </is>
      </c>
      <c r="J1852" t="n">
        <v>100</v>
      </c>
      <c r="K1852" t="n">
        <v>98.67</v>
      </c>
      <c r="L1852" s="39">
        <f>IFERROR(IF(OR(J1852=0,K1852=""),"",IF(E1852="Positivo",MIN(MAX(K1852/J1852,0),1.3),MIN(MAX(J1852/K1852,0),1.3))),"") </f>
        <v/>
      </c>
      <c r="M1852" s="39">
        <f>IFERROR(IF(OR(J1852=0,K1852=""),"",IF(E1852="Positivo",MAX(K1852/J1852,0),MAX(J1852/K1852,0))),"") 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373-2024-12-31</t>
        </is>
      </c>
    </row>
    <row r="1853" hidden="1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08" t="n">
        <v>45747</v>
      </c>
      <c r="G1853" t="n">
        <v>2025</v>
      </c>
      <c r="H1853" t="inlineStr">
        <is>
          <t>Marzo</t>
        </is>
      </c>
      <c r="I1853" t="inlineStr">
        <is>
          <t>2025-1</t>
        </is>
      </c>
      <c r="J1853" t="n">
        <v>100</v>
      </c>
      <c r="K1853" t="n">
        <v>107.46</v>
      </c>
      <c r="L1853" s="39">
        <f>IFERROR(IF(OR(J1853=0,K1853=""),"",IF(E1853="Positivo",MIN(MAX(K1853/J1853,0),1.3),MIN(MAX(J1853/K1853,0),1.3))),"") </f>
        <v/>
      </c>
      <c r="M1853" s="39">
        <f>IFERROR(IF(OR(J1853=0,K1853=""),"",IF(E1853="Positivo",MAX(K1853/J1853,0),MAX(J1853/K1853,0))),"") 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373-2025-03-31</t>
        </is>
      </c>
    </row>
    <row r="1854" hidden="1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08" t="n">
        <v>45838</v>
      </c>
      <c r="G1854" t="n">
        <v>2025</v>
      </c>
      <c r="H1854" t="inlineStr">
        <is>
          <t>Junio</t>
        </is>
      </c>
      <c r="I1854" t="inlineStr">
        <is>
          <t>2025-1</t>
        </is>
      </c>
      <c r="J1854" t="n">
        <v>100</v>
      </c>
      <c r="K1854" t="n">
        <v>101.75</v>
      </c>
      <c r="L1854" s="39">
        <f>IFERROR(IF(OR(J1854=0,K1854=""),"",IF(E1854="Positivo",MIN(MAX(K1854/J1854,0),1.3),MIN(MAX(J1854/K1854,0),1.3))),"") </f>
        <v/>
      </c>
      <c r="M1854" s="39">
        <f>IFERROR(IF(OR(J1854=0,K1854=""),"",IF(E1854="Positivo",MAX(K1854/J1854,0),MAX(J1854/K1854,0))),"") 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373-2025-06-30</t>
        </is>
      </c>
    </row>
    <row r="1855" hidden="1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08" t="n">
        <v>45930</v>
      </c>
      <c r="G1855" t="n">
        <v>2025</v>
      </c>
      <c r="H1855" t="inlineStr">
        <is>
          <t>Septiembre</t>
        </is>
      </c>
      <c r="I1855" t="inlineStr">
        <is>
          <t>2025-2</t>
        </is>
      </c>
      <c r="J1855" t="n">
        <v>100</v>
      </c>
      <c r="K1855" t="n">
        <v>96.31999999999999</v>
      </c>
      <c r="L1855" s="39">
        <f>IFERROR(IF(OR(J1855=0,K1855=""),"",IF(E1855="Positivo",MIN(MAX(K1855/J1855,0),1.3),MIN(MAX(J1855/K1855,0),1.3))),"") </f>
        <v/>
      </c>
      <c r="M1855" s="39">
        <f>IFERROR(IF(OR(J1855=0,K1855=""),"",IF(E1855="Positivo",MAX(K1855/J1855,0),MAX(J1855/K1855,0))),"") 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373-2025-09-30</t>
        </is>
      </c>
    </row>
    <row r="1856" hidden="1">
      <c r="A1856" t="n">
        <v>373</v>
      </c>
      <c r="B1856" t="inlineStr">
        <is>
          <t>Cumplimiento de planes anuales por líneas</t>
        </is>
      </c>
      <c r="C1856" t="inlineStr">
        <is>
          <t>Planeación Estratégica</t>
        </is>
      </c>
      <c r="D1856" t="inlineStr">
        <is>
          <t>Semestral</t>
        </is>
      </c>
      <c r="E1856" t="inlineStr">
        <is>
          <t>Positivo</t>
        </is>
      </c>
      <c r="F1856" s="108" t="n">
        <v>46022</v>
      </c>
      <c r="G1856" t="n">
        <v>2025</v>
      </c>
      <c r="H1856" t="inlineStr">
        <is>
          <t>Diciembre</t>
        </is>
      </c>
      <c r="I1856" t="inlineStr">
        <is>
          <t>2025-2</t>
        </is>
      </c>
      <c r="J1856" t="n">
        <v>100</v>
      </c>
      <c r="K1856" t="n">
        <v>99.33</v>
      </c>
      <c r="L1856" s="39">
        <f>IFERROR(IF(OR(J1856=0,K1856=""),"",IF(E1856="Positivo",MIN(MAX(K1856/J1856,0),1.3),MIN(MAX(J1856/K1856,0),1.3))),"") </f>
        <v/>
      </c>
      <c r="M1856" s="3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373-2025-12-31</t>
        </is>
      </c>
    </row>
    <row r="1857" hidden="1">
      <c r="A1857" t="n">
        <v>374</v>
      </c>
      <c r="B1857" t="inlineStr">
        <is>
          <t>Disponibilidad de máster modalidad virtual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108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39">
        <f>IFERROR(IF(OR(J1857=0,K1857=""),"",IF(E1857="Positivo",MIN(MAX(K1857/J1857,0),1.3),MIN(MAX(J1857/K1857,0),1.3))),"") </f>
        <v/>
      </c>
      <c r="M1857" s="3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374-2023-12-31</t>
        </is>
      </c>
    </row>
    <row r="1858" hidden="1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08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100</v>
      </c>
      <c r="L1858" s="39" t="n"/>
      <c r="M1858" s="39" t="n"/>
      <c r="N1858" t="inlineStr">
        <is>
          <t>%</t>
        </is>
      </c>
      <c r="O1858" t="inlineStr">
        <is>
          <t>No Aplica</t>
        </is>
      </c>
      <c r="P1858" t="n">
        <v>0</v>
      </c>
      <c r="Q1858" t="n">
        <v>0</v>
      </c>
      <c r="R1858" t="inlineStr">
        <is>
          <t>375-2023-03-31</t>
        </is>
      </c>
      <c r="S1858" t="inlineStr">
        <is>
          <t>No Aplica</t>
        </is>
      </c>
    </row>
    <row r="1859" hidden="1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Trimestral</t>
        </is>
      </c>
      <c r="E1859" t="inlineStr">
        <is>
          <t>Positivo</t>
        </is>
      </c>
      <c r="F1859" s="108" t="n">
        <v>45107</v>
      </c>
      <c r="G1859" t="n">
        <v>2023</v>
      </c>
      <c r="H1859" t="inlineStr">
        <is>
          <t>Junio</t>
        </is>
      </c>
      <c r="I1859" t="inlineStr">
        <is>
          <t>2023-1</t>
        </is>
      </c>
      <c r="J1859" t="n">
        <v>100</v>
      </c>
      <c r="K1859" t="n">
        <v>0</v>
      </c>
      <c r="L1859" s="39">
        <f>IFERROR(IF(OR(J1859=0,K1859=""),"",IF(E1859="Positivo",MIN(MAX(K1859/J1859,0),1.3),MIN(MAX(J1859/K1859,0),1.3))),"") </f>
        <v/>
      </c>
      <c r="M1859" s="3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375-2023-06-30</t>
        </is>
      </c>
    </row>
    <row r="1860" hidden="1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08" t="n">
        <v>45291</v>
      </c>
      <c r="G1860" t="n">
        <v>2023</v>
      </c>
      <c r="H1860" t="inlineStr">
        <is>
          <t>Diciembre</t>
        </is>
      </c>
      <c r="I1860" t="inlineStr">
        <is>
          <t>2023-2</t>
        </is>
      </c>
      <c r="J1860" t="n">
        <v>100</v>
      </c>
      <c r="K1860" t="n">
        <v>100</v>
      </c>
      <c r="L1860" s="39">
        <f>IFERROR(IF(OR(J1860=0,K1860=""),"",IF(E1860="Positivo",MIN(MAX(K1860/J1860,0),1.3),MIN(MAX(J1860/K1860,0),1.3))),"") </f>
        <v/>
      </c>
      <c r="M1860" s="3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375-2023-12-31</t>
        </is>
      </c>
    </row>
    <row r="1861" hidden="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08" t="n">
        <v>45473</v>
      </c>
      <c r="G1861" t="n">
        <v>2024</v>
      </c>
      <c r="H1861" t="inlineStr">
        <is>
          <t>Junio</t>
        </is>
      </c>
      <c r="I1861" t="inlineStr">
        <is>
          <t>2024-1</t>
        </is>
      </c>
      <c r="J1861" t="n">
        <v>100</v>
      </c>
      <c r="K1861" t="n">
        <v>100</v>
      </c>
      <c r="L1861" s="39">
        <f>IFERROR(IF(OR(J1861=0,K1861=""),"",IF(E1861="Positivo",MIN(MAX(K1861/J1861,0),1.3),MIN(MAX(J1861/K1861,0),1.3))),"") </f>
        <v/>
      </c>
      <c r="M1861" s="3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375-2024-06-30</t>
        </is>
      </c>
    </row>
    <row r="1862" hidden="1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08" t="n">
        <v>45657</v>
      </c>
      <c r="G1862" t="n">
        <v>2024</v>
      </c>
      <c r="H1862" t="inlineStr">
        <is>
          <t>Diciembre</t>
        </is>
      </c>
      <c r="I1862" t="inlineStr">
        <is>
          <t>2024-2</t>
        </is>
      </c>
      <c r="J1862" t="n">
        <v>100</v>
      </c>
      <c r="K1862" t="n">
        <v>100</v>
      </c>
      <c r="L1862" s="39">
        <f>IFERROR(IF(OR(J1862=0,K1862=""),"",IF(E1862="Positivo",MIN(MAX(K1862/J1862,0),1.3),MIN(MAX(J1862/K1862,0),1.3))),"") </f>
        <v/>
      </c>
      <c r="M1862" s="3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375-2024-12-31</t>
        </is>
      </c>
    </row>
    <row r="1863" hidden="1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Semestral</t>
        </is>
      </c>
      <c r="E1863" t="inlineStr">
        <is>
          <t>Positivo</t>
        </is>
      </c>
      <c r="F1863" s="108" t="n">
        <v>45838</v>
      </c>
      <c r="G1863" t="n">
        <v>2025</v>
      </c>
      <c r="H1863" t="inlineStr">
        <is>
          <t>Junio</t>
        </is>
      </c>
      <c r="I1863" t="inlineStr">
        <is>
          <t>2025-1</t>
        </is>
      </c>
      <c r="J1863" t="n">
        <v>100</v>
      </c>
      <c r="K1863" t="n">
        <v>100</v>
      </c>
      <c r="L1863" s="39">
        <f>IFERROR(IF(OR(J1863=0,K1863=""),"",IF(E1863="Positivo",MIN(MAX(K1863/J1863,0),1.3),MIN(MAX(J1863/K1863,0),1.3))),"") </f>
        <v/>
      </c>
      <c r="M1863" s="3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375-2025-06-30</t>
        </is>
      </c>
    </row>
    <row r="1864" hidden="1">
      <c r="A1864" t="n">
        <v>375</v>
      </c>
      <c r="B1864" t="inlineStr">
        <is>
          <t>Disponibilidad de catálogo de asignaturas pregrado y posgrado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08" t="n">
        <v>46022</v>
      </c>
      <c r="G1864" t="n">
        <v>2025</v>
      </c>
      <c r="H1864" t="inlineStr">
        <is>
          <t>Diciembre</t>
        </is>
      </c>
      <c r="I1864" t="inlineStr">
        <is>
          <t>2025-2</t>
        </is>
      </c>
      <c r="J1864" t="n">
        <v>100</v>
      </c>
      <c r="K1864" t="n">
        <v>100</v>
      </c>
      <c r="L1864" s="39">
        <f>IFERROR(IF(OR(J1864=0,K1864=""),"",IF(E1864="Positivo",MIN(MAX(K1864/J1864,0),1.3),MIN(MAX(J1864/K1864,0),1.3))),"") </f>
        <v/>
      </c>
      <c r="M1864" s="3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375-2025-12-31</t>
        </is>
      </c>
    </row>
    <row r="1865" hidden="1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08" t="n">
        <v>45107</v>
      </c>
      <c r="G1865" t="n">
        <v>2023</v>
      </c>
      <c r="H1865" t="inlineStr">
        <is>
          <t>Junio</t>
        </is>
      </c>
      <c r="I1865" t="inlineStr">
        <is>
          <t>2023-1</t>
        </is>
      </c>
      <c r="J1865" t="n">
        <v>95</v>
      </c>
      <c r="K1865" t="n">
        <v>149.7223763395</v>
      </c>
      <c r="L1865" s="39">
        <f>IFERROR(IF(OR(J1865=0,K1865=""),"",IF(E1865="Positivo",MIN(MAX(K1865/J1865,0),1.3),MIN(MAX(J1865/K1865,0),1.3))),"") </f>
        <v/>
      </c>
      <c r="M1865" s="39">
        <f>IFERROR(IF(OR(J1865=0,K1865=""),"",IF(E1865="Positivo",MAX(K1865/J1865,0),MAX(J1865/K1865,0))),"") </f>
        <v/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376-2023-06-30</t>
        </is>
      </c>
    </row>
    <row r="1866" hidden="1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08" t="n">
        <v>45291</v>
      </c>
      <c r="G1866" t="n">
        <v>2023</v>
      </c>
      <c r="H1866" t="inlineStr">
        <is>
          <t>Diciembre</t>
        </is>
      </c>
      <c r="I1866" t="inlineStr">
        <is>
          <t>2023-2</t>
        </is>
      </c>
      <c r="J1866" t="n">
        <v>95</v>
      </c>
      <c r="K1866" t="n">
        <v>101.26</v>
      </c>
      <c r="L1866" s="39">
        <f>IFERROR(IF(OR(J1866=0,K1866=""),"",IF(E1866="Positivo",MIN(MAX(K1866/J1866,0),1.3),MIN(MAX(J1866/K1866,0),1.3))),"") </f>
        <v/>
      </c>
      <c r="M1866" s="39">
        <f>IFERROR(IF(OR(J1866=0,K1866=""),"",IF(E1866="Positivo",MAX(K1866/J1866,0),MAX(J1866/K1866,0))),"") </f>
        <v/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376-2023-12-31</t>
        </is>
      </c>
    </row>
    <row r="1867" hidden="1">
      <c r="A1867" t="n">
        <v>376</v>
      </c>
      <c r="B1867" t="inlineStr">
        <is>
          <t>Cumplimiento EBIDTA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08" t="n">
        <v>45473</v>
      </c>
      <c r="G1867" t="n">
        <v>2024</v>
      </c>
      <c r="H1867" t="inlineStr">
        <is>
          <t>Junio</t>
        </is>
      </c>
      <c r="I1867" t="inlineStr">
        <is>
          <t>2024-1</t>
        </is>
      </c>
      <c r="J1867" t="n">
        <v>95</v>
      </c>
      <c r="K1867" t="n">
        <v>104</v>
      </c>
      <c r="L1867" s="39">
        <f>IFERROR(IF(OR(J1867=0,K1867=""),"",IF(E1867="Positivo",MIN(MAX(K1867/J1867,0),1.3),MIN(MAX(J1867/K1867,0),1.3))),"") </f>
        <v/>
      </c>
      <c r="M1867" s="39">
        <f>IFERROR(IF(OR(J1867=0,K1867=""),"",IF(E1867="Positivo",MAX(K1867/J1867,0),MAX(J1867/K1867,0))),"") </f>
        <v/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376-2024-06-30</t>
        </is>
      </c>
    </row>
    <row r="1868" hidden="1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08" t="n">
        <v>45657</v>
      </c>
      <c r="G1868" t="n">
        <v>2024</v>
      </c>
      <c r="H1868" t="inlineStr">
        <is>
          <t>Diciembre</t>
        </is>
      </c>
      <c r="I1868" t="inlineStr">
        <is>
          <t>2024-2</t>
        </is>
      </c>
      <c r="J1868" t="n">
        <v>95</v>
      </c>
      <c r="K1868" t="n">
        <v>109.1</v>
      </c>
      <c r="L1868" s="39">
        <f>IFERROR(IF(OR(J1868=0,K1868=""),"",IF(E1868="Positivo",MIN(MAX(K1868/J1868,0),1.3),MIN(MAX(J1868/K1868,0),1.3))),"") </f>
        <v/>
      </c>
      <c r="M1868" s="39">
        <f>IFERROR(IF(OR(J1868=0,K1868=""),"",IF(E1868="Positivo",MAX(K1868/J1868,0),MAX(J1868/K1868,0))),"") </f>
        <v/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376-2024-12-31</t>
        </is>
      </c>
    </row>
    <row r="1869" hidden="1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Positivo</t>
        </is>
      </c>
      <c r="F1869" s="108" t="n">
        <v>45838</v>
      </c>
      <c r="G1869" t="n">
        <v>2025</v>
      </c>
      <c r="H1869" t="inlineStr">
        <is>
          <t>Junio</t>
        </is>
      </c>
      <c r="I1869" t="inlineStr">
        <is>
          <t>2025-1</t>
        </is>
      </c>
      <c r="J1869" t="n">
        <v>95</v>
      </c>
      <c r="K1869" t="n">
        <v>117.87</v>
      </c>
      <c r="L1869" s="39">
        <f>IFERROR(IF(OR(J1869=0,K1869=""),"",IF(E1869="Positivo",MIN(MAX(K1869/J1869,0),1.3),MIN(MAX(J1869/K1869,0),1.3))),"") </f>
        <v/>
      </c>
      <c r="M1869" s="39">
        <f>IFERROR(IF(OR(J1869=0,K1869=""),"",IF(E1869="Positivo",MAX(K1869/J1869,0),MAX(J1869/K1869,0))),"") </f>
        <v/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376-2025-06-30</t>
        </is>
      </c>
    </row>
    <row r="1870" hidden="1">
      <c r="A1870" t="n">
        <v>376</v>
      </c>
      <c r="B1870" t="inlineStr">
        <is>
          <t>Cumplimiento EBITDA</t>
        </is>
      </c>
      <c r="C1870" t="inlineStr">
        <is>
          <t>Planeación Financiera</t>
        </is>
      </c>
      <c r="D1870" t="inlineStr">
        <is>
          <t>Trimestral</t>
        </is>
      </c>
      <c r="E1870" t="inlineStr">
        <is>
          <t>Positivo</t>
        </is>
      </c>
      <c r="F1870" s="108" t="n">
        <v>46022</v>
      </c>
      <c r="G1870" t="n">
        <v>2025</v>
      </c>
      <c r="H1870" t="inlineStr">
        <is>
          <t>Diciembre</t>
        </is>
      </c>
      <c r="I1870" t="inlineStr">
        <is>
          <t>2025-2</t>
        </is>
      </c>
      <c r="J1870" t="n">
        <v>95</v>
      </c>
      <c r="K1870" t="n">
        <v>117.51</v>
      </c>
      <c r="L1870" s="39">
        <f>IFERROR(IF(OR(J1870=0,K1870=""),"",IF(E1870="Positivo",MIN(MAX(K1870/J1870,0),1.3),MIN(MAX(J1870/K1870,0),1.3))),"") </f>
        <v/>
      </c>
      <c r="M1870" s="39">
        <f>IFERROR(IF(OR(J1870=0,K1870=""),"",IF(E1870="Positivo",MAX(K1870/J1870,0),MAX(J1870/K1870,0))),"") </f>
        <v/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376-2025-12-31</t>
        </is>
      </c>
    </row>
    <row r="1871" hidden="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08" t="n">
        <v>45107</v>
      </c>
      <c r="G1871" t="n">
        <v>2023</v>
      </c>
      <c r="H1871" t="inlineStr">
        <is>
          <t>Junio</t>
        </is>
      </c>
      <c r="I1871" t="inlineStr">
        <is>
          <t>2023-1</t>
        </is>
      </c>
      <c r="J1871" t="n">
        <v>100</v>
      </c>
      <c r="K1871" t="n">
        <v>22.314798348502</v>
      </c>
      <c r="L1871" s="39">
        <f>IFERROR(IF(OR(J1871=0,K1871=""),"",IF(E1871="Positivo",MIN(MAX(K1871/J1871,0),1.3),MIN(MAX(J1871/K1871,0),1.3))),"") </f>
        <v/>
      </c>
      <c r="M1871" s="39">
        <f>IFERROR(IF(OR(J1871=0,K1871=""),"",IF(E1871="Positivo",MAX(K1871/J1871,0),MAX(J1871/K1871,0))),"") </f>
        <v/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377-2023-06-30</t>
        </is>
      </c>
    </row>
    <row r="1872" hidden="1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08" t="n">
        <v>45291</v>
      </c>
      <c r="G1872" t="n">
        <v>2023</v>
      </c>
      <c r="H1872" t="inlineStr">
        <is>
          <t>Diciembre</t>
        </is>
      </c>
      <c r="I1872" t="inlineStr">
        <is>
          <t>2023-2</t>
        </is>
      </c>
      <c r="J1872" t="n">
        <v>100</v>
      </c>
      <c r="K1872" t="n">
        <v>60.77</v>
      </c>
      <c r="L1872" s="39">
        <f>IFERROR(IF(OR(J1872=0,K1872=""),"",IF(E1872="Positivo",MIN(MAX(K1872/J1872,0),1.3),MIN(MAX(J1872/K1872,0),1.3))),"") </f>
        <v/>
      </c>
      <c r="M1872" s="39">
        <f>IFERROR(IF(OR(J1872=0,K1872=""),"",IF(E1872="Positivo",MAX(K1872/J1872,0),MAX(J1872/K1872,0))),"") </f>
        <v/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377-2023-12-31</t>
        </is>
      </c>
    </row>
    <row r="1873" hidden="1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08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100</v>
      </c>
      <c r="K1873" t="n">
        <v>48.24</v>
      </c>
      <c r="L1873" s="39">
        <f>IFERROR(IF(OR(J1873=0,K1873=""),"",IF(E1873="Positivo",MIN(MAX(K1873/J1873,0),1.3),MIN(MAX(J1873/K1873,0),1.3))),"") </f>
        <v/>
      </c>
      <c r="M1873" s="39">
        <f>IFERROR(IF(OR(J1873=0,K1873=""),"",IF(E1873="Positivo",MAX(K1873/J1873,0),MAX(J1873/K1873,0))),"") </f>
        <v/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377-2024-06-30</t>
        </is>
      </c>
    </row>
    <row r="1874" hidden="1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Semestral</t>
        </is>
      </c>
      <c r="E1874" t="inlineStr">
        <is>
          <t>Negativo</t>
        </is>
      </c>
      <c r="F1874" s="108" t="n">
        <v>45657</v>
      </c>
      <c r="G1874" t="n">
        <v>2024</v>
      </c>
      <c r="H1874" t="inlineStr">
        <is>
          <t>Diciembre</t>
        </is>
      </c>
      <c r="I1874" t="inlineStr">
        <is>
          <t>2024-2</t>
        </is>
      </c>
      <c r="J1874" t="n">
        <v>100</v>
      </c>
      <c r="K1874" t="n">
        <v>125.01</v>
      </c>
      <c r="L1874" s="39">
        <f>IFERROR(IF(OR(J1874=0,K1874=""),"",IF(E1874="Positivo",MIN(MAX(K1874/J1874,0),1.3),MIN(MAX(J1874/K1874,0),1.3))),"") </f>
        <v/>
      </c>
      <c r="M1874" s="39">
        <f>IFERROR(IF(OR(J1874=0,K1874=""),"",IF(E1874="Positivo",MAX(K1874/J1874,0),MAX(J1874/K1874,0))),"") </f>
        <v/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377-2024-12-31</t>
        </is>
      </c>
    </row>
    <row r="1875" hidden="1">
      <c r="A1875" t="n">
        <v>377</v>
      </c>
      <c r="B1875" t="inlineStr">
        <is>
          <t>CAPEX</t>
        </is>
      </c>
      <c r="C1875" t="inlineStr">
        <is>
          <t>Planeación Financiera</t>
        </is>
      </c>
      <c r="D1875" t="inlineStr">
        <is>
          <t>Anual</t>
        </is>
      </c>
      <c r="E1875" t="inlineStr">
        <is>
          <t>Positivo</t>
        </is>
      </c>
      <c r="F1875" s="108" t="n">
        <v>46022</v>
      </c>
      <c r="G1875" t="n">
        <v>2025</v>
      </c>
      <c r="H1875" t="inlineStr">
        <is>
          <t>Diciembre</t>
        </is>
      </c>
      <c r="I1875" t="inlineStr">
        <is>
          <t>2025-2</t>
        </is>
      </c>
      <c r="J1875" t="n">
        <v>100</v>
      </c>
      <c r="K1875" t="n">
        <v>107.11</v>
      </c>
      <c r="L1875" s="39">
        <f>IFERROR(IF(OR(J1875=0,K1875=""),"",IF(E1875="Positivo",MIN(MAX(K1875/J1875,0),1.3),MIN(MAX(J1875/K1875,0),1.3))),"") </f>
        <v/>
      </c>
      <c r="M1875" s="39">
        <f>IFERROR(IF(OR(J1875=0,K1875=""),"",IF(E1875="Positivo",MAX(K1875/J1875,0),MAX(J1875/K1875,0))),"") </f>
        <v/>
      </c>
      <c r="N1875" t="inlineStr">
        <is>
          <t>$</t>
        </is>
      </c>
      <c r="O1875" t="inlineStr">
        <is>
          <t>$</t>
        </is>
      </c>
      <c r="P1875" t="n">
        <v>0</v>
      </c>
      <c r="Q1875" t="n">
        <v>0</v>
      </c>
      <c r="R1875" t="inlineStr">
        <is>
          <t>377-2025-12-31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08" t="n">
        <v>44957</v>
      </c>
      <c r="G1876" t="n">
        <v>2023</v>
      </c>
      <c r="H1876" t="inlineStr">
        <is>
          <t>Enero</t>
        </is>
      </c>
      <c r="I1876" t="inlineStr">
        <is>
          <t>2023-1</t>
        </is>
      </c>
      <c r="J1876" t="n">
        <v>92</v>
      </c>
      <c r="K1876" t="n">
        <v>100</v>
      </c>
      <c r="L1876" s="39">
        <f>IFERROR(IF(OR(J1876=0,K1876=""),"",IF(E1876="Positivo",MIN(MAX(K1876/J1876,0),1.3),MIN(MAX(J1876/K1876,0),1.3))),"") </f>
        <v/>
      </c>
      <c r="M1876" s="3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378-2023-01-31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08" t="n">
        <v>44985</v>
      </c>
      <c r="G1877" t="n">
        <v>2023</v>
      </c>
      <c r="H1877" t="inlineStr">
        <is>
          <t>Febrero</t>
        </is>
      </c>
      <c r="I1877" t="inlineStr">
        <is>
          <t>2023-1</t>
        </is>
      </c>
      <c r="J1877" t="n">
        <v>92</v>
      </c>
      <c r="K1877" t="n">
        <v>100</v>
      </c>
      <c r="L1877" s="39">
        <f>IFERROR(IF(OR(J1877=0,K1877=""),"",IF(E1877="Positivo",MIN(MAX(K1877/J1877,0),1.3),MIN(MAX(J1877/K1877,0),1.3))),"") </f>
        <v/>
      </c>
      <c r="M1877" s="3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378-2023-02-28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08" t="n">
        <v>45016</v>
      </c>
      <c r="G1878" t="n">
        <v>2023</v>
      </c>
      <c r="H1878" t="inlineStr">
        <is>
          <t>Marzo</t>
        </is>
      </c>
      <c r="I1878" t="inlineStr">
        <is>
          <t>2023-1</t>
        </is>
      </c>
      <c r="J1878" t="n">
        <v>92</v>
      </c>
      <c r="K1878" t="n">
        <v>100</v>
      </c>
      <c r="L1878" s="39">
        <f>IFERROR(IF(OR(J1878=0,K1878=""),"",IF(E1878="Positivo",MIN(MAX(K1878/J1878,0),1.3),MIN(MAX(J1878/K1878,0),1.3))),"") </f>
        <v/>
      </c>
      <c r="M1878" s="3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378-2023-03-31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08" t="n">
        <v>45046</v>
      </c>
      <c r="G1879" t="n">
        <v>2023</v>
      </c>
      <c r="H1879" t="inlineStr">
        <is>
          <t>Abril</t>
        </is>
      </c>
      <c r="I1879" t="inlineStr">
        <is>
          <t>2023-1</t>
        </is>
      </c>
      <c r="J1879" t="n">
        <v>92</v>
      </c>
      <c r="K1879" t="n">
        <v>90.5</v>
      </c>
      <c r="L1879" s="39">
        <f>IFERROR(IF(OR(J1879=0,K1879=""),"",IF(E1879="Positivo",MIN(MAX(K1879/J1879,0),1.3),MIN(MAX(J1879/K1879,0),1.3))),"") </f>
        <v/>
      </c>
      <c r="M1879" s="3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378-2023-04-30</t>
        </is>
      </c>
    </row>
    <row r="1880" hidden="1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08" t="n">
        <v>45077</v>
      </c>
      <c r="G1880" t="n">
        <v>2023</v>
      </c>
      <c r="H1880" t="inlineStr">
        <is>
          <t>Mayo</t>
        </is>
      </c>
      <c r="I1880" t="inlineStr">
        <is>
          <t>2023-1</t>
        </is>
      </c>
      <c r="J1880" t="n">
        <v>92</v>
      </c>
      <c r="K1880" t="n">
        <v>83.5</v>
      </c>
      <c r="L1880" s="39">
        <f>IFERROR(IF(OR(J1880=0,K1880=""),"",IF(E1880="Positivo",MIN(MAX(K1880/J1880,0),1.3),MIN(MAX(J1880/K1880,0),1.3))),"") </f>
        <v/>
      </c>
      <c r="M1880" s="39">
        <f>IFERROR(IF(OR(J1880=0,K1880=""),"",IF(E1880="Positivo",MAX(K1880/J1880,0),MAX(J1880/K1880,0))),"") </f>
        <v/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378-2023-05-31</t>
        </is>
      </c>
    </row>
    <row r="1881" hidden="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08" t="n">
        <v>45107</v>
      </c>
      <c r="G1881" t="n">
        <v>2023</v>
      </c>
      <c r="H1881" t="inlineStr">
        <is>
          <t>Junio</t>
        </is>
      </c>
      <c r="I1881" t="inlineStr">
        <is>
          <t>2023-1</t>
        </is>
      </c>
      <c r="J1881" t="n">
        <v>92</v>
      </c>
      <c r="K1881" t="n">
        <v>89</v>
      </c>
      <c r="L1881" s="39">
        <f>IFERROR(IF(OR(J1881=0,K1881=""),"",IF(E1881="Positivo",MIN(MAX(K1881/J1881,0),1.3),MIN(MAX(J1881/K1881,0),1.3))),"") </f>
        <v/>
      </c>
      <c r="M1881" s="39">
        <f>IFERROR(IF(OR(J1881=0,K1881=""),"",IF(E1881="Positivo",MAX(K1881/J1881,0),MAX(J1881/K1881,0))),"") </f>
        <v/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378-2023-06-30</t>
        </is>
      </c>
    </row>
    <row r="1882" hidden="1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08" t="n">
        <v>45138</v>
      </c>
      <c r="G1882" t="n">
        <v>2023</v>
      </c>
      <c r="H1882" t="inlineStr">
        <is>
          <t>Julio</t>
        </is>
      </c>
      <c r="I1882" t="inlineStr">
        <is>
          <t>2023-2</t>
        </is>
      </c>
      <c r="J1882" t="n">
        <v>92</v>
      </c>
      <c r="K1882" t="n">
        <v>94</v>
      </c>
      <c r="L1882" s="39">
        <f>IFERROR(IF(OR(J1882=0,K1882=""),"",IF(E1882="Positivo",MIN(MAX(K1882/J1882,0),1.3),MIN(MAX(J1882/K1882,0),1.3))),"") </f>
        <v/>
      </c>
      <c r="M1882" s="39">
        <f>IFERROR(IF(OR(J1882=0,K1882=""),"",IF(E1882="Positivo",MAX(K1882/J1882,0),MAX(J1882/K1882,0))),"") </f>
        <v/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378-2023-07-31</t>
        </is>
      </c>
    </row>
    <row r="1883" hidden="1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08" t="n">
        <v>45169</v>
      </c>
      <c r="G1883" t="n">
        <v>2023</v>
      </c>
      <c r="H1883" t="inlineStr">
        <is>
          <t>Agosto</t>
        </is>
      </c>
      <c r="I1883" t="inlineStr">
        <is>
          <t>2023-2</t>
        </is>
      </c>
      <c r="J1883" t="n">
        <v>92</v>
      </c>
      <c r="K1883" t="n">
        <v>97.5</v>
      </c>
      <c r="L1883" s="39">
        <f>IFERROR(IF(OR(J1883=0,K1883=""),"",IF(E1883="Positivo",MIN(MAX(K1883/J1883,0),1.3),MIN(MAX(J1883/K1883,0),1.3))),"") </f>
        <v/>
      </c>
      <c r="M1883" s="39">
        <f>IFERROR(IF(OR(J1883=0,K1883=""),"",IF(E1883="Positivo",MAX(K1883/J1883,0),MAX(J1883/K1883,0))),"") </f>
        <v/>
      </c>
      <c r="N1883" t="inlineStr">
        <is>
          <t>%</t>
        </is>
      </c>
      <c r="O1883" t="inlineStr">
        <is>
          <t>%</t>
        </is>
      </c>
      <c r="P1883" t="n">
        <v>1</v>
      </c>
      <c r="Q1883" t="n">
        <v>1</v>
      </c>
      <c r="R1883" t="inlineStr">
        <is>
          <t>378-2023-08-31</t>
        </is>
      </c>
    </row>
    <row r="1884" hidden="1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08" t="n">
        <v>45199</v>
      </c>
      <c r="G1884" t="n">
        <v>2023</v>
      </c>
      <c r="H1884" t="inlineStr">
        <is>
          <t>Septiembre</t>
        </is>
      </c>
      <c r="I1884" t="inlineStr">
        <is>
          <t>2023-2</t>
        </is>
      </c>
      <c r="J1884" t="n">
        <v>92</v>
      </c>
      <c r="K1884" t="n">
        <v>99</v>
      </c>
      <c r="L1884" s="39">
        <f>IFERROR(IF(OR(J1884=0,K1884=""),"",IF(E1884="Positivo",MIN(MAX(K1884/J1884,0),1.3),MIN(MAX(J1884/K1884,0),1.3))),"") </f>
        <v/>
      </c>
      <c r="M1884" s="39">
        <f>IFERROR(IF(OR(J1884=0,K1884=""),"",IF(E1884="Positivo",MAX(K1884/J1884,0),MAX(J1884/K1884,0))),"") </f>
        <v/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378-2023-09-30</t>
        </is>
      </c>
    </row>
    <row r="1885" hidden="1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08" t="n">
        <v>45230</v>
      </c>
      <c r="G1885" t="n">
        <v>2023</v>
      </c>
      <c r="H1885" t="inlineStr">
        <is>
          <t>Octubre</t>
        </is>
      </c>
      <c r="I1885" t="inlineStr">
        <is>
          <t>2023-2</t>
        </is>
      </c>
      <c r="J1885" t="n">
        <v>92</v>
      </c>
      <c r="K1885" t="n">
        <v>96</v>
      </c>
      <c r="L1885" s="39">
        <f>IFERROR(IF(OR(J1885=0,K1885=""),"",IF(E1885="Positivo",MIN(MAX(K1885/J1885,0),1.3),MIN(MAX(J1885/K1885,0),1.3))),"") </f>
        <v/>
      </c>
      <c r="M1885" s="39">
        <f>IFERROR(IF(OR(J1885=0,K1885=""),"",IF(E1885="Positivo",MAX(K1885/J1885,0),MAX(J1885/K1885,0))),"") </f>
        <v/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378-2023-10-31</t>
        </is>
      </c>
    </row>
    <row r="1886" hidden="1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08" t="n">
        <v>45260</v>
      </c>
      <c r="G1886" t="n">
        <v>2023</v>
      </c>
      <c r="H1886" t="inlineStr">
        <is>
          <t>Noviembre</t>
        </is>
      </c>
      <c r="I1886" t="inlineStr">
        <is>
          <t>2023-2</t>
        </is>
      </c>
      <c r="J1886" t="n">
        <v>92</v>
      </c>
      <c r="K1886" t="n">
        <v>96.91</v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378-2023-11-30</t>
        </is>
      </c>
    </row>
    <row r="1887" hidden="1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08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 t="n">
        <v>92</v>
      </c>
      <c r="K1887" t="n">
        <v>100.52</v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378-2023-12-31</t>
        </is>
      </c>
    </row>
    <row r="1888" hidden="1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08" t="n">
        <v>45322</v>
      </c>
      <c r="G1888" t="n">
        <v>2024</v>
      </c>
      <c r="H1888" t="inlineStr">
        <is>
          <t>Enero</t>
        </is>
      </c>
      <c r="I1888" t="inlineStr">
        <is>
          <t>2024-1</t>
        </is>
      </c>
      <c r="J1888" t="n">
        <v>92</v>
      </c>
      <c r="K1888" t="n">
        <v>0</v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378-2024-01-31</t>
        </is>
      </c>
    </row>
    <row r="1889" hidden="1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08" t="n">
        <v>45351</v>
      </c>
      <c r="G1889" t="n">
        <v>2024</v>
      </c>
      <c r="H1889" t="inlineStr">
        <is>
          <t>Febrero</t>
        </is>
      </c>
      <c r="I1889" t="inlineStr">
        <is>
          <t>2024-1</t>
        </is>
      </c>
      <c r="J1889" t="n">
        <v>92</v>
      </c>
      <c r="K1889" t="n">
        <v>0</v>
      </c>
      <c r="L1889" s="39">
        <f>IFERROR(IF(OR(J1889=0,K1889=""),"",IF(E1889="Positivo",MIN(MAX(K1889/J1889,0),1.3),MIN(MAX(J1889/K1889,0),1.3))),"") </f>
        <v/>
      </c>
      <c r="M1889" s="39">
        <f>IFERROR(IF(OR(J1889=0,K1889=""),"",IF(E1889="Positivo",MAX(K1889/J1889,0),MAX(J1889/K1889,0))),"") </f>
        <v/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378-2024-02-29</t>
        </is>
      </c>
    </row>
    <row r="1890" hidden="1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08" t="n">
        <v>45382</v>
      </c>
      <c r="G1890" t="n">
        <v>2024</v>
      </c>
      <c r="H1890" t="inlineStr">
        <is>
          <t>Marzo</t>
        </is>
      </c>
      <c r="I1890" t="inlineStr">
        <is>
          <t>2024-1</t>
        </is>
      </c>
      <c r="J1890" t="n">
        <v>92</v>
      </c>
      <c r="K1890" t="n">
        <v>0</v>
      </c>
      <c r="L1890" s="39">
        <f>IFERROR(IF(OR(J1890=0,K1890=""),"",IF(E1890="Positivo",MIN(MAX(K1890/J1890,0),1.3),MIN(MAX(J1890/K1890,0),1.3))),"") </f>
        <v/>
      </c>
      <c r="M1890" s="39">
        <f>IFERROR(IF(OR(J1890=0,K1890=""),"",IF(E1890="Positivo",MAX(K1890/J1890,0),MAX(J1890/K1890,0))),"") </f>
        <v/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378-2024-03-31</t>
        </is>
      </c>
    </row>
    <row r="1891" hidden="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08" t="n">
        <v>45412</v>
      </c>
      <c r="G1891" t="n">
        <v>2024</v>
      </c>
      <c r="H1891" t="inlineStr">
        <is>
          <t>Abril</t>
        </is>
      </c>
      <c r="I1891" t="inlineStr">
        <is>
          <t>2024-1</t>
        </is>
      </c>
      <c r="J1891" t="n">
        <v>92</v>
      </c>
      <c r="K1891" t="n">
        <v>0</v>
      </c>
      <c r="L1891" s="39">
        <f>IFERROR(IF(OR(J1891=0,K1891=""),"",IF(E1891="Positivo",MIN(MAX(K1891/J1891,0),1.3),MIN(MAX(J1891/K1891,0),1.3))),"") </f>
        <v/>
      </c>
      <c r="M1891" s="39">
        <f>IFERROR(IF(OR(J1891=0,K1891=""),"",IF(E1891="Positivo",MAX(K1891/J1891,0),MAX(J1891/K1891,0))),"") </f>
        <v/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378-2024-04-30</t>
        </is>
      </c>
    </row>
    <row r="1892" hidden="1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08" t="n">
        <v>45443</v>
      </c>
      <c r="G1892" t="n">
        <v>2024</v>
      </c>
      <c r="H1892" t="inlineStr">
        <is>
          <t>Mayo</t>
        </is>
      </c>
      <c r="I1892" t="inlineStr">
        <is>
          <t>2024-1</t>
        </is>
      </c>
      <c r="J1892" t="n">
        <v>92</v>
      </c>
      <c r="K1892" t="n">
        <v>98.5</v>
      </c>
      <c r="L1892" s="39">
        <f>IFERROR(IF(OR(J1892=0,K1892=""),"",IF(E1892="Positivo",MIN(MAX(K1892/J1892,0),1.3),MIN(MAX(J1892/K1892,0),1.3))),"") </f>
        <v/>
      </c>
      <c r="M1892" s="39">
        <f>IFERROR(IF(OR(J1892=0,K1892=""),"",IF(E1892="Positivo",MAX(K1892/J1892,0),MAX(J1892/K1892,0))),"") </f>
        <v/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378-2024-05-31</t>
        </is>
      </c>
    </row>
    <row r="1893" hidden="1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08" t="n">
        <v>45473</v>
      </c>
      <c r="G1893" t="n">
        <v>2024</v>
      </c>
      <c r="H1893" t="inlineStr">
        <is>
          <t>Junio</t>
        </is>
      </c>
      <c r="I1893" t="inlineStr">
        <is>
          <t>2024-1</t>
        </is>
      </c>
      <c r="J1893" t="n">
        <v>92</v>
      </c>
      <c r="K1893" t="n">
        <v>98.5</v>
      </c>
      <c r="L1893" s="39">
        <f>IFERROR(IF(OR(J1893=0,K1893=""),"",IF(E1893="Positivo",MIN(MAX(K1893/J1893,0),1.3),MIN(MAX(J1893/K1893,0),1.3))),"") </f>
        <v/>
      </c>
      <c r="M1893" s="39">
        <f>IFERROR(IF(OR(J1893=0,K1893=""),"",IF(E1893="Positivo",MAX(K1893/J1893,0),MAX(J1893/K1893,0))),"") </f>
        <v/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378-2024-06-30</t>
        </is>
      </c>
    </row>
    <row r="1894" hidden="1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08" t="n">
        <v>45504</v>
      </c>
      <c r="G1894" t="n">
        <v>2024</v>
      </c>
      <c r="H1894" t="inlineStr">
        <is>
          <t>Julio</t>
        </is>
      </c>
      <c r="I1894" t="inlineStr">
        <is>
          <t>2024-2</t>
        </is>
      </c>
      <c r="J1894" t="n">
        <v>92</v>
      </c>
      <c r="K1894" t="n">
        <v>0</v>
      </c>
      <c r="L1894" s="39">
        <f>IFERROR(IF(OR(J1894=0,K1894=""),"",IF(E1894="Positivo",MIN(MAX(K1894/J1894,0),1.3),MIN(MAX(J1894/K1894,0),1.3))),"") </f>
        <v/>
      </c>
      <c r="M1894" s="39">
        <f>IFERROR(IF(OR(J1894=0,K1894=""),"",IF(E1894="Positivo",MAX(K1894/J1894,0),MAX(J1894/K1894,0))),"") </f>
        <v/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378-2024-07-31</t>
        </is>
      </c>
    </row>
    <row r="1895" hidden="1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08" t="n">
        <v>45535</v>
      </c>
      <c r="G1895" t="n">
        <v>2024</v>
      </c>
      <c r="H1895" t="inlineStr">
        <is>
          <t>Agosto</t>
        </is>
      </c>
      <c r="I1895" t="inlineStr">
        <is>
          <t>2024-2</t>
        </is>
      </c>
      <c r="J1895" t="n">
        <v>92</v>
      </c>
      <c r="K1895" t="n">
        <v>0</v>
      </c>
      <c r="L1895" s="39">
        <f>IFERROR(IF(OR(J1895=0,K1895=""),"",IF(E1895="Positivo",MIN(MAX(K1895/J1895,0),1.3),MIN(MAX(J1895/K1895,0),1.3))),"") </f>
        <v/>
      </c>
      <c r="M1895" s="39">
        <f>IFERROR(IF(OR(J1895=0,K1895=""),"",IF(E1895="Positivo",MAX(K1895/J1895,0),MAX(J1895/K1895,0))),"") </f>
        <v/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378-2024-08-31</t>
        </is>
      </c>
    </row>
    <row r="1896" hidden="1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08" t="n">
        <v>45565</v>
      </c>
      <c r="G1896" t="n">
        <v>2024</v>
      </c>
      <c r="H1896" t="inlineStr">
        <is>
          <t>Septiembre</t>
        </is>
      </c>
      <c r="I1896" t="inlineStr">
        <is>
          <t>2024-2</t>
        </is>
      </c>
      <c r="J1896" t="n">
        <v>92</v>
      </c>
      <c r="K1896" t="n">
        <v>0</v>
      </c>
      <c r="L1896" s="39">
        <f>IFERROR(IF(OR(J1896=0,K1896=""),"",IF(E1896="Positivo",MIN(MAX(K1896/J1896,0),1.3),MIN(MAX(J1896/K1896,0),1.3))),"") </f>
        <v/>
      </c>
      <c r="M1896" s="39">
        <f>IFERROR(IF(OR(J1896=0,K1896=""),"",IF(E1896="Positivo",MAX(K1896/J1896,0),MAX(J1896/K1896,0))),"") </f>
        <v/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378-2024-09-30</t>
        </is>
      </c>
    </row>
    <row r="1897" hidden="1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08" t="n">
        <v>45596</v>
      </c>
      <c r="G1897" t="n">
        <v>2024</v>
      </c>
      <c r="H1897" t="inlineStr">
        <is>
          <t>Octubre</t>
        </is>
      </c>
      <c r="I1897" t="inlineStr">
        <is>
          <t>2024-2</t>
        </is>
      </c>
      <c r="J1897" t="n">
        <v>92</v>
      </c>
      <c r="K1897" t="n">
        <v>0</v>
      </c>
      <c r="L1897" s="39">
        <f>IFERROR(IF(OR(J1897=0,K1897=""),"",IF(E1897="Positivo",MIN(MAX(K1897/J1897,0),1.3),MIN(MAX(J1897/K1897,0),1.3))),"") </f>
        <v/>
      </c>
      <c r="M1897" s="39">
        <f>IFERROR(IF(OR(J1897=0,K1897=""),"",IF(E1897="Positivo",MAX(K1897/J1897,0),MAX(J1897/K1897,0))),"") </f>
        <v/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378-2024-10-31</t>
        </is>
      </c>
    </row>
    <row r="1898" hidden="1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08" t="n">
        <v>45626</v>
      </c>
      <c r="G1898" t="n">
        <v>2024</v>
      </c>
      <c r="H1898" t="inlineStr">
        <is>
          <t>Noviembre</t>
        </is>
      </c>
      <c r="I1898" t="inlineStr">
        <is>
          <t>2024-2</t>
        </is>
      </c>
      <c r="J1898" t="n">
        <v>92</v>
      </c>
      <c r="K1898" t="n">
        <v>0</v>
      </c>
      <c r="L1898" s="39">
        <f>IFERROR(IF(OR(J1898=0,K1898=""),"",IF(E1898="Positivo",MIN(MAX(K1898/J1898,0),1.3),MIN(MAX(J1898/K1898,0),1.3))),"") </f>
        <v/>
      </c>
      <c r="M1898" s="39">
        <f>IFERROR(IF(OR(J1898=0,K1898=""),"",IF(E1898="Positivo",MAX(K1898/J1898,0),MAX(J1898/K1898,0))),"") </f>
        <v/>
      </c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378-2024-11-30</t>
        </is>
      </c>
    </row>
    <row r="1899" hidden="1">
      <c r="A1899" t="n">
        <v>378</v>
      </c>
      <c r="B1899" t="inlineStr">
        <is>
          <t>Proyectos tecnológicos</t>
        </is>
      </c>
      <c r="C1899" t="inlineStr">
        <is>
          <t>GESTIÓN DE LA TECNOLOGÍA E INNOVACIÓN DIGITAL</t>
        </is>
      </c>
      <c r="D1899" t="inlineStr">
        <is>
          <t>Mensual</t>
        </is>
      </c>
      <c r="E1899" t="inlineStr">
        <is>
          <t>Positivo</t>
        </is>
      </c>
      <c r="F1899" s="108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0</v>
      </c>
      <c r="K1899" t="n">
        <v>0</v>
      </c>
      <c r="L1899" s="39">
        <f>IFERROR(IF(OR(J1899=0,K1899=""),"",IF(E1899="Positivo",MIN(MAX(K1899/J1899,0),1.3),MIN(MAX(J1899/K1899,0),1.3))),"") </f>
        <v/>
      </c>
      <c r="M1899" s="39">
        <f>IFERROR(IF(OR(J1899=0,K1899=""),"",IF(E1899="Positivo",MAX(K1899/J1899,0),MAX(J1899/K1899,0))),"") </f>
        <v/>
      </c>
      <c r="N1899" t="inlineStr">
        <is>
          <t>%</t>
        </is>
      </c>
      <c r="O1899" t="inlineStr">
        <is>
          <t>%</t>
        </is>
      </c>
      <c r="P1899" t="n">
        <v>0</v>
      </c>
      <c r="Q1899" t="n">
        <v>0</v>
      </c>
      <c r="R1899" t="inlineStr">
        <is>
          <t>378-2024-12-31</t>
        </is>
      </c>
    </row>
    <row r="1900" hidden="1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08" t="n">
        <v>45107</v>
      </c>
      <c r="G1900" t="n">
        <v>2023</v>
      </c>
      <c r="H1900" t="inlineStr">
        <is>
          <t>Junio</t>
        </is>
      </c>
      <c r="I1900" t="inlineStr">
        <is>
          <t>2023-1</t>
        </is>
      </c>
      <c r="J1900" t="n">
        <v>100</v>
      </c>
      <c r="K1900" t="n">
        <v>102.72877164056</v>
      </c>
      <c r="L1900" s="39">
        <f>IFERROR(IF(OR(J1900=0,K1900=""),"",IF(E1900="Positivo",MIN(MAX(K1900/J1900,0),1.3),MIN(MAX(J1900/K1900,0),1.3))),"") </f>
        <v/>
      </c>
      <c r="M1900" s="3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379-2023-06-30</t>
        </is>
      </c>
    </row>
    <row r="1901" hidden="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08" t="n">
        <v>45291</v>
      </c>
      <c r="G1901" t="n">
        <v>2023</v>
      </c>
      <c r="H1901" t="inlineStr">
        <is>
          <t>Diciembre</t>
        </is>
      </c>
      <c r="I1901" t="inlineStr">
        <is>
          <t>2023-2</t>
        </is>
      </c>
      <c r="J1901" t="n">
        <v>100</v>
      </c>
      <c r="K1901" t="n">
        <v>108.65</v>
      </c>
      <c r="L1901" s="39">
        <f>IFERROR(IF(OR(J1901=0,K1901=""),"",IF(E1901="Positivo",MIN(MAX(K1901/J1901,0),1.3),MIN(MAX(J1901/K1901,0),1.3))),"") </f>
        <v/>
      </c>
      <c r="M1901" s="3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379-2023-12-31</t>
        </is>
      </c>
    </row>
    <row r="1902" hidden="1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08" t="n">
        <v>45473</v>
      </c>
      <c r="G1902" t="n">
        <v>2024</v>
      </c>
      <c r="H1902" t="inlineStr">
        <is>
          <t>Junio</t>
        </is>
      </c>
      <c r="I1902" t="inlineStr">
        <is>
          <t>2024-1</t>
        </is>
      </c>
      <c r="J1902" t="n">
        <v>100</v>
      </c>
      <c r="K1902" t="n">
        <v>95.92</v>
      </c>
      <c r="L1902" s="39">
        <f>IFERROR(IF(OR(J1902=0,K1902=""),"",IF(E1902="Positivo",MIN(MAX(K1902/J1902,0),1.3),MIN(MAX(J1902/K1902,0),1.3))),"") </f>
        <v/>
      </c>
      <c r="M1902" s="3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379-2024-06-30</t>
        </is>
      </c>
    </row>
    <row r="1903" hidden="1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08" t="n">
        <v>45657</v>
      </c>
      <c r="G1903" t="n">
        <v>2024</v>
      </c>
      <c r="H1903" t="inlineStr">
        <is>
          <t>Diciembre</t>
        </is>
      </c>
      <c r="I1903" t="inlineStr">
        <is>
          <t>2024-2</t>
        </is>
      </c>
      <c r="J1903" t="n">
        <v>100</v>
      </c>
      <c r="K1903" t="n">
        <v>99.31</v>
      </c>
      <c r="L1903" s="39">
        <f>IFERROR(IF(OR(J1903=0,K1903=""),"",IF(E1903="Positivo",MIN(MAX(K1903/J1903,0),1.3),MIN(MAX(J1903/K1903,0),1.3))),"") </f>
        <v/>
      </c>
      <c r="M1903" s="3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379-2024-12-31</t>
        </is>
      </c>
    </row>
    <row r="1904" hidden="1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08" t="n">
        <v>45838</v>
      </c>
      <c r="G1904" t="n">
        <v>2025</v>
      </c>
      <c r="H1904" t="inlineStr">
        <is>
          <t>Junio</t>
        </is>
      </c>
      <c r="I1904" t="inlineStr">
        <is>
          <t>2025-1</t>
        </is>
      </c>
      <c r="J1904" t="n">
        <v>100</v>
      </c>
      <c r="K1904" t="n">
        <v>104.11</v>
      </c>
      <c r="L1904" s="39">
        <f>IFERROR(IF(OR(J1904=0,K1904=""),"",IF(E1904="Positivo",MIN(MAX(K1904/J1904,0),1.3),MIN(MAX(J1904/K1904,0),1.3))),"") </f>
        <v/>
      </c>
      <c r="M1904" s="3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379-2025-06-30</t>
        </is>
      </c>
    </row>
    <row r="1905" hidden="1">
      <c r="A1905" t="n">
        <v>379</v>
      </c>
      <c r="B1905" t="inlineStr">
        <is>
          <t>Total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08" t="n">
        <v>46022</v>
      </c>
      <c r="G1905" t="n">
        <v>2025</v>
      </c>
      <c r="H1905" t="inlineStr">
        <is>
          <t>Diciembre</t>
        </is>
      </c>
      <c r="I1905" t="inlineStr">
        <is>
          <t>2025-2</t>
        </is>
      </c>
      <c r="J1905" t="n">
        <v>100</v>
      </c>
      <c r="K1905" t="n">
        <v>102.41</v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379-2025-12-31</t>
        </is>
      </c>
    </row>
    <row r="1906" hidden="1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08" t="n">
        <v>45107</v>
      </c>
      <c r="G1906" t="n">
        <v>2023</v>
      </c>
      <c r="H1906" t="inlineStr">
        <is>
          <t>Junio</t>
        </is>
      </c>
      <c r="I1906" t="inlineStr">
        <is>
          <t>2023-1</t>
        </is>
      </c>
      <c r="J1906">
        <f>24659314309/1000000</f>
        <v/>
      </c>
      <c r="K1906">
        <f>25754085546/1000000</f>
        <v/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380-2023-06-30</t>
        </is>
      </c>
    </row>
    <row r="1907" hidden="1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08" t="n">
        <v>45291</v>
      </c>
      <c r="G1907" t="n">
        <v>2023</v>
      </c>
      <c r="H1907" t="inlineStr">
        <is>
          <t>Diciembre</t>
        </is>
      </c>
      <c r="I1907" t="inlineStr">
        <is>
          <t>2023-2</t>
        </is>
      </c>
      <c r="J1907">
        <f>24724802794/1000000</f>
        <v/>
      </c>
      <c r="K1907">
        <f>25340546506/1000000</f>
        <v/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380-2023-12-31</t>
        </is>
      </c>
    </row>
    <row r="1908" hidden="1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08" t="n">
        <v>45473</v>
      </c>
      <c r="G1908" t="n">
        <v>2024</v>
      </c>
      <c r="H1908" t="inlineStr">
        <is>
          <t>Junio</t>
        </is>
      </c>
      <c r="I1908" t="inlineStr">
        <is>
          <t>2024-1</t>
        </is>
      </c>
      <c r="J1908">
        <f>29596269870/1000000</f>
        <v/>
      </c>
      <c r="K1908">
        <f>28449632913/1000000</f>
        <v/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380-2024-06-30</t>
        </is>
      </c>
    </row>
    <row r="1909" hidden="1">
      <c r="A1909" t="n">
        <v>380</v>
      </c>
      <c r="B1909" t="inlineStr">
        <is>
          <t>Ingresos de matriculas de estudiantes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08" t="n">
        <v>45657</v>
      </c>
      <c r="G1909" t="n">
        <v>2024</v>
      </c>
      <c r="H1909" t="inlineStr">
        <is>
          <t>Diciembre</t>
        </is>
      </c>
      <c r="I1909" t="inlineStr">
        <is>
          <t>2024-2</t>
        </is>
      </c>
      <c r="J1909" t="n">
        <v>100</v>
      </c>
      <c r="K1909" t="n">
        <v>78.92</v>
      </c>
      <c r="L1909" s="39">
        <f>IFERROR(IF(OR(J1909=0,K1909=""),"",IF(E1909="Positivo",MIN(MAX(K1909/J1909,0),1.3),MIN(MAX(J1909/K1909,0),1.3))),"") </f>
        <v/>
      </c>
      <c r="M1909" s="39">
        <f>IFERROR(IF(OR(J1909=0,K1909=""),"",IF(E1909="Positivo",MAX(K1909/J1909,0),MAX(J1909/K1909,0))),"") </f>
        <v/>
      </c>
      <c r="N1909" t="inlineStr">
        <is>
          <t>$</t>
        </is>
      </c>
      <c r="O1909" t="inlineStr">
        <is>
          <t>$</t>
        </is>
      </c>
      <c r="P1909" t="n">
        <v>0</v>
      </c>
      <c r="Q1909" t="n">
        <v>0</v>
      </c>
      <c r="R1909" t="inlineStr">
        <is>
          <t>380-2024-12-31</t>
        </is>
      </c>
    </row>
    <row r="1910" hidden="1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08" t="n">
        <v>45107</v>
      </c>
      <c r="G1910" t="n">
        <v>2023</v>
      </c>
      <c r="H1910" t="inlineStr">
        <is>
          <t>Junio</t>
        </is>
      </c>
      <c r="I1910" t="inlineStr">
        <is>
          <t>2023-1</t>
        </is>
      </c>
      <c r="J1910" t="n">
        <v>100</v>
      </c>
      <c r="K1910" t="n">
        <v>104.27170868347</v>
      </c>
      <c r="L1910" s="39">
        <f>IFERROR(IF(OR(J1910=0,K1910=""),"",IF(E1910="Positivo",MIN(MAX(K1910/J1910,0),1.3),MIN(MAX(J1910/K1910,0),1.3))),"") </f>
        <v/>
      </c>
      <c r="M1910" s="3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381-2023-06-30</t>
        </is>
      </c>
    </row>
    <row r="1911" hidden="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08" t="n">
        <v>45291</v>
      </c>
      <c r="G1911" t="n">
        <v>2023</v>
      </c>
      <c r="H1911" t="inlineStr">
        <is>
          <t>Diciembre</t>
        </is>
      </c>
      <c r="I1911" t="inlineStr">
        <is>
          <t>2023-2</t>
        </is>
      </c>
      <c r="J1911" t="n">
        <v>100</v>
      </c>
      <c r="K1911" t="n">
        <v>113.7</v>
      </c>
      <c r="L1911" s="39">
        <f>IFERROR(IF(OR(J1911=0,K1911=""),"",IF(E1911="Positivo",MIN(MAX(K1911/J1911,0),1.3),MIN(MAX(J1911/K1911,0),1.3))),"") </f>
        <v/>
      </c>
      <c r="M1911" s="3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381-2023-12-31</t>
        </is>
      </c>
    </row>
    <row r="1912" hidden="1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08" t="n">
        <v>45473</v>
      </c>
      <c r="G1912" t="n">
        <v>2024</v>
      </c>
      <c r="H1912" t="inlineStr">
        <is>
          <t>Junio</t>
        </is>
      </c>
      <c r="I1912" t="inlineStr">
        <is>
          <t>2024-1</t>
        </is>
      </c>
      <c r="J1912" t="n">
        <v>100</v>
      </c>
      <c r="K1912" t="n">
        <v>105.26</v>
      </c>
      <c r="L1912" s="39">
        <f>IFERROR(IF(OR(J1912=0,K1912=""),"",IF(E1912="Positivo",MIN(MAX(K1912/J1912,0),1.3),MIN(MAX(J1912/K1912,0),1.3))),"") </f>
        <v/>
      </c>
      <c r="M1912" s="3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381-2024-06-30</t>
        </is>
      </c>
    </row>
    <row r="1913" hidden="1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08" t="n">
        <v>45657</v>
      </c>
      <c r="G1913" t="n">
        <v>2024</v>
      </c>
      <c r="H1913" t="inlineStr">
        <is>
          <t>Diciembre</t>
        </is>
      </c>
      <c r="I1913" t="inlineStr">
        <is>
          <t>2024-2</t>
        </is>
      </c>
      <c r="J1913" t="n">
        <v>100</v>
      </c>
      <c r="K1913" t="n">
        <v>89.19</v>
      </c>
      <c r="L1913" s="39">
        <f>IFERROR(IF(OR(J1913=0,K1913=""),"",IF(E1913="Positivo",MIN(MAX(K1913/J1913,0),1.3),MIN(MAX(J1913/K1913,0),1.3))),"") </f>
        <v/>
      </c>
      <c r="M1913" s="3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381-2024-12-31</t>
        </is>
      </c>
    </row>
    <row r="1914" hidden="1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108" t="n">
        <v>45838</v>
      </c>
      <c r="G1914" t="n">
        <v>2025</v>
      </c>
      <c r="H1914" t="inlineStr">
        <is>
          <t>Junio</t>
        </is>
      </c>
      <c r="I1914" t="inlineStr">
        <is>
          <t>2025-1</t>
        </is>
      </c>
      <c r="J1914" t="n">
        <v>100</v>
      </c>
      <c r="K1914" t="n">
        <v>98.22</v>
      </c>
      <c r="L1914" s="39">
        <f>IFERROR(IF(OR(J1914=0,K1914=""),"",IF(E1914="Positivo",MIN(MAX(K1914/J1914,0),1.3),MIN(MAX(J1914/K1914,0),1.3))),"") </f>
        <v/>
      </c>
      <c r="M1914" s="39">
        <f>IFERROR(IF(OR(J1914=0,K1914=""),"",IF(E1914="Positivo",MAX(K1914/J1914,0),MAX(J1914/K1914,0))),"") </f>
        <v/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381-2025-06-30</t>
        </is>
      </c>
    </row>
    <row r="1915" hidden="1">
      <c r="A1915" t="n">
        <v>381</v>
      </c>
      <c r="B1915" t="inlineStr">
        <is>
          <t>Cumplimiento de matrículas pregrado presencial nuevos</t>
        </is>
      </c>
      <c r="C1915" t="inlineStr">
        <is>
          <t>Inscripción, admisión y matrícula de estudiantes nuevos</t>
        </is>
      </c>
      <c r="D1915" t="inlineStr">
        <is>
          <t>Trimestral</t>
        </is>
      </c>
      <c r="E1915" t="inlineStr">
        <is>
          <t>Positivo</t>
        </is>
      </c>
      <c r="F1915" s="108" t="n">
        <v>46022</v>
      </c>
      <c r="G1915" t="n">
        <v>2025</v>
      </c>
      <c r="H1915" t="inlineStr">
        <is>
          <t>Diciembre</t>
        </is>
      </c>
      <c r="I1915" t="inlineStr">
        <is>
          <t>2025-2</t>
        </is>
      </c>
      <c r="J1915" t="n">
        <v>100</v>
      </c>
      <c r="K1915" t="n">
        <v>113.66</v>
      </c>
      <c r="L1915" s="39">
        <f>IFERROR(IF(OR(J1915=0,K1915=""),"",IF(E1915="Positivo",MIN(MAX(K1915/J1915,0),1.3),MIN(MAX(J1915/K1915,0),1.3))),"") </f>
        <v/>
      </c>
      <c r="M1915" s="39">
        <f>IFERROR(IF(OR(J1915=0,K1915=""),"",IF(E1915="Positivo",MAX(K1915/J1915,0),MAX(J1915/K1915,0))),"") </f>
        <v/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381-2025-12-31</t>
        </is>
      </c>
    </row>
    <row r="1916" hidden="1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08" t="n">
        <v>45107</v>
      </c>
      <c r="G1916" t="n">
        <v>2023</v>
      </c>
      <c r="H1916" t="inlineStr">
        <is>
          <t>Junio</t>
        </is>
      </c>
      <c r="I1916" t="inlineStr">
        <is>
          <t>2023-1</t>
        </is>
      </c>
      <c r="J1916" t="n">
        <v>100</v>
      </c>
      <c r="K1916" t="n">
        <v>101.25041131951</v>
      </c>
      <c r="L1916" s="39">
        <f>IFERROR(IF(OR(J1916=0,K1916=""),"",IF(E1916="Positivo",MIN(MAX(K1916/J1916,0),1.3),MIN(MAX(J1916/K1916,0),1.3))),"") </f>
        <v/>
      </c>
      <c r="M1916" s="39">
        <f>IFERROR(IF(OR(J1916=0,K1916=""),"",IF(E1916="Positivo",MAX(K1916/J1916,0),MAX(J1916/K1916,0))),"") </f>
        <v/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382-2023-06-30</t>
        </is>
      </c>
    </row>
    <row r="1917" hidden="1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08" t="n">
        <v>45291</v>
      </c>
      <c r="G1917" t="n">
        <v>2023</v>
      </c>
      <c r="H1917" t="inlineStr">
        <is>
          <t>Diciembre</t>
        </is>
      </c>
      <c r="I1917" t="inlineStr">
        <is>
          <t>2023-2</t>
        </is>
      </c>
      <c r="J1917" t="n">
        <v>100</v>
      </c>
      <c r="K1917" t="n">
        <v>103.01</v>
      </c>
      <c r="L1917" s="39">
        <f>IFERROR(IF(OR(J1917=0,K1917=""),"",IF(E1917="Positivo",MIN(MAX(K1917/J1917,0),1.3),MIN(MAX(J1917/K1917,0),1.3))),"") </f>
        <v/>
      </c>
      <c r="M1917" s="39">
        <f>IFERROR(IF(OR(J1917=0,K1917=""),"",IF(E1917="Positivo",MAX(K1917/J1917,0),MAX(J1917/K1917,0))),"") </f>
        <v/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382-2023-12-31</t>
        </is>
      </c>
    </row>
    <row r="1918" hidden="1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08" t="n">
        <v>45473</v>
      </c>
      <c r="G1918" t="n">
        <v>2024</v>
      </c>
      <c r="H1918" t="inlineStr">
        <is>
          <t>Junio</t>
        </is>
      </c>
      <c r="I1918" t="inlineStr">
        <is>
          <t>2024-1</t>
        </is>
      </c>
      <c r="J1918" t="n">
        <v>100</v>
      </c>
      <c r="K1918" t="n">
        <v>93.7</v>
      </c>
      <c r="L1918" s="39">
        <f>IFERROR(IF(OR(J1918=0,K1918=""),"",IF(E1918="Positivo",MIN(MAX(K1918/J1918,0),1.3),MIN(MAX(J1918/K1918,0),1.3))),"") </f>
        <v/>
      </c>
      <c r="M1918" s="39">
        <f>IFERROR(IF(OR(J1918=0,K1918=""),"",IF(E1918="Positivo",MAX(K1918/J1918,0),MAX(J1918/K1918,0))),"") </f>
        <v/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382-2024-06-30</t>
        </is>
      </c>
    </row>
    <row r="1919" hidden="1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08" t="n">
        <v>45657</v>
      </c>
      <c r="G1919" t="n">
        <v>2024</v>
      </c>
      <c r="H1919" t="inlineStr">
        <is>
          <t>Diciembre</t>
        </is>
      </c>
      <c r="I1919" t="inlineStr">
        <is>
          <t>2024-2</t>
        </is>
      </c>
      <c r="J1919" t="n">
        <v>100</v>
      </c>
      <c r="K1919" t="n">
        <v>98.13</v>
      </c>
      <c r="L1919" s="39">
        <f>IFERROR(IF(OR(J1919=0,K1919=""),"",IF(E1919="Positivo",MIN(MAX(K1919/J1919,0),1.3),MIN(MAX(J1919/K1919,0),1.3))),"") </f>
        <v/>
      </c>
      <c r="M1919" s="39">
        <f>IFERROR(IF(OR(J1919=0,K1919=""),"",IF(E1919="Positivo",MAX(K1919/J1919,0),MAX(J1919/K1919,0))),"") </f>
        <v/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382-2024-12-31</t>
        </is>
      </c>
    </row>
    <row r="1920" hidden="1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108" t="n">
        <v>45838</v>
      </c>
      <c r="G1920" t="n">
        <v>2025</v>
      </c>
      <c r="H1920" t="inlineStr">
        <is>
          <t>Junio</t>
        </is>
      </c>
      <c r="I1920" t="inlineStr">
        <is>
          <t>2025-1</t>
        </is>
      </c>
      <c r="J1920" t="n">
        <v>100</v>
      </c>
      <c r="K1920" t="n">
        <v>99.84999999999999</v>
      </c>
      <c r="L1920" s="39">
        <f>IFERROR(IF(OR(J1920=0,K1920=""),"",IF(E1920="Positivo",MIN(MAX(K1920/J1920,0),1.3),MIN(MAX(J1920/K1920,0),1.3))),"") </f>
        <v/>
      </c>
      <c r="M1920" s="39">
        <f>IFERROR(IF(OR(J1920=0,K1920=""),"",IF(E1920="Positivo",MAX(K1920/J1920,0),MAX(J1920/K1920,0))),"") </f>
        <v/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382-2025-06-30</t>
        </is>
      </c>
    </row>
    <row r="1921" hidden="1">
      <c r="A1921" t="n">
        <v>382</v>
      </c>
      <c r="B1921" t="inlineStr">
        <is>
          <t>Cumplimiento de matrículas pregrado virtual nuevos</t>
        </is>
      </c>
      <c r="C1921" t="inlineStr">
        <is>
          <t>Inscripción, admisión y matrícula de estudiantes nuevos</t>
        </is>
      </c>
      <c r="D1921" t="inlineStr">
        <is>
          <t>Trimestral</t>
        </is>
      </c>
      <c r="E1921" t="inlineStr">
        <is>
          <t>Positivo</t>
        </is>
      </c>
      <c r="F1921" s="108" t="n">
        <v>46022</v>
      </c>
      <c r="G1921" t="n">
        <v>2025</v>
      </c>
      <c r="H1921" t="inlineStr">
        <is>
          <t>Diciembre</t>
        </is>
      </c>
      <c r="I1921" t="inlineStr">
        <is>
          <t>2025-2</t>
        </is>
      </c>
      <c r="J1921" t="n">
        <v>100</v>
      </c>
      <c r="K1921" t="n">
        <v>97.20999999999999</v>
      </c>
      <c r="L1921" s="39">
        <f>IFERROR(IF(OR(J1921=0,K1921=""),"",IF(E1921="Positivo",MIN(MAX(K1921/J1921,0),1.3),MIN(MAX(J1921/K1921,0),1.3))),"") </f>
        <v/>
      </c>
      <c r="M1921" s="39">
        <f>IFERROR(IF(OR(J1921=0,K1921=""),"",IF(E1921="Positivo",MAX(K1921/J1921,0),MAX(J1921/K1921,0))),"") </f>
        <v/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382-2025-12-31</t>
        </is>
      </c>
    </row>
    <row r="1922" hidden="1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08" t="n">
        <v>45107</v>
      </c>
      <c r="G1922" t="n">
        <v>2023</v>
      </c>
      <c r="H1922" t="inlineStr">
        <is>
          <t>Junio</t>
        </is>
      </c>
      <c r="I1922" t="inlineStr">
        <is>
          <t>2023-1</t>
        </is>
      </c>
      <c r="J1922" t="n">
        <v>100</v>
      </c>
      <c r="K1922" t="n">
        <v>109.38232994527</v>
      </c>
      <c r="L1922" s="39">
        <f>IFERROR(IF(OR(J1922=0,K1922=""),"",IF(E1922="Positivo",MIN(MAX(K1922/J1922,0),1.3),MIN(MAX(J1922/K1922,0),1.3))),"") </f>
        <v/>
      </c>
      <c r="M1922" s="39">
        <f>IFERROR(IF(OR(J1922=0,K1922=""),"",IF(E1922="Positivo",MAX(K1922/J1922,0),MAX(J1922/K1922,0))),"") </f>
        <v/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383-2023-06-30</t>
        </is>
      </c>
    </row>
    <row r="1923" hidden="1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08" t="n">
        <v>45291</v>
      </c>
      <c r="G1923" t="n">
        <v>2023</v>
      </c>
      <c r="H1923" t="inlineStr">
        <is>
          <t>Diciembre</t>
        </is>
      </c>
      <c r="I1923" t="inlineStr">
        <is>
          <t>2023-2</t>
        </is>
      </c>
      <c r="J1923" t="n">
        <v>100</v>
      </c>
      <c r="K1923" t="n">
        <v>148.66</v>
      </c>
      <c r="L1923" s="39">
        <f>IFERROR(IF(OR(J1923=0,K1923=""),"",IF(E1923="Positivo",MIN(MAX(K1923/J1923,0),1.3),MIN(MAX(J1923/K1923,0),1.3))),"") </f>
        <v/>
      </c>
      <c r="M1923" s="39">
        <f>IFERROR(IF(OR(J1923=0,K1923=""),"",IF(E1923="Positivo",MAX(K1923/J1923,0),MAX(J1923/K1923,0))),"") </f>
        <v/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383-2023-12-31</t>
        </is>
      </c>
    </row>
    <row r="1924" hidden="1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08" t="n">
        <v>45473</v>
      </c>
      <c r="G1924" t="n">
        <v>2024</v>
      </c>
      <c r="H1924" t="inlineStr">
        <is>
          <t>Junio</t>
        </is>
      </c>
      <c r="I1924" t="inlineStr">
        <is>
          <t>2024-1</t>
        </is>
      </c>
      <c r="J1924" t="n">
        <v>100</v>
      </c>
      <c r="K1924" t="n">
        <v>100.2</v>
      </c>
      <c r="L1924" s="39">
        <f>IFERROR(IF(OR(J1924=0,K1924=""),"",IF(E1924="Positivo",MIN(MAX(K1924/J1924,0),1.3),MIN(MAX(J1924/K1924,0),1.3))),"") </f>
        <v/>
      </c>
      <c r="M1924" s="39">
        <f>IFERROR(IF(OR(J1924=0,K1924=""),"",IF(E1924="Positivo",MAX(K1924/J1924,0),MAX(J1924/K1924,0))),"") </f>
        <v/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383-2024-06-30</t>
        </is>
      </c>
    </row>
    <row r="1925" hidden="1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08" t="n">
        <v>45657</v>
      </c>
      <c r="G1925" t="n">
        <v>2024</v>
      </c>
      <c r="H1925" t="inlineStr">
        <is>
          <t>Diciembre</t>
        </is>
      </c>
      <c r="I1925" t="inlineStr">
        <is>
          <t>2024-2</t>
        </is>
      </c>
      <c r="J1925" t="n">
        <v>100</v>
      </c>
      <c r="K1925" t="n">
        <v>120.71</v>
      </c>
      <c r="L1925" s="39">
        <f>IFERROR(IF(OR(J1925=0,K1925=""),"",IF(E1925="Positivo",MIN(MAX(K1925/J1925,0),1.3),MIN(MAX(J1925/K1925,0),1.3))),"") </f>
        <v/>
      </c>
      <c r="M1925" s="39">
        <f>IFERROR(IF(OR(J1925=0,K1925=""),"",IF(E1925="Positivo",MAX(K1925/J1925,0),MAX(J1925/K1925,0))),"") </f>
        <v/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383-2024-12-31</t>
        </is>
      </c>
    </row>
    <row r="1926" hidden="1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108" t="n">
        <v>45838</v>
      </c>
      <c r="G1926" t="n">
        <v>2025</v>
      </c>
      <c r="H1926" t="inlineStr">
        <is>
          <t>Junio</t>
        </is>
      </c>
      <c r="I1926" t="inlineStr">
        <is>
          <t>2025-1</t>
        </is>
      </c>
      <c r="J1926" t="n">
        <v>100</v>
      </c>
      <c r="K1926" t="n">
        <v>136.96</v>
      </c>
      <c r="L1926" s="39">
        <f>IFERROR(IF(OR(J1926=0,K1926=""),"",IF(E1926="Positivo",MIN(MAX(K1926/J1926,0),1.3),MIN(MAX(J1926/K1926,0),1.3))),"") </f>
        <v/>
      </c>
      <c r="M1926" s="39">
        <f>IFERROR(IF(OR(J1926=0,K1926=""),"",IF(E1926="Positivo",MAX(K1926/J1926,0),MAX(J1926/K1926,0))),"") </f>
        <v/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383-2025-06-30</t>
        </is>
      </c>
    </row>
    <row r="1927" hidden="1">
      <c r="A1927" t="n">
        <v>383</v>
      </c>
      <c r="B1927" t="inlineStr">
        <is>
          <t>Cumplimiento de matrículas posgrado virtual nuevos</t>
        </is>
      </c>
      <c r="C1927" t="inlineStr">
        <is>
          <t>Inscripción, admisión y matrícula de estudiantes nuevos</t>
        </is>
      </c>
      <c r="D1927" t="inlineStr">
        <is>
          <t>Trimestral</t>
        </is>
      </c>
      <c r="E1927" t="inlineStr">
        <is>
          <t>Positivo</t>
        </is>
      </c>
      <c r="F1927" s="108" t="n">
        <v>46022</v>
      </c>
      <c r="G1927" t="n">
        <v>2025</v>
      </c>
      <c r="H1927" t="inlineStr">
        <is>
          <t>Diciembre</t>
        </is>
      </c>
      <c r="I1927" t="inlineStr">
        <is>
          <t>2025-2</t>
        </is>
      </c>
      <c r="J1927" t="n">
        <v>100</v>
      </c>
      <c r="K1927" t="n">
        <v>127.87</v>
      </c>
      <c r="L1927" s="39">
        <f>IFERROR(IF(OR(J1927=0,K1927=""),"",IF(E1927="Positivo",MIN(MAX(K1927/J1927,0),1.3),MIN(MAX(J1927/K1927,0),1.3))),"") </f>
        <v/>
      </c>
      <c r="M1927" s="39">
        <f>IFERROR(IF(OR(J1927=0,K1927=""),"",IF(E1927="Positivo",MAX(K1927/J1927,0),MAX(J1927/K1927,0))),"") </f>
        <v/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383-2025-12-31</t>
        </is>
      </c>
    </row>
    <row r="1928" hidden="1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08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100</v>
      </c>
      <c r="K1928" t="n">
        <v>111.76470588235</v>
      </c>
      <c r="L1928" s="39">
        <f>IFERROR(IF(OR(J1928=0,K1928=""),"",IF(E1928="Positivo",MIN(MAX(K1928/J1928,0),1.3),MIN(MAX(J1928/K1928,0),1.3))),"") </f>
        <v/>
      </c>
      <c r="M1928" s="39">
        <f>IFERROR(IF(OR(J1928=0,K1928=""),"",IF(E1928="Positivo",MAX(K1928/J1928,0),MAX(J1928/K1928,0))),"") </f>
        <v/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384-2023-06-30</t>
        </is>
      </c>
    </row>
    <row r="1929" hidden="1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08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100</v>
      </c>
      <c r="K1929" t="n">
        <v>115.38</v>
      </c>
      <c r="L1929" s="39">
        <f>IFERROR(IF(OR(J1929=0,K1929=""),"",IF(E1929="Positivo",MIN(MAX(K1929/J1929,0),1.3),MIN(MAX(J1929/K1929,0),1.3))),"") </f>
        <v/>
      </c>
      <c r="M1929" s="39">
        <f>IFERROR(IF(OR(J1929=0,K1929=""),"",IF(E1929="Positivo",MAX(K1929/J1929,0),MAX(J1929/K1929,0))),"") </f>
        <v/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384-2023-12-31</t>
        </is>
      </c>
    </row>
    <row r="1930" hidden="1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08" t="n">
        <v>45473</v>
      </c>
      <c r="G1930" t="n">
        <v>2024</v>
      </c>
      <c r="H1930" t="inlineStr">
        <is>
          <t>Junio</t>
        </is>
      </c>
      <c r="I1930" t="inlineStr">
        <is>
          <t>2024-1</t>
        </is>
      </c>
      <c r="J1930" t="n">
        <v>100</v>
      </c>
      <c r="K1930" t="n">
        <v>102.2</v>
      </c>
      <c r="L1930" s="39">
        <f>IFERROR(IF(OR(J1930=0,K1930=""),"",IF(E1930="Positivo",MIN(MAX(K1930/J1930,0),1.3),MIN(MAX(J1930/K1930,0),1.3))),"") </f>
        <v/>
      </c>
      <c r="M1930" s="39">
        <f>IFERROR(IF(OR(J1930=0,K1930=""),"",IF(E1930="Positivo",MAX(K1930/J1930,0),MAX(J1930/K1930,0))),"") </f>
        <v/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384-2024-06-30</t>
        </is>
      </c>
    </row>
    <row r="1931" hidden="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08" t="n">
        <v>45657</v>
      </c>
      <c r="G1931" t="n">
        <v>2024</v>
      </c>
      <c r="H1931" t="inlineStr">
        <is>
          <t>Diciembre</t>
        </is>
      </c>
      <c r="I1931" t="inlineStr">
        <is>
          <t>2024-2</t>
        </is>
      </c>
      <c r="J1931" t="n">
        <v>100</v>
      </c>
      <c r="K1931" t="n">
        <v>87.90000000000001</v>
      </c>
      <c r="L1931" s="39">
        <f>IFERROR(IF(OR(J1931=0,K1931=""),"",IF(E1931="Positivo",MIN(MAX(K1931/J1931,0),1.3),MIN(MAX(J1931/K1931,0),1.3))),"") </f>
        <v/>
      </c>
      <c r="M1931" s="39">
        <f>IFERROR(IF(OR(J1931=0,K1931=""),"",IF(E1931="Positivo",MAX(K1931/J1931,0),MAX(J1931/K1931,0))),"") </f>
        <v/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384-2024-12-31</t>
        </is>
      </c>
    </row>
    <row r="1932" hidden="1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Semestral</t>
        </is>
      </c>
      <c r="E1932" t="inlineStr">
        <is>
          <t>Positivo</t>
        </is>
      </c>
      <c r="F1932" s="108" t="n">
        <v>45838</v>
      </c>
      <c r="G1932" t="n">
        <v>2025</v>
      </c>
      <c r="H1932" t="inlineStr">
        <is>
          <t>Junio</t>
        </is>
      </c>
      <c r="I1932" t="inlineStr">
        <is>
          <t>2025-1</t>
        </is>
      </c>
      <c r="J1932" t="n">
        <v>100</v>
      </c>
      <c r="K1932" t="n">
        <v>103.23</v>
      </c>
      <c r="L1932" s="39">
        <f>IFERROR(IF(OR(J1932=0,K1932=""),"",IF(E1932="Positivo",MIN(MAX(K1932/J1932,0),1.3),MIN(MAX(J1932/K1932,0),1.3))),"") </f>
        <v/>
      </c>
      <c r="M1932" s="39">
        <f>IFERROR(IF(OR(J1932=0,K1932=""),"",IF(E1932="Positivo",MAX(K1932/J1932,0),MAX(J1932/K1932,0))),"") </f>
        <v/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384-2025-06-30</t>
        </is>
      </c>
    </row>
    <row r="1933" hidden="1">
      <c r="A1933" t="n">
        <v>384</v>
      </c>
      <c r="B1933" t="inlineStr">
        <is>
          <t>Cumplimiento de matrículas posgrado presencial nuevos</t>
        </is>
      </c>
      <c r="C1933" t="inlineStr">
        <is>
          <t>Inscripción, admisión y matrícula de estudiantes nuevos</t>
        </is>
      </c>
      <c r="D1933" t="inlineStr">
        <is>
          <t>Trimestral</t>
        </is>
      </c>
      <c r="E1933" t="inlineStr">
        <is>
          <t>Positivo</t>
        </is>
      </c>
      <c r="F1933" s="108" t="n">
        <v>46022</v>
      </c>
      <c r="G1933" t="n">
        <v>2025</v>
      </c>
      <c r="H1933" t="inlineStr">
        <is>
          <t>Diciembre</t>
        </is>
      </c>
      <c r="I1933" t="inlineStr">
        <is>
          <t>2025-2</t>
        </is>
      </c>
      <c r="J1933" t="n">
        <v>100</v>
      </c>
      <c r="K1933" t="n">
        <v>100.93</v>
      </c>
      <c r="L1933" s="39">
        <f>IFERROR(IF(OR(J1933=0,K1933=""),"",IF(E1933="Positivo",MIN(MAX(K1933/J1933,0),1.3),MIN(MAX(J1933/K1933,0),1.3))),"") </f>
        <v/>
      </c>
      <c r="M1933" s="39">
        <f>IFERROR(IF(OR(J1933=0,K1933=""),"",IF(E1933="Positivo",MAX(K1933/J1933,0),MAX(J1933/K1933,0))),"") </f>
        <v/>
      </c>
      <c r="N1933" t="inlineStr">
        <is>
          <t>ENT</t>
        </is>
      </c>
      <c r="O1933" t="inlineStr">
        <is>
          <t>ENT</t>
        </is>
      </c>
      <c r="P1933" t="n">
        <v>0</v>
      </c>
      <c r="Q1933" t="n">
        <v>0</v>
      </c>
      <c r="R1933" t="inlineStr">
        <is>
          <t>384-2025-12-31</t>
        </is>
      </c>
    </row>
    <row r="1934" hidden="1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08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102.98486566654</v>
      </c>
      <c r="L1934" s="39">
        <f>IFERROR(IF(OR(J1934=0,K1934=""),"",IF(E1934="Positivo",MIN(MAX(K1934/J1934,0),1.3),MIN(MAX(J1934/K1934,0),1.3))),"") </f>
        <v/>
      </c>
      <c r="M1934" s="39">
        <f>IFERROR(IF(OR(J1934=0,K1934=""),"",IF(E1934="Positivo",MAX(K1934/J1934,0),MAX(J1934/K1934,0))),"") </f>
        <v/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385-2023-06-30</t>
        </is>
      </c>
    </row>
    <row r="1935" hidden="1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08" t="n">
        <v>45291</v>
      </c>
      <c r="G1935" t="n">
        <v>2023</v>
      </c>
      <c r="H1935" t="inlineStr">
        <is>
          <t>Diciembre</t>
        </is>
      </c>
      <c r="I1935" t="inlineStr">
        <is>
          <t>2023-2</t>
        </is>
      </c>
      <c r="J1935" t="n">
        <v>100</v>
      </c>
      <c r="K1935" t="n">
        <v>124.93</v>
      </c>
      <c r="L1935" s="39">
        <f>IFERROR(IF(OR(J1935=0,K1935=""),"",IF(E1935="Positivo",MIN(MAX(K1935/J1935,0),1.3),MIN(MAX(J1935/K1935,0),1.3))),"") </f>
        <v/>
      </c>
      <c r="M1935" s="39">
        <f>IFERROR(IF(OR(J1935=0,K1935=""),"",IF(E1935="Positivo",MAX(K1935/J1935,0),MAX(J1935/K1935,0))),"") </f>
        <v/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385-2023-12-31</t>
        </is>
      </c>
    </row>
    <row r="1936" hidden="1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08" t="n">
        <v>45473</v>
      </c>
      <c r="G1936" t="n">
        <v>2024</v>
      </c>
      <c r="H1936" t="inlineStr">
        <is>
          <t>Junio</t>
        </is>
      </c>
      <c r="I1936" t="inlineStr">
        <is>
          <t>2024-1</t>
        </is>
      </c>
      <c r="J1936" t="n">
        <v>100</v>
      </c>
      <c r="K1936" t="n">
        <v>113.63</v>
      </c>
      <c r="L1936" s="39">
        <f>IFERROR(IF(OR(J1936=0,K1936=""),"",IF(E1936="Positivo",MIN(MAX(K1936/J1936,0),1.3),MIN(MAX(J1936/K1936,0),1.3))),"") </f>
        <v/>
      </c>
      <c r="M1936" s="39">
        <f>IFERROR(IF(OR(J1936=0,K1936=""),"",IF(E1936="Positivo",MAX(K1936/J1936,0),MAX(J1936/K1936,0))),"") </f>
        <v/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385-2024-06-30</t>
        </is>
      </c>
    </row>
    <row r="1937" hidden="1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08" t="n">
        <v>45657</v>
      </c>
      <c r="G1937" t="n">
        <v>2024</v>
      </c>
      <c r="H1937" t="inlineStr">
        <is>
          <t>Diciembre</t>
        </is>
      </c>
      <c r="I1937" t="inlineStr">
        <is>
          <t>2024-2</t>
        </is>
      </c>
      <c r="J1937" t="n">
        <v>100</v>
      </c>
      <c r="K1937" t="n">
        <v>88.56</v>
      </c>
      <c r="L1937" s="39">
        <f>IFERROR(IF(OR(J1937=0,K1937=""),"",IF(E1937="Positivo",MIN(MAX(K1937/J1937,0),1.3),MIN(MAX(J1937/K1937,0),1.3))),"") </f>
        <v/>
      </c>
      <c r="M1937" s="39">
        <f>IFERROR(IF(OR(J1937=0,K1937=""),"",IF(E1937="Positivo",MAX(K1937/J1937,0),MAX(J1937/K1937,0))),"") </f>
        <v/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385-2024-12-31</t>
        </is>
      </c>
    </row>
    <row r="1938" hidden="1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108" t="n">
        <v>45838</v>
      </c>
      <c r="G1938" t="n">
        <v>2025</v>
      </c>
      <c r="H1938" t="inlineStr">
        <is>
          <t>Junio</t>
        </is>
      </c>
      <c r="I1938" t="inlineStr">
        <is>
          <t>2025-1</t>
        </is>
      </c>
      <c r="J1938" t="n">
        <v>100</v>
      </c>
      <c r="K1938" t="n">
        <v>118.92</v>
      </c>
      <c r="L1938" s="39">
        <f>IFERROR(IF(OR(J1938=0,K1938=""),"",IF(E1938="Positivo",MIN(MAX(K1938/J1938,0),1.3),MIN(MAX(J1938/K1938,0),1.3))),"") </f>
        <v/>
      </c>
      <c r="M1938" s="39">
        <f>IFERROR(IF(OR(J1938=0,K1938=""),"",IF(E1938="Positivo",MAX(K1938/J1938,0),MAX(J1938/K1938,0))),"") </f>
        <v/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385-2025-06-30</t>
        </is>
      </c>
    </row>
    <row r="1939" hidden="1">
      <c r="A1939" t="n">
        <v>385</v>
      </c>
      <c r="B1939" t="inlineStr">
        <is>
          <t>Ingresos totales de educación para la vida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08" t="n">
        <v>46022</v>
      </c>
      <c r="G1939" t="n">
        <v>2025</v>
      </c>
      <c r="H1939" t="inlineStr">
        <is>
          <t>Diciembre</t>
        </is>
      </c>
      <c r="I1939" t="inlineStr">
        <is>
          <t>2025-2</t>
        </is>
      </c>
      <c r="J1939" t="n">
        <v>100</v>
      </c>
      <c r="K1939" t="n">
        <v>108.89</v>
      </c>
      <c r="L1939" s="39">
        <f>IFERROR(IF(OR(J1939=0,K1939=""),"",IF(E1939="Positivo",MIN(MAX(K1939/J1939,0),1.3),MIN(MAX(J1939/K1939,0),1.3))),"") </f>
        <v/>
      </c>
      <c r="M1939" s="39">
        <f>IFERROR(IF(OR(J1939=0,K1939=""),"",IF(E1939="Positivo",MAX(K1939/J1939,0),MAX(J1939/K1939,0))),"") </f>
        <v/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385-2025-12-31</t>
        </is>
      </c>
    </row>
    <row r="1940" hidden="1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Trimestral</t>
        </is>
      </c>
      <c r="E1940" t="inlineStr">
        <is>
          <t>Positivo</t>
        </is>
      </c>
      <c r="F1940" s="108" t="n">
        <v>45107</v>
      </c>
      <c r="G1940" t="n">
        <v>2023</v>
      </c>
      <c r="H1940" t="inlineStr">
        <is>
          <t>Junio</t>
        </is>
      </c>
      <c r="I1940" t="inlineStr">
        <is>
          <t>2023-1</t>
        </is>
      </c>
      <c r="J1940" t="n">
        <v>100</v>
      </c>
      <c r="K1940" t="n">
        <v>102.98486566654</v>
      </c>
      <c r="L1940" s="39">
        <f>IFERROR(IF(OR(J1940=0,K1940=""),"",IF(E1940="Positivo",MIN(MAX(K1940/J1940,0),1.3),MIN(MAX(J1940/K1940,0),1.3))),"") </f>
        <v/>
      </c>
      <c r="M1940" s="39">
        <f>IFERROR(IF(OR(J1940=0,K1940=""),"",IF(E1940="Positivo",MAX(K1940/J1940,0),MAX(J1940/K1940,0))),"") </f>
        <v/>
      </c>
      <c r="N1940" t="inlineStr">
        <is>
          <t>%</t>
        </is>
      </c>
      <c r="O1940" t="inlineStr">
        <is>
          <t>%</t>
        </is>
      </c>
      <c r="P1940" t="n">
        <v>0</v>
      </c>
      <c r="Q1940" t="n">
        <v>0</v>
      </c>
      <c r="R1940" t="inlineStr">
        <is>
          <t>386-2023-06-30</t>
        </is>
      </c>
    </row>
    <row r="1941" hidden="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08" t="n">
        <v>45291</v>
      </c>
      <c r="G1941" t="n">
        <v>2023</v>
      </c>
      <c r="H1941" t="inlineStr">
        <is>
          <t>Diciembre</t>
        </is>
      </c>
      <c r="I1941" t="inlineStr">
        <is>
          <t>2023-2</t>
        </is>
      </c>
      <c r="J1941" t="n">
        <v>100</v>
      </c>
      <c r="K1941" t="n">
        <v>138.22</v>
      </c>
      <c r="L1941" s="39">
        <f>IFERROR(IF(OR(J1941=0,K1941=""),"",IF(E1941="Positivo",MIN(MAX(K1941/J1941,0),1.3),MIN(MAX(J1941/K1941,0),1.3))),"") </f>
        <v/>
      </c>
      <c r="M1941" s="39">
        <f>IFERROR(IF(OR(J1941=0,K1941=""),"",IF(E1941="Positivo",MAX(K1941/J1941,0),MAX(J1941/K1941,0))),"") </f>
        <v/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386-2023-12-31</t>
        </is>
      </c>
    </row>
    <row r="1942" hidden="1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08" t="n">
        <v>45473</v>
      </c>
      <c r="G1942" t="n">
        <v>2024</v>
      </c>
      <c r="H1942" t="inlineStr">
        <is>
          <t>Junio</t>
        </is>
      </c>
      <c r="I1942" t="inlineStr">
        <is>
          <t>2024-1</t>
        </is>
      </c>
      <c r="J1942" t="n">
        <v>100</v>
      </c>
      <c r="K1942" t="n">
        <v>113.63</v>
      </c>
      <c r="L1942" s="39">
        <f>IFERROR(IF(OR(J1942=0,K1942=""),"",IF(E1942="Positivo",MIN(MAX(K1942/J1942,0),1.3),MIN(MAX(J1942/K1942,0),1.3))),"") </f>
        <v/>
      </c>
      <c r="M1942" s="39">
        <f>IFERROR(IF(OR(J1942=0,K1942=""),"",IF(E1942="Positivo",MAX(K1942/J1942,0),MAX(J1942/K1942,0))),"") </f>
        <v/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386-2024-06-30</t>
        </is>
      </c>
    </row>
    <row r="1943" hidden="1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08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75.01000000000001</v>
      </c>
      <c r="L1943" s="39">
        <f>IFERROR(IF(OR(J1943=0,K1943=""),"",IF(E1943="Positivo",MIN(MAX(K1943/J1943,0),1.3),MIN(MAX(J1943/K1943,0),1.3))),"") </f>
        <v/>
      </c>
      <c r="M1943" s="39">
        <f>IFERROR(IF(OR(J1943=0,K1943=""),"",IF(E1943="Positivo",MAX(K1943/J1943,0),MAX(J1943/K1943,0))),"") </f>
        <v/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386-2024-12-31</t>
        </is>
      </c>
    </row>
    <row r="1944" hidden="1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Semestral</t>
        </is>
      </c>
      <c r="E1944" t="inlineStr">
        <is>
          <t>Positivo</t>
        </is>
      </c>
      <c r="F1944" s="108" t="n">
        <v>45838</v>
      </c>
      <c r="G1944" t="n">
        <v>2025</v>
      </c>
      <c r="H1944" t="inlineStr">
        <is>
          <t>Junio</t>
        </is>
      </c>
      <c r="I1944" t="inlineStr">
        <is>
          <t>2025-1</t>
        </is>
      </c>
      <c r="J1944" t="n">
        <v>100</v>
      </c>
      <c r="K1944" t="n">
        <v>118.92</v>
      </c>
      <c r="L1944" s="39">
        <f>IFERROR(IF(OR(J1944=0,K1944=""),"",IF(E1944="Positivo",MIN(MAX(K1944/J1944,0),1.3),MIN(MAX(J1944/K1944,0),1.3))),"") </f>
        <v/>
      </c>
      <c r="M1944" s="39">
        <f>IFERROR(IF(OR(J1944=0,K1944=""),"",IF(E1944="Positivo",MAX(K1944/J1944,0),MAX(J1944/K1944,0))),"") </f>
        <v/>
      </c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386-2025-06-30</t>
        </is>
      </c>
    </row>
    <row r="1945" hidden="1">
      <c r="A1945" t="n">
        <v>386</v>
      </c>
      <c r="B1945" t="inlineStr">
        <is>
          <t>Cumplimiento Meta comercial Educación para toda la vida por linea</t>
        </is>
      </c>
      <c r="C1945" t="inlineStr">
        <is>
          <t>Mercadeo y venta de educación para la vida</t>
        </is>
      </c>
      <c r="D1945" t="inlineStr">
        <is>
          <t>Trimestral</t>
        </is>
      </c>
      <c r="E1945" t="inlineStr">
        <is>
          <t>Positivo</t>
        </is>
      </c>
      <c r="F1945" s="108" t="n">
        <v>46022</v>
      </c>
      <c r="G1945" t="n">
        <v>2025</v>
      </c>
      <c r="H1945" t="inlineStr">
        <is>
          <t>Diciembre</t>
        </is>
      </c>
      <c r="I1945" t="inlineStr">
        <is>
          <t>2025-2</t>
        </is>
      </c>
      <c r="J1945" t="n">
        <v>100</v>
      </c>
      <c r="K1945" t="n">
        <v>106.54</v>
      </c>
      <c r="L1945" s="39">
        <f>IFERROR(IF(OR(J1945=0,K1945=""),"",IF(E1945="Positivo",MIN(MAX(K1945/J1945,0),1.3),MIN(MAX(J1945/K1945,0),1.3))),"") </f>
        <v/>
      </c>
      <c r="M1945" s="3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386-2025-12-31</t>
        </is>
      </c>
    </row>
    <row r="1946" hidden="1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08" t="n">
        <v>45107</v>
      </c>
      <c r="G1946" t="n">
        <v>2023</v>
      </c>
      <c r="H1946" t="inlineStr">
        <is>
          <t>Junio</t>
        </is>
      </c>
      <c r="I1946" t="inlineStr">
        <is>
          <t>2023-1</t>
        </is>
      </c>
      <c r="J1946" t="n">
        <v>38</v>
      </c>
      <c r="K1946" t="n">
        <v>38</v>
      </c>
      <c r="L1946" s="39">
        <f>IFERROR(IF(OR(J1946=0,K1946=""),"",IF(E1946="Positivo",MIN(MAX(K1946/J1946,0),1.3),MIN(MAX(J1946/K1946,0),1.3))),"") </f>
        <v/>
      </c>
      <c r="M1946" s="39">
        <f>IFERROR(IF(OR(J1946=0,K1946=""),"",IF(E1946="Positivo",MAX(K1946/J1946,0),MAX(J1946/K1946,0))),"") </f>
        <v/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387-2023-06-30</t>
        </is>
      </c>
    </row>
    <row r="1947" hidden="1">
      <c r="A1947" t="n">
        <v>387</v>
      </c>
      <c r="B1947" t="inlineStr">
        <is>
          <t>Programas con reforzamiento curricular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08" t="n">
        <v>45291</v>
      </c>
      <c r="G1947" t="n">
        <v>2023</v>
      </c>
      <c r="H1947" t="inlineStr">
        <is>
          <t>Diciembre</t>
        </is>
      </c>
      <c r="I1947" t="inlineStr">
        <is>
          <t>2023-2</t>
        </is>
      </c>
      <c r="J1947" t="n">
        <v>0</v>
      </c>
      <c r="K1947" t="n">
        <v>0</v>
      </c>
      <c r="L1947" s="39">
        <f>IFERROR(IF(OR(J1947=0,K1947=""),"",IF(E1947="Positivo",MIN(MAX(K1947/J1947,0),1.3),MIN(MAX(J1947/K1947,0),1.3))),"") </f>
        <v/>
      </c>
      <c r="M1947" s="39">
        <f>IFERROR(IF(OR(J1947=0,K1947=""),"",IF(E1947="Positivo",MAX(K1947/J1947,0),MAX(J1947/K1947,0))),"") </f>
        <v/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387-2023-12-31</t>
        </is>
      </c>
    </row>
    <row r="1948" hidden="1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08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77</v>
      </c>
      <c r="K1948" t="n">
        <v>77</v>
      </c>
      <c r="L1948" s="39">
        <f>IFERROR(IF(OR(J1948=0,K1948=""),"",IF(E1948="Positivo",MIN(MAX(K1948/J1948,0),1.3),MIN(MAX(J1948/K1948,0),1.3))),"") </f>
        <v/>
      </c>
      <c r="M1948" s="39">
        <f>IFERROR(IF(OR(J1948=0,K1948=""),"",IF(E1948="Positivo",MAX(K1948/J1948,0),MAX(J1948/K1948,0))),"") </f>
        <v/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388-2023-06-30</t>
        </is>
      </c>
    </row>
    <row r="1949" hidden="1">
      <c r="A1949" t="n">
        <v>388</v>
      </c>
      <c r="B1949" t="inlineStr">
        <is>
          <t>Programas con matriz de resultados de aprendizaje por escuela</t>
        </is>
      </c>
      <c r="C1949" t="inlineStr">
        <is>
          <t>Gestión, Evaluación e Innovación Curricular</t>
        </is>
      </c>
      <c r="D1949" t="inlineStr">
        <is>
          <t>Semestral</t>
        </is>
      </c>
      <c r="E1949" t="inlineStr">
        <is>
          <t>Positivo</t>
        </is>
      </c>
      <c r="F1949" s="108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16</v>
      </c>
      <c r="K1949" t="n">
        <v>16</v>
      </c>
      <c r="L1949" s="39">
        <f>IFERROR(IF(OR(J1949=0,K1949=""),"",IF(E1949="Positivo",MIN(MAX(K1949/J1949,0),1.3),MIN(MAX(J1949/K1949,0),1.3))),"") </f>
        <v/>
      </c>
      <c r="M1949" s="39">
        <f>IFERROR(IF(OR(J1949=0,K1949=""),"",IF(E1949="Positivo",MAX(K1949/J1949,0),MAX(J1949/K1949,0))),"") </f>
        <v/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388-2023-12-31</t>
        </is>
      </c>
    </row>
    <row r="1950" hidden="1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08" t="n">
        <v>45107</v>
      </c>
      <c r="G1950" t="n">
        <v>2023</v>
      </c>
      <c r="H1950" t="inlineStr">
        <is>
          <t>Junio</t>
        </is>
      </c>
      <c r="I1950" t="inlineStr">
        <is>
          <t>2023-1</t>
        </is>
      </c>
      <c r="J1950" t="n">
        <v>91</v>
      </c>
      <c r="K1950" t="n">
        <v>1017.39998626709</v>
      </c>
      <c r="L1950" s="39">
        <f>IFERROR(IF(OR(J1950=0,K1950=""),"",IF(E1950="Positivo",MIN(MAX(K1950/J1950,0),1.3),MIN(MAX(J1950/K1950,0),1.3))),"") </f>
        <v/>
      </c>
      <c r="M1950" s="39">
        <f>IFERROR(IF(OR(J1950=0,K1950=""),"",IF(E1950="Positivo",MAX(K1950/J1950,0),MAX(J1950/K1950,0))),"") </f>
        <v/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389-2023-06-30</t>
        </is>
      </c>
    </row>
    <row r="1951" hidden="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08" t="n">
        <v>45291</v>
      </c>
      <c r="G1951" t="n">
        <v>2023</v>
      </c>
      <c r="H1951" t="inlineStr">
        <is>
          <t>Diciembre</t>
        </is>
      </c>
      <c r="I1951" t="inlineStr">
        <is>
          <t>2023-2</t>
        </is>
      </c>
      <c r="J1951" t="n">
        <v>91</v>
      </c>
      <c r="K1951" t="n">
        <v>0</v>
      </c>
      <c r="L1951" s="39">
        <f>IFERROR(IF(OR(J1951=0,K1951=""),"",IF(E1951="Positivo",MIN(MAX(K1951/J1951,0),1.3),MIN(MAX(J1951/K1951,0),1.3))),"") </f>
        <v/>
      </c>
      <c r="M1951" s="39">
        <f>IFERROR(IF(OR(J1951=0,K1951=""),"",IF(E1951="Positivo",MAX(K1951/J1951,0),MAX(J1951/K1951,0))),"") </f>
        <v/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389-2023-12-31</t>
        </is>
      </c>
    </row>
    <row r="1952" hidden="1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08" t="n">
        <v>45473</v>
      </c>
      <c r="G1952" t="n">
        <v>2024</v>
      </c>
      <c r="H1952" t="inlineStr">
        <is>
          <t>Junio</t>
        </is>
      </c>
      <c r="I1952" t="inlineStr">
        <is>
          <t>2024-1</t>
        </is>
      </c>
      <c r="J1952" t="n">
        <v>85</v>
      </c>
      <c r="K1952" t="n">
        <v>84.43333333333332</v>
      </c>
      <c r="L1952" s="39">
        <f>IFERROR(IF(OR(J1952=0,K1952=""),"",IF(E1952="Positivo",MIN(MAX(K1952/J1952,0),1.3),MIN(MAX(J1952/K1952,0),1.3))),"") </f>
        <v/>
      </c>
      <c r="M1952" s="3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389-2024-06-30</t>
        </is>
      </c>
    </row>
    <row r="1953" hidden="1">
      <c r="A1953" t="n">
        <v>389</v>
      </c>
      <c r="B1953" t="inlineStr">
        <is>
          <t>Permanencia por escuela</t>
        </is>
      </c>
      <c r="C1953" t="inlineStr">
        <is>
          <t>Permanencia</t>
        </is>
      </c>
      <c r="D1953" t="inlineStr">
        <is>
          <t>Semestral</t>
        </is>
      </c>
      <c r="E1953" t="inlineStr">
        <is>
          <t>Positivo</t>
        </is>
      </c>
      <c r="F1953" s="108" t="n">
        <v>45657</v>
      </c>
      <c r="G1953" t="n">
        <v>2024</v>
      </c>
      <c r="H1953" t="inlineStr">
        <is>
          <t>Diciembre</t>
        </is>
      </c>
      <c r="I1953" t="inlineStr">
        <is>
          <t>2024-2</t>
        </is>
      </c>
      <c r="J1953" t="n">
        <v>85</v>
      </c>
      <c r="K1953" t="n">
        <v>0</v>
      </c>
      <c r="L1953" s="39">
        <f>IFERROR(IF(OR(J1953=0,K1953=""),"",IF(E1953="Positivo",MIN(MAX(K1953/J1953,0),1.3),MIN(MAX(J1953/K1953,0),1.3))),"") </f>
        <v/>
      </c>
      <c r="M1953" s="39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389-2024-12-31</t>
        </is>
      </c>
    </row>
    <row r="1954" hidden="1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08" t="n">
        <v>45838</v>
      </c>
      <c r="G1954" t="n">
        <v>2025</v>
      </c>
      <c r="H1954" t="inlineStr">
        <is>
          <t>Junio</t>
        </is>
      </c>
      <c r="I1954" t="inlineStr">
        <is>
          <t>2025-1</t>
        </is>
      </c>
      <c r="K1954" t="n">
        <v>0</v>
      </c>
      <c r="L1954" s="39" t="n"/>
      <c r="M1954" s="39" t="n"/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389-2025-06-30</t>
        </is>
      </c>
    </row>
    <row r="1955" hidden="1">
      <c r="A1955" t="n">
        <v>389</v>
      </c>
      <c r="B1955" t="inlineStr">
        <is>
          <t>Permanencia por escuela</t>
        </is>
      </c>
      <c r="C1955" t="inlineStr">
        <is>
          <t>Gestión de Unidades Académicas</t>
        </is>
      </c>
      <c r="D1955" t="inlineStr">
        <is>
          <t>Trimestral</t>
        </is>
      </c>
      <c r="E1955" t="inlineStr">
        <is>
          <t>Positivo</t>
        </is>
      </c>
      <c r="F1955" s="108" t="n">
        <v>46022</v>
      </c>
      <c r="G1955" t="n">
        <v>2025</v>
      </c>
      <c r="H1955" t="inlineStr">
        <is>
          <t>Diciembre</t>
        </is>
      </c>
      <c r="I1955" t="inlineStr">
        <is>
          <t>2025-2</t>
        </is>
      </c>
      <c r="L1955" s="39" t="n"/>
      <c r="M1955" s="39" t="n"/>
      <c r="N1955" t="inlineStr">
        <is>
          <t>%</t>
        </is>
      </c>
      <c r="O1955" t="inlineStr">
        <is>
          <t>No Aplica</t>
        </is>
      </c>
      <c r="P1955" t="n">
        <v>0</v>
      </c>
      <c r="Q1955" t="n">
        <v>0</v>
      </c>
      <c r="R1955" t="inlineStr">
        <is>
          <t>389-2025-12-31</t>
        </is>
      </c>
      <c r="S1955" t="inlineStr">
        <is>
          <t>No Aplica</t>
        </is>
      </c>
    </row>
    <row r="1956" hidden="1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Semestral</t>
        </is>
      </c>
      <c r="E1956" t="inlineStr">
        <is>
          <t>Positivo</t>
        </is>
      </c>
      <c r="F1956" s="108" t="n">
        <v>45016</v>
      </c>
      <c r="G1956" t="n">
        <v>2023</v>
      </c>
      <c r="H1956" t="inlineStr">
        <is>
          <t>Marzo</t>
        </is>
      </c>
      <c r="I1956" t="inlineStr">
        <is>
          <t>2023-1</t>
        </is>
      </c>
      <c r="J1956" t="n">
        <v>100</v>
      </c>
      <c r="K1956" t="n">
        <v>0</v>
      </c>
      <c r="L1956" s="39">
        <f>IFERROR(IF(OR(J1956=0,K1956=""),"",IF(E1956="Positivo",MIN(MAX(K1956/J1956,0),1.3),MIN(MAX(J1956/K1956,0),1.3))),"") </f>
        <v/>
      </c>
      <c r="M1956" s="39">
        <f>IFERROR(IF(OR(J1956=0,K1956=""),"",IF(E1956="Positivo",MAX(K1956/J1956,0),MAX(J1956/K1956,0))),"") </f>
        <v/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390-2023-03-31</t>
        </is>
      </c>
    </row>
    <row r="1957" hidden="1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08" t="n">
        <v>45107</v>
      </c>
      <c r="G1957" t="n">
        <v>2023</v>
      </c>
      <c r="H1957" t="inlineStr">
        <is>
          <t>Junio</t>
        </is>
      </c>
      <c r="I1957" t="inlineStr">
        <is>
          <t>2023-1</t>
        </is>
      </c>
      <c r="J1957" t="n">
        <v>100</v>
      </c>
      <c r="K1957" t="n">
        <v>110.38416666667</v>
      </c>
      <c r="L1957" s="39">
        <f>IFERROR(IF(OR(J1957=0,K1957=""),"",IF(E1957="Positivo",MIN(MAX(K1957/J1957,0),1.3),MIN(MAX(J1957/K1957,0),1.3))),"") </f>
        <v/>
      </c>
      <c r="M1957" s="39">
        <f>IFERROR(IF(OR(J1957=0,K1957=""),"",IF(E1957="Positivo",MAX(K1957/J1957,0),MAX(J1957/K1957,0))),"") </f>
        <v/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390-2023-06-30</t>
        </is>
      </c>
    </row>
    <row r="1958" hidden="1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08" t="n">
        <v>45199</v>
      </c>
      <c r="G1958" t="n">
        <v>2023</v>
      </c>
      <c r="H1958" t="inlineStr">
        <is>
          <t>Septiembre</t>
        </is>
      </c>
      <c r="I1958" t="inlineStr">
        <is>
          <t>2023-2</t>
        </is>
      </c>
      <c r="J1958" t="n">
        <v>100</v>
      </c>
      <c r="K1958" t="n">
        <v>95.34416666666699</v>
      </c>
      <c r="L1958" s="39">
        <f>IFERROR(IF(OR(J1958=0,K1958=""),"",IF(E1958="Positivo",MIN(MAX(K1958/J1958,0),1.3),MIN(MAX(J1958/K1958,0),1.3))),"") </f>
        <v/>
      </c>
      <c r="M1958" s="39">
        <f>IFERROR(IF(OR(J1958=0,K1958=""),"",IF(E1958="Positivo",MAX(K1958/J1958,0),MAX(J1958/K1958,0))),"") </f>
        <v/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390-2023-09-30</t>
        </is>
      </c>
    </row>
    <row r="1959" hidden="1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08" t="n">
        <v>45291</v>
      </c>
      <c r="G1959" t="n">
        <v>2023</v>
      </c>
      <c r="H1959" t="inlineStr">
        <is>
          <t>Diciembre</t>
        </is>
      </c>
      <c r="I1959" t="inlineStr">
        <is>
          <t>2023-2</t>
        </is>
      </c>
      <c r="J1959" t="n">
        <v>100</v>
      </c>
      <c r="K1959" t="n">
        <v>99.24916666666699</v>
      </c>
      <c r="L1959" s="39">
        <f>IFERROR(IF(OR(J1959=0,K1959=""),"",IF(E1959="Positivo",MIN(MAX(K1959/J1959,0),1.3),MIN(MAX(J1959/K1959,0),1.3))),"") </f>
        <v/>
      </c>
      <c r="M1959" s="39">
        <f>IFERROR(IF(OR(J1959=0,K1959=""),"",IF(E1959="Positivo",MAX(K1959/J1959,0),MAX(J1959/K1959,0))),"") </f>
        <v/>
      </c>
      <c r="N1959" t="inlineStr">
        <is>
          <t>%</t>
        </is>
      </c>
      <c r="O1959" t="inlineStr">
        <is>
          <t>%</t>
        </is>
      </c>
      <c r="P1959" t="n">
        <v>0</v>
      </c>
      <c r="Q1959" t="n">
        <v>0</v>
      </c>
      <c r="R1959" t="inlineStr">
        <is>
          <t>390-2023-12-31</t>
        </is>
      </c>
    </row>
    <row r="1960" hidden="1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08" t="n">
        <v>45382</v>
      </c>
      <c r="G1960" t="n">
        <v>2024</v>
      </c>
      <c r="H1960" t="inlineStr">
        <is>
          <t>Marzo</t>
        </is>
      </c>
      <c r="I1960" t="inlineStr">
        <is>
          <t>2024-1</t>
        </is>
      </c>
      <c r="J1960" t="n">
        <v>100</v>
      </c>
      <c r="K1960" t="n">
        <v>168.53</v>
      </c>
      <c r="L1960" s="39">
        <f>IFERROR(IF(OR(J1960=0,K1960=""),"",IF(E1960="Positivo",MIN(MAX(K1960/J1960,0),1.3),MIN(MAX(J1960/K1960,0),1.3))),"") </f>
        <v/>
      </c>
      <c r="M1960" s="39">
        <f>IFERROR(IF(OR(J1960=0,K1960=""),"",IF(E1960="Positivo",MAX(K1960/J1960,0),MAX(J1960/K1960,0))),"") </f>
        <v/>
      </c>
      <c r="P1960" t="n">
        <v>0</v>
      </c>
      <c r="Q1960" t="n">
        <v>0</v>
      </c>
      <c r="R1960" t="inlineStr">
        <is>
          <t>390-2024-03-31</t>
        </is>
      </c>
    </row>
    <row r="1961" hidden="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08" t="n">
        <v>45473</v>
      </c>
      <c r="G1961" t="n">
        <v>2024</v>
      </c>
      <c r="H1961" t="inlineStr">
        <is>
          <t>Junio</t>
        </is>
      </c>
      <c r="I1961" t="inlineStr">
        <is>
          <t>2024-1</t>
        </is>
      </c>
      <c r="J1961" t="n">
        <v>100</v>
      </c>
      <c r="K1961" t="n">
        <v>110.59</v>
      </c>
      <c r="L1961" s="39">
        <f>IFERROR(IF(OR(J1961=0,K1961=""),"",IF(E1961="Positivo",MIN(MAX(K1961/J1961,0),1.3),MIN(MAX(J1961/K1961,0),1.3))),"") </f>
        <v/>
      </c>
      <c r="M1961" s="39">
        <f>IFERROR(IF(OR(J1961=0,K1961=""),"",IF(E1961="Positivo",MAX(K1961/J1961,0),MAX(J1961/K1961,0))),"") </f>
        <v/>
      </c>
      <c r="P1961" t="n">
        <v>0</v>
      </c>
      <c r="Q1961" t="n">
        <v>0</v>
      </c>
      <c r="R1961" t="inlineStr">
        <is>
          <t>390-2024-06-30</t>
        </is>
      </c>
    </row>
    <row r="1962" hidden="1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08" t="n">
        <v>45565</v>
      </c>
      <c r="G1962" t="n">
        <v>2024</v>
      </c>
      <c r="H1962" t="inlineStr">
        <is>
          <t>Septiembre</t>
        </is>
      </c>
      <c r="I1962" t="inlineStr">
        <is>
          <t>2024-2</t>
        </is>
      </c>
      <c r="J1962" t="n">
        <v>100</v>
      </c>
      <c r="K1962" t="n">
        <v>83.31999999999999</v>
      </c>
      <c r="L1962" s="39">
        <f>IFERROR(IF(OR(J1962=0,K1962=""),"",IF(E1962="Positivo",MIN(MAX(K1962/J1962,0),1.3),MIN(MAX(J1962/K1962,0),1.3))),"") </f>
        <v/>
      </c>
      <c r="M1962" s="39">
        <f>IFERROR(IF(OR(J1962=0,K1962=""),"",IF(E1962="Positivo",MAX(K1962/J1962,0),MAX(J1962/K1962,0))),"") </f>
        <v/>
      </c>
      <c r="P1962" t="n">
        <v>0</v>
      </c>
      <c r="Q1962" t="n">
        <v>0</v>
      </c>
      <c r="R1962" t="inlineStr">
        <is>
          <t>390-2024-09-30</t>
        </is>
      </c>
    </row>
    <row r="1963" hidden="1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Trimestral</t>
        </is>
      </c>
      <c r="E1963" t="inlineStr">
        <is>
          <t>Positivo</t>
        </is>
      </c>
      <c r="F1963" s="108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100</v>
      </c>
      <c r="K1963" t="n">
        <v>99.92</v>
      </c>
      <c r="L1963" s="39">
        <f>IFERROR(IF(OR(J1963=0,K1963=""),"",IF(E1963="Positivo",MIN(MAX(K1963/J1963,0),1.3),MIN(MAX(J1963/K1963,0),1.3))),"") </f>
        <v/>
      </c>
      <c r="M1963" s="39">
        <f>IFERROR(IF(OR(J1963=0,K1963=""),"",IF(E1963="Positivo",MAX(K1963/J1963,0),MAX(J1963/K1963,0))),"") </f>
        <v/>
      </c>
      <c r="P1963" t="n">
        <v>0</v>
      </c>
      <c r="Q1963" t="n">
        <v>0</v>
      </c>
      <c r="R1963" t="inlineStr">
        <is>
          <t>390-2024-12-31</t>
        </is>
      </c>
    </row>
    <row r="1964" hidden="1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08" t="n">
        <v>45747</v>
      </c>
      <c r="G1964" t="n">
        <v>2025</v>
      </c>
      <c r="H1964" t="inlineStr">
        <is>
          <t>Marzo</t>
        </is>
      </c>
      <c r="I1964" t="inlineStr">
        <is>
          <t>2025-1</t>
        </is>
      </c>
      <c r="J1964" t="n">
        <v>100</v>
      </c>
      <c r="K1964" t="n">
        <v>140.57</v>
      </c>
      <c r="L1964" s="39">
        <f>IFERROR(IF(OR(J1964=0,K1964=""),"",IF(E1964="Positivo",MIN(MAX(K1964/J1964,0),1.3),MIN(MAX(J1964/K1964,0),1.3))),"") </f>
        <v/>
      </c>
      <c r="M1964" s="39">
        <f>IFERROR(IF(OR(J1964=0,K1964=""),"",IF(E1964="Positivo",MAX(K1964/J1964,0),MAX(J1964/K1964,0))),"") </f>
        <v/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390-2025-03-31</t>
        </is>
      </c>
    </row>
    <row r="1965" hidden="1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08" t="n">
        <v>45838</v>
      </c>
      <c r="G1965" t="n">
        <v>2025</v>
      </c>
      <c r="H1965" t="inlineStr">
        <is>
          <t>Junio</t>
        </is>
      </c>
      <c r="I1965" t="inlineStr">
        <is>
          <t>2025-1</t>
        </is>
      </c>
      <c r="J1965" t="n">
        <v>100</v>
      </c>
      <c r="K1965" t="n">
        <v>103.55</v>
      </c>
      <c r="L1965" s="39">
        <f>IFERROR(IF(OR(J1965=0,K1965=""),"",IF(E1965="Positivo",MIN(MAX(K1965/J1965,0),1.3),MIN(MAX(J1965/K1965,0),1.3))),"") </f>
        <v/>
      </c>
      <c r="M1965" s="39">
        <f>IFERROR(IF(OR(J1965=0,K1965=""),"",IF(E1965="Positivo",MAX(K1965/J1965,0),MAX(J1965/K1965,0))),"") </f>
        <v/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390-2025-06-30</t>
        </is>
      </c>
    </row>
    <row r="1966" hidden="1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08" t="n">
        <v>45930</v>
      </c>
      <c r="G1966" t="n">
        <v>2025</v>
      </c>
      <c r="H1966" t="inlineStr">
        <is>
          <t>Septiembre</t>
        </is>
      </c>
      <c r="I1966" t="inlineStr">
        <is>
          <t>2025-2</t>
        </is>
      </c>
      <c r="J1966" t="n">
        <v>100</v>
      </c>
      <c r="K1966" t="n">
        <v>101.17</v>
      </c>
      <c r="L1966" s="39">
        <f>IFERROR(IF(OR(J1966=0,K1966=""),"",IF(E1966="Positivo",MIN(MAX(K1966/J1966,0),1.3),MIN(MAX(J1966/K1966,0),1.3))),"") </f>
        <v/>
      </c>
      <c r="M1966" s="39">
        <f>IFERROR(IF(OR(J1966=0,K1966=""),"",IF(E1966="Positivo",MAX(K1966/J1966,0),MAX(J1966/K1966,0))),"") </f>
        <v/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390-2025-09-30</t>
        </is>
      </c>
    </row>
    <row r="1967" hidden="1">
      <c r="A1967" t="n">
        <v>390</v>
      </c>
      <c r="B1967" t="inlineStr">
        <is>
          <t>Cumplimiento Plan Anual por escuela</t>
        </is>
      </c>
      <c r="C1967" t="inlineStr">
        <is>
          <t>Planeación Estratégica</t>
        </is>
      </c>
      <c r="D1967" t="inlineStr">
        <is>
          <t>Semestral</t>
        </is>
      </c>
      <c r="E1967" t="inlineStr">
        <is>
          <t>Positivo</t>
        </is>
      </c>
      <c r="F1967" s="108" t="n">
        <v>46022</v>
      </c>
      <c r="G1967" t="n">
        <v>2025</v>
      </c>
      <c r="H1967" t="inlineStr">
        <is>
          <t>Diciembre</t>
        </is>
      </c>
      <c r="I1967" t="inlineStr">
        <is>
          <t>2025-2</t>
        </is>
      </c>
      <c r="J1967" t="n">
        <v>100</v>
      </c>
      <c r="K1967" t="n">
        <v>99.78</v>
      </c>
      <c r="L1967" s="39">
        <f>IFERROR(IF(OR(J1967=0,K1967=""),"",IF(E1967="Positivo",MIN(MAX(K1967/J1967,0),1.3),MIN(MAX(J1967/K1967,0),1.3))),"") </f>
        <v/>
      </c>
      <c r="M1967" s="39">
        <f>IFERROR(IF(OR(J1967=0,K1967=""),"",IF(E1967="Positivo",MAX(K1967/J1967,0),MAX(J1967/K1967,0))),"") </f>
        <v/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390-2025-12-31</t>
        </is>
      </c>
    </row>
    <row r="1968" hidden="1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08" t="n">
        <v>45107</v>
      </c>
      <c r="G1968" t="n">
        <v>2023</v>
      </c>
      <c r="H1968" t="inlineStr">
        <is>
          <t>Junio</t>
        </is>
      </c>
      <c r="I1968" t="inlineStr">
        <is>
          <t>2023-1</t>
        </is>
      </c>
      <c r="J1968" t="n">
        <v>100</v>
      </c>
      <c r="K1968" t="n">
        <v>100</v>
      </c>
      <c r="L1968" s="39">
        <f>IFERROR(IF(OR(J1968=0,K1968=""),"",IF(E1968="Positivo",MIN(MAX(K1968/J1968,0),1.3),MIN(MAX(J1968/K1968,0),1.3))),"") </f>
        <v/>
      </c>
      <c r="M1968" s="39">
        <f>IFERROR(IF(OR(J1968=0,K1968=""),"",IF(E1968="Positivo",MAX(K1968/J1968,0),MAX(J1968/K1968,0))),"") </f>
        <v/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391-2023-06-30</t>
        </is>
      </c>
    </row>
    <row r="1969" hidden="1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08" t="n">
        <v>45291</v>
      </c>
      <c r="G1969" t="n">
        <v>2023</v>
      </c>
      <c r="H1969" t="inlineStr">
        <is>
          <t>Diciembre</t>
        </is>
      </c>
      <c r="I1969" t="inlineStr">
        <is>
          <t>2023-2</t>
        </is>
      </c>
      <c r="J1969" t="n">
        <v>100</v>
      </c>
      <c r="K1969" t="n">
        <v>100</v>
      </c>
      <c r="L1969" s="39">
        <f>IFERROR(IF(OR(J1969=0,K1969=""),"",IF(E1969="Positivo",MIN(MAX(K1969/J1969,0),1.3),MIN(MAX(J1969/K1969,0),1.3))),"") </f>
        <v/>
      </c>
      <c r="M1969" s="39">
        <f>IFERROR(IF(OR(J1969=0,K1969=""),"",IF(E1969="Positivo",MAX(K1969/J1969,0),MAX(J1969/K1969,0))),"") </f>
        <v/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391-2023-12-31</t>
        </is>
      </c>
    </row>
    <row r="1970" hidden="1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08" t="n">
        <v>45473</v>
      </c>
      <c r="G1970" t="n">
        <v>2024</v>
      </c>
      <c r="H1970" t="inlineStr">
        <is>
          <t>Junio</t>
        </is>
      </c>
      <c r="I1970" t="inlineStr">
        <is>
          <t>2024-1</t>
        </is>
      </c>
      <c r="J1970" t="n">
        <v>96</v>
      </c>
      <c r="K1970" t="n">
        <v>100</v>
      </c>
      <c r="L1970" s="39">
        <f>IFERROR(IF(OR(J1970=0,K1970=""),"",IF(E1970="Positivo",MIN(MAX(K1970/J1970,0),1.3),MIN(MAX(J1970/K1970,0),1.3))),"") </f>
        <v/>
      </c>
      <c r="M1970" s="39">
        <f>IFERROR(IF(OR(J1970=0,K1970=""),"",IF(E1970="Positivo",MAX(K1970/J1970,0),MAX(J1970/K1970,0))),"") </f>
        <v/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391-2024-06-30</t>
        </is>
      </c>
    </row>
    <row r="1971" hidden="1">
      <c r="A1971" t="n">
        <v>391</v>
      </c>
      <c r="B1971" t="inlineStr">
        <is>
          <t>Satisfacción del cliente con campañas integradas de marketing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08" t="n">
        <v>45657</v>
      </c>
      <c r="G1971" t="n">
        <v>2024</v>
      </c>
      <c r="H1971" t="inlineStr">
        <is>
          <t>Diciembre</t>
        </is>
      </c>
      <c r="I1971" t="inlineStr">
        <is>
          <t>2024-2</t>
        </is>
      </c>
      <c r="J1971" t="n">
        <v>96</v>
      </c>
      <c r="K1971" t="n">
        <v>100</v>
      </c>
      <c r="L1971" s="39">
        <f>IFERROR(IF(OR(J1971=0,K1971=""),"",IF(E1971="Positivo",MIN(MAX(K1971/J1971,0),1.3),MIN(MAX(J1971/K1971,0),1.3))),"") </f>
        <v/>
      </c>
      <c r="M1971" s="39">
        <f>IFERROR(IF(OR(J1971=0,K1971=""),"",IF(E1971="Positivo",MAX(K1971/J1971,0),MAX(J1971/K1971,0))),"") </f>
        <v/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391-2024-12-31</t>
        </is>
      </c>
    </row>
    <row r="1972" hidden="1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08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110.09198322581</v>
      </c>
      <c r="L1972" s="39">
        <f>IFERROR(IF(OR(J1972=0,K1972=""),"",IF(E1972="Positivo",MIN(MAX(K1972/J1972,0),1.3),MIN(MAX(J1972/K1972,0),1.3))),"") </f>
        <v/>
      </c>
      <c r="M1972" s="39">
        <f>IFERROR(IF(OR(J1972=0,K1972=""),"",IF(E1972="Positivo",MAX(K1972/J1972,0),MAX(J1972/K1972,0))),"") </f>
        <v/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392-2023-06-30</t>
        </is>
      </c>
    </row>
    <row r="1973" hidden="1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08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147.38</v>
      </c>
      <c r="L1973" s="39">
        <f>IFERROR(IF(OR(J1973=0,K1973=""),"",IF(E1973="Positivo",MIN(MAX(K1973/J1973,0),1.3),MIN(MAX(J1973/K1973,0),1.3))),"") </f>
        <v/>
      </c>
      <c r="M1973" s="39">
        <f>IFERROR(IF(OR(J1973=0,K1973=""),"",IF(E1973="Positivo",MAX(K1973/J1973,0),MAX(J1973/K1973,0))),"") </f>
        <v/>
      </c>
      <c r="N1973" t="inlineStr">
        <is>
          <t>%</t>
        </is>
      </c>
      <c r="O1973" t="inlineStr">
        <is>
          <t>%</t>
        </is>
      </c>
      <c r="P1973" t="n">
        <v>0</v>
      </c>
      <c r="Q1973" t="n">
        <v>0</v>
      </c>
      <c r="R1973" t="inlineStr">
        <is>
          <t>392-2023-12-31</t>
        </is>
      </c>
    </row>
    <row r="1974" hidden="1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08" t="n">
        <v>45473</v>
      </c>
      <c r="G1974" t="n">
        <v>2024</v>
      </c>
      <c r="H1974" t="inlineStr">
        <is>
          <t>Junio</t>
        </is>
      </c>
      <c r="I1974" t="inlineStr">
        <is>
          <t>2024-1</t>
        </is>
      </c>
      <c r="J1974" t="n">
        <v>100</v>
      </c>
      <c r="K1974" t="n">
        <v>98.11</v>
      </c>
      <c r="L1974" s="39">
        <f>IFERROR(IF(OR(J1974=0,K1974=""),"",IF(E1974="Positivo",MIN(MAX(K1974/J1974,0),1.3),MIN(MAX(J1974/K1974,0),1.3))),"") </f>
        <v/>
      </c>
      <c r="M1974" s="39">
        <f>IFERROR(IF(OR(J1974=0,K1974=""),"",IF(E1974="Positivo",MAX(K1974/J1974,0),MAX(J1974/K1974,0))),"") </f>
        <v/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392-2024-06-30</t>
        </is>
      </c>
    </row>
    <row r="1975" hidden="1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Semestral</t>
        </is>
      </c>
      <c r="E1975" t="inlineStr">
        <is>
          <t>Positivo</t>
        </is>
      </c>
      <c r="F1975" s="108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145.21</v>
      </c>
      <c r="L1975" s="39">
        <f>IFERROR(IF(OR(J1975=0,K1975=""),"",IF(E1975="Positivo",MIN(MAX(K1975/J1975,0),1.3),MIN(MAX(J1975/K1975,0),1.3))),"") </f>
        <v/>
      </c>
      <c r="M1975" s="39">
        <f>IFERROR(IF(OR(J1975=0,K1975=""),"",IF(E1975="Positivo",MAX(K1975/J1975,0),MAX(J1975/K1975,0))),"") </f>
        <v/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392-2024-12-31</t>
        </is>
      </c>
    </row>
    <row r="1976" hidden="1">
      <c r="A1976" t="n">
        <v>392</v>
      </c>
      <c r="B1976" t="inlineStr">
        <is>
          <t>Ahorro institucional con base en la monetización de los servicios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08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J1976" t="n">
        <v>100</v>
      </c>
      <c r="K1976" t="n">
        <v>100.8</v>
      </c>
      <c r="L1976" s="39">
        <f>IFERROR(IF(OR(J1976=0,K1976=""),"",IF(E1976="Positivo",MIN(MAX(K1976/J1976,0),1.3),MIN(MAX(J1976/K1976,0),1.3))),"") </f>
        <v/>
      </c>
      <c r="M1976" s="39">
        <f>IFERROR(IF(OR(J1976=0,K1976=""),"",IF(E1976="Positivo",MAX(K1976/J1976,0),MAX(J1976/K1976,0))),"") </f>
        <v/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392-2025-12-31</t>
        </is>
      </c>
    </row>
    <row r="1977" hidden="1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Positivo</t>
        </is>
      </c>
      <c r="F1977" s="108" t="n">
        <v>45291</v>
      </c>
      <c r="G1977" t="n">
        <v>2023</v>
      </c>
      <c r="H1977" t="inlineStr">
        <is>
          <t>Diciembre</t>
        </is>
      </c>
      <c r="I1977" t="inlineStr">
        <is>
          <t>2023-2</t>
        </is>
      </c>
      <c r="J1977" t="n">
        <v>15</v>
      </c>
      <c r="K1977" t="n">
        <v>15.45</v>
      </c>
      <c r="L1977" s="39">
        <f>IFERROR(IF(OR(J1977=0,K1977=""),"",IF(E1977="Positivo",MIN(MAX(K1977/J1977,0),1.3),MIN(MAX(J1977/K1977,0),1.3))),"") </f>
        <v/>
      </c>
      <c r="M1977" s="39">
        <f>IFERROR(IF(OR(J1977=0,K1977=""),"",IF(E1977="Positivo",MAX(K1977/J1977,0),MAX(J1977/K1977,0))),"") </f>
        <v/>
      </c>
      <c r="N1977" t="inlineStr">
        <is>
          <t>$</t>
        </is>
      </c>
      <c r="O1977" t="inlineStr">
        <is>
          <t>$</t>
        </is>
      </c>
      <c r="P1977" t="n">
        <v>0</v>
      </c>
      <c r="Q1977" t="n">
        <v>0</v>
      </c>
      <c r="R1977" t="inlineStr">
        <is>
          <t>393-2023-12-31</t>
        </is>
      </c>
    </row>
    <row r="1978" hidden="1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08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15</v>
      </c>
      <c r="K1978" t="n">
        <v>13</v>
      </c>
      <c r="L1978" s="39">
        <f>IFERROR(IF(OR(J1978=0,K1978=""),"",IF(E1978="Positivo",MIN(MAX(K1978/J1978,0),1.3),MIN(MAX(J1978/K1978,0),1.3))),"") </f>
        <v/>
      </c>
      <c r="M1978" s="39">
        <f>IFERROR(IF(OR(J1978=0,K1978=""),"",IF(E1978="Positivo",MAX(K1978/J1978,0),MAX(J1978/K1978,0))),"") </f>
        <v/>
      </c>
      <c r="P1978" t="n">
        <v>0</v>
      </c>
      <c r="Q1978" t="n">
        <v>0</v>
      </c>
      <c r="R1978" t="inlineStr">
        <is>
          <t>393-2024-12-31</t>
        </is>
      </c>
    </row>
    <row r="1979" hidden="1">
      <c r="A1979" t="n">
        <v>393</v>
      </c>
      <c r="B1979" t="inlineStr">
        <is>
          <t>Disminución de los tiempos empleados en el desarrollo de las solicitudes</t>
        </is>
      </c>
      <c r="C1979" t="inlineStr">
        <is>
          <t>Gestión de campañas integradas de marketing</t>
        </is>
      </c>
      <c r="D1979" t="inlineStr">
        <is>
          <t>Anual</t>
        </is>
      </c>
      <c r="E1979" t="inlineStr">
        <is>
          <t>Negativo</t>
        </is>
      </c>
      <c r="F1979" s="108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K1979" t="n">
        <v>12</v>
      </c>
      <c r="L1979" s="39" t="n"/>
      <c r="M1979" s="39" t="n"/>
      <c r="N1979" t="inlineStr">
        <is>
          <t>ENT</t>
        </is>
      </c>
      <c r="O1979" t="inlineStr">
        <is>
          <t>DEC</t>
        </is>
      </c>
      <c r="P1979" t="n">
        <v>1</v>
      </c>
      <c r="Q1979" t="n">
        <v>1</v>
      </c>
      <c r="R1979" t="inlineStr">
        <is>
          <t>393-2025-12-31</t>
        </is>
      </c>
    </row>
    <row r="1980" hidden="1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08" t="n">
        <v>45016</v>
      </c>
      <c r="G1980" t="n">
        <v>2023</v>
      </c>
      <c r="H1980" t="inlineStr">
        <is>
          <t>Marzo</t>
        </is>
      </c>
      <c r="I1980" t="inlineStr">
        <is>
          <t>2023-1</t>
        </is>
      </c>
      <c r="J1980" t="n">
        <v>100</v>
      </c>
      <c r="K1980" t="n">
        <v>0</v>
      </c>
      <c r="L1980" s="39">
        <f>IFERROR(IF(OR(J1980=0,K1980=""),"",IF(E1980="Positivo",MIN(MAX(K1980/J1980,0),1.3),MIN(MAX(J1980/K1980,0),1.3))),"") </f>
        <v/>
      </c>
      <c r="M1980" s="3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394-2023-03-31</t>
        </is>
      </c>
    </row>
    <row r="1981" hidden="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08" t="n">
        <v>45107</v>
      </c>
      <c r="G1981" t="n">
        <v>2023</v>
      </c>
      <c r="H1981" t="inlineStr">
        <is>
          <t>Junio</t>
        </is>
      </c>
      <c r="I1981" t="inlineStr">
        <is>
          <t>2023-1</t>
        </is>
      </c>
      <c r="J1981" t="n">
        <v>100</v>
      </c>
      <c r="K1981" t="n">
        <v>275.42857142857</v>
      </c>
      <c r="L1981" s="39">
        <f>IFERROR(IF(OR(J1981=0,K1981=""),"",IF(E1981="Positivo",MIN(MAX(K1981/J1981,0),1.3),MIN(MAX(J1981/K1981,0),1.3))),"") </f>
        <v/>
      </c>
      <c r="M1981" s="3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394-2023-06-30</t>
        </is>
      </c>
    </row>
    <row r="1982" hidden="1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08" t="n">
        <v>45199</v>
      </c>
      <c r="G1982" t="n">
        <v>2023</v>
      </c>
      <c r="H1982" t="inlineStr">
        <is>
          <t>Septiembre</t>
        </is>
      </c>
      <c r="I1982" t="inlineStr">
        <is>
          <t>2023-2</t>
        </is>
      </c>
      <c r="J1982" t="n">
        <v>100</v>
      </c>
      <c r="K1982" t="n">
        <v>0</v>
      </c>
      <c r="L1982" s="39">
        <f>IFERROR(IF(OR(J1982=0,K1982=""),"",IF(E1982="Positivo",MIN(MAX(K1982/J1982,0),1.3),MIN(MAX(J1982/K1982,0),1.3))),"") </f>
        <v/>
      </c>
      <c r="M1982" s="3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394-2023-09-30</t>
        </is>
      </c>
    </row>
    <row r="1983" hidden="1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08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100</v>
      </c>
      <c r="K1983" t="n">
        <v>349.71</v>
      </c>
      <c r="L1983" s="39">
        <f>IFERROR(IF(OR(J1983=0,K1983=""),"",IF(E1983="Positivo",MIN(MAX(K1983/J1983,0),1.3),MIN(MAX(J1983/K1983,0),1.3))),"") </f>
        <v/>
      </c>
      <c r="M1983" s="3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394-2023-12-31</t>
        </is>
      </c>
    </row>
    <row r="1984" hidden="1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08" t="n">
        <v>45382</v>
      </c>
      <c r="G1984" t="n">
        <v>2024</v>
      </c>
      <c r="H1984" t="inlineStr">
        <is>
          <t>Marzo</t>
        </is>
      </c>
      <c r="I1984" t="inlineStr">
        <is>
          <t>2024-1</t>
        </is>
      </c>
      <c r="J1984" t="n">
        <v>100</v>
      </c>
      <c r="K1984" t="n">
        <v>0</v>
      </c>
      <c r="L1984" s="39">
        <f>IFERROR(IF(OR(J1984=0,K1984=""),"",IF(E1984="Positivo",MIN(MAX(K1984/J1984,0),1.3),MIN(MAX(J1984/K1984,0),1.3))),"") </f>
        <v/>
      </c>
      <c r="M1984" s="3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394-2024-03-31</t>
        </is>
      </c>
    </row>
    <row r="1985" hidden="1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08" t="n">
        <v>45473</v>
      </c>
      <c r="G1985" t="n">
        <v>2024</v>
      </c>
      <c r="H1985" t="inlineStr">
        <is>
          <t>Junio</t>
        </is>
      </c>
      <c r="I1985" t="inlineStr">
        <is>
          <t>2024-1</t>
        </is>
      </c>
      <c r="J1985" t="n">
        <v>100</v>
      </c>
      <c r="K1985" t="n">
        <v>118.6</v>
      </c>
      <c r="L1985" s="39">
        <f>IFERROR(IF(OR(J1985=0,K1985=""),"",IF(E1985="Positivo",MIN(MAX(K1985/J1985,0),1.3),MIN(MAX(J1985/K1985,0),1.3))),"") </f>
        <v/>
      </c>
      <c r="M1985" s="39">
        <f>IFERROR(IF(OR(J1985=0,K1985=""),"",IF(E1985="Positivo",MAX(K1985/J1985,0),MAX(J1985/K1985,0))),"") </f>
        <v/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394-2024-06-30</t>
        </is>
      </c>
    </row>
    <row r="1986" hidden="1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08" t="n">
        <v>45565</v>
      </c>
      <c r="G1986" t="n">
        <v>2024</v>
      </c>
      <c r="H1986" t="inlineStr">
        <is>
          <t>Septiembre</t>
        </is>
      </c>
      <c r="I1986" t="inlineStr">
        <is>
          <t>2024-2</t>
        </is>
      </c>
      <c r="J1986" t="n">
        <v>100</v>
      </c>
      <c r="K1986" t="n">
        <v>0</v>
      </c>
      <c r="L1986" s="39">
        <f>IFERROR(IF(OR(J1986=0,K1986=""),"",IF(E1986="Positivo",MIN(MAX(K1986/J1986,0),1.3),MIN(MAX(J1986/K1986,0),1.3))),"") </f>
        <v/>
      </c>
      <c r="M1986" s="39">
        <f>IFERROR(IF(OR(J1986=0,K1986=""),"",IF(E1986="Positivo",MAX(K1986/J1986,0),MAX(J1986/K1986,0))),"") </f>
        <v/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394-2024-09-30</t>
        </is>
      </c>
    </row>
    <row r="1987" hidden="1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08" t="n">
        <v>45657</v>
      </c>
      <c r="G1987" t="n">
        <v>2024</v>
      </c>
      <c r="H1987" t="inlineStr">
        <is>
          <t>Diciembre</t>
        </is>
      </c>
      <c r="I1987" t="inlineStr">
        <is>
          <t>2024-2</t>
        </is>
      </c>
      <c r="J1987" t="n">
        <v>100</v>
      </c>
      <c r="K1987" t="n">
        <v>192</v>
      </c>
      <c r="L1987" s="39">
        <f>IFERROR(IF(OR(J1987=0,K1987=""),"",IF(E1987="Positivo",MIN(MAX(K1987/J1987,0),1.3),MIN(MAX(J1987/K1987,0),1.3))),"") </f>
        <v/>
      </c>
      <c r="M1987" s="39">
        <f>IFERROR(IF(OR(J1987=0,K1987=""),"",IF(E1987="Positivo",MAX(K1987/J1987,0),MAX(J1987/K1987,0))),"") </f>
        <v/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394-2024-12-31</t>
        </is>
      </c>
    </row>
    <row r="1988" hidden="1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08" t="n">
        <v>45747</v>
      </c>
      <c r="G1988" t="n">
        <v>2025</v>
      </c>
      <c r="H1988" t="inlineStr">
        <is>
          <t>Marzo</t>
        </is>
      </c>
      <c r="I1988" t="inlineStr">
        <is>
          <t>2025-1</t>
        </is>
      </c>
      <c r="J1988" t="n">
        <v>100</v>
      </c>
      <c r="K1988" t="n">
        <v>227.5</v>
      </c>
      <c r="L1988" s="39">
        <f>IFERROR(IF(OR(J1988=0,K1988=""),"",IF(E1988="Positivo",MIN(MAX(K1988/J1988,0),1.3),MIN(MAX(J1988/K1988,0),1.3))),"") </f>
        <v/>
      </c>
      <c r="M1988" s="39">
        <f>IFERROR(IF(OR(J1988=0,K1988=""),"",IF(E1988="Positivo",MAX(K1988/J1988,0),MAX(J1988/K1988,0))),"") </f>
        <v/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394-2025-03-31</t>
        </is>
      </c>
    </row>
    <row r="1989" hidden="1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08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100</v>
      </c>
      <c r="K1989" t="n">
        <v>96.86</v>
      </c>
      <c r="L1989" s="39">
        <f>IFERROR(IF(OR(J1989=0,K1989=""),"",IF(E1989="Positivo",MIN(MAX(K1989/J1989,0),1.3),MIN(MAX(J1989/K1989,0),1.3))),"") </f>
        <v/>
      </c>
      <c r="M1989" s="39">
        <f>IFERROR(IF(OR(J1989=0,K1989=""),"",IF(E1989="Positivo",MAX(K1989/J1989,0),MAX(J1989/K1989,0))),"") </f>
        <v/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394-2025-06-30</t>
        </is>
      </c>
    </row>
    <row r="1990" hidden="1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08" t="n">
        <v>45930</v>
      </c>
      <c r="G1990" t="n">
        <v>2025</v>
      </c>
      <c r="H1990" t="inlineStr">
        <is>
          <t>Septiembre</t>
        </is>
      </c>
      <c r="I1990" t="inlineStr">
        <is>
          <t>2025-2</t>
        </is>
      </c>
      <c r="J1990" t="n">
        <v>100</v>
      </c>
      <c r="K1990" t="n">
        <v>91.70999999999999</v>
      </c>
      <c r="L1990" s="39">
        <f>IFERROR(IF(OR(J1990=0,K1990=""),"",IF(E1990="Positivo",MIN(MAX(K1990/J1990,0),1.3),MIN(MAX(J1990/K1990,0),1.3))),"") </f>
        <v/>
      </c>
      <c r="M1990" s="39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394-2025-09-30</t>
        </is>
      </c>
    </row>
    <row r="1991" hidden="1">
      <c r="A1991" t="n">
        <v>394</v>
      </c>
      <c r="B1991" t="inlineStr">
        <is>
          <t>Publicaciones en medios de comunicación Tier 1 y Tier 2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08" t="n">
        <v>46022</v>
      </c>
      <c r="G1991" t="n">
        <v>2025</v>
      </c>
      <c r="H1991" t="inlineStr">
        <is>
          <t>Diciembre</t>
        </is>
      </c>
      <c r="I1991" t="inlineStr">
        <is>
          <t>2025-2</t>
        </is>
      </c>
      <c r="J1991" t="n">
        <v>100</v>
      </c>
      <c r="K1991" t="n">
        <v>137.5</v>
      </c>
      <c r="L1991" s="39">
        <f>IFERROR(IF(OR(J1991=0,K1991=""),"",IF(E1991="Positivo",MIN(MAX(K1991/J1991,0),1.3),MIN(MAX(J1991/K1991,0),1.3))),"") </f>
        <v/>
      </c>
      <c r="M1991" s="3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394-2025-12-31</t>
        </is>
      </c>
    </row>
    <row r="1992" hidden="1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08" t="n">
        <v>45016</v>
      </c>
      <c r="G1992" t="n">
        <v>2023</v>
      </c>
      <c r="H1992" t="inlineStr">
        <is>
          <t>Marzo</t>
        </is>
      </c>
      <c r="I1992" t="inlineStr">
        <is>
          <t>2023-1</t>
        </is>
      </c>
      <c r="J1992" t="n">
        <v>100</v>
      </c>
      <c r="K1992" t="n">
        <v>0</v>
      </c>
      <c r="L1992" s="39">
        <f>IFERROR(IF(OR(J1992=0,K1992=""),"",IF(E1992="Positivo",MIN(MAX(K1992/J1992,0),1.3),MIN(MAX(J1992/K1992,0),1.3))),"") </f>
        <v/>
      </c>
      <c r="M1992" s="3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395-2023-03-31</t>
        </is>
      </c>
    </row>
    <row r="1993" hidden="1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08" t="n">
        <v>45107</v>
      </c>
      <c r="G1993" t="n">
        <v>2023</v>
      </c>
      <c r="H1993" t="inlineStr">
        <is>
          <t>Junio</t>
        </is>
      </c>
      <c r="I1993" t="inlineStr">
        <is>
          <t>2023-1</t>
        </is>
      </c>
      <c r="J1993" t="n">
        <v>100</v>
      </c>
      <c r="K1993" t="n">
        <v>294.11764705882</v>
      </c>
      <c r="L1993" s="39">
        <f>IFERROR(IF(OR(J1993=0,K1993=""),"",IF(E1993="Positivo",MIN(MAX(K1993/J1993,0),1.3),MIN(MAX(J1993/K1993,0),1.3))),"") </f>
        <v/>
      </c>
      <c r="M1993" s="3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395-2023-06-30</t>
        </is>
      </c>
    </row>
    <row r="1994" hidden="1">
      <c r="A1994" t="n">
        <v>395</v>
      </c>
      <c r="B1994" t="inlineStr">
        <is>
          <t>Publicaciones en medios de comunicación Tier 1 y Tier 2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08" t="n">
        <v>45291</v>
      </c>
      <c r="G1994" t="n">
        <v>2023</v>
      </c>
      <c r="H1994" t="inlineStr">
        <is>
          <t>Diciembre</t>
        </is>
      </c>
      <c r="I1994" t="inlineStr">
        <is>
          <t>2023-2</t>
        </is>
      </c>
      <c r="J1994" t="n">
        <v>100</v>
      </c>
      <c r="K1994" t="n">
        <v>266.67</v>
      </c>
      <c r="L1994" s="39">
        <f>IFERROR(IF(OR(J1994=0,K1994=""),"",IF(E1994="Positivo",MIN(MAX(K1994/J1994,0),1.3),MIN(MAX(J1994/K1994,0),1.3))),"") </f>
        <v/>
      </c>
      <c r="M1994" s="3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395-2023-12-31</t>
        </is>
      </c>
    </row>
    <row r="1995" hidden="1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08" t="n">
        <v>45382</v>
      </c>
      <c r="G1995" t="n">
        <v>2024</v>
      </c>
      <c r="H1995" t="inlineStr">
        <is>
          <t>Marzo</t>
        </is>
      </c>
      <c r="I1995" t="inlineStr">
        <is>
          <t>2024-1</t>
        </is>
      </c>
      <c r="J1995" t="n">
        <v>100</v>
      </c>
      <c r="K1995" t="n">
        <v>0</v>
      </c>
      <c r="L1995" s="39">
        <f>IFERROR(IF(OR(J1995=0,K1995=""),"",IF(E1995="Positivo",MIN(MAX(K1995/J1995,0),1.3),MIN(MAX(J1995/K1995,0),1.3))),"") </f>
        <v/>
      </c>
      <c r="M1995" s="3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395-2024-03-31</t>
        </is>
      </c>
    </row>
    <row r="1996" hidden="1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08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110</v>
      </c>
      <c r="L1996" s="39">
        <f>IFERROR(IF(OR(J1996=0,K1996=""),"",IF(E1996="Positivo",MIN(MAX(K1996/J1996,0),1.3),MIN(MAX(J1996/K1996,0),1.3))),"") </f>
        <v/>
      </c>
      <c r="M1996" s="3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395-2024-06-30</t>
        </is>
      </c>
    </row>
    <row r="1997" hidden="1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08" t="n">
        <v>45565</v>
      </c>
      <c r="G1997" t="n">
        <v>2024</v>
      </c>
      <c r="H1997" t="inlineStr">
        <is>
          <t>Septiembre</t>
        </is>
      </c>
      <c r="I1997" t="inlineStr">
        <is>
          <t>2024-2</t>
        </is>
      </c>
      <c r="J1997" t="n">
        <v>100</v>
      </c>
      <c r="K1997" t="n">
        <v>0</v>
      </c>
      <c r="L1997" s="39">
        <f>IFERROR(IF(OR(J1997=0,K1997=""),"",IF(E1997="Positivo",MIN(MAX(K1997/J1997,0),1.3),MIN(MAX(J1997/K1997,0),1.3))),"") </f>
        <v/>
      </c>
      <c r="M1997" s="3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395-2024-09-30</t>
        </is>
      </c>
    </row>
    <row r="1998" hidden="1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08" t="n">
        <v>45657</v>
      </c>
      <c r="G1998" t="n">
        <v>2024</v>
      </c>
      <c r="H1998" t="inlineStr">
        <is>
          <t>Diciembre</t>
        </is>
      </c>
      <c r="I1998" t="inlineStr">
        <is>
          <t>2024-2</t>
        </is>
      </c>
      <c r="J1998" t="n">
        <v>100</v>
      </c>
      <c r="K1998" t="n">
        <v>148.89</v>
      </c>
      <c r="L1998" s="39">
        <f>IFERROR(IF(OR(J1998=0,K1998=""),"",IF(E1998="Positivo",MIN(MAX(K1998/J1998,0),1.3),MIN(MAX(J1998/K1998,0),1.3))),"") </f>
        <v/>
      </c>
      <c r="M1998" s="3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395-2024-12-31</t>
        </is>
      </c>
    </row>
    <row r="1999" hidden="1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08" t="n">
        <v>45747</v>
      </c>
      <c r="G1999" t="n">
        <v>2025</v>
      </c>
      <c r="H1999" t="inlineStr">
        <is>
          <t>Marzo</t>
        </is>
      </c>
      <c r="I1999" t="inlineStr">
        <is>
          <t>2025-1</t>
        </is>
      </c>
      <c r="J1999" t="n">
        <v>100</v>
      </c>
      <c r="K1999" t="n">
        <v>291.43</v>
      </c>
      <c r="L1999" s="39">
        <f>IFERROR(IF(OR(J1999=0,K1999=""),"",IF(E1999="Positivo",MIN(MAX(K1999/J1999,0),1.3),MIN(MAX(J1999/K1999,0),1.3))),"") </f>
        <v/>
      </c>
      <c r="M1999" s="3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395-2025-03-31</t>
        </is>
      </c>
    </row>
    <row r="2000" hidden="1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08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161.82</v>
      </c>
      <c r="L2000" s="39">
        <f>IFERROR(IF(OR(J2000=0,K2000=""),"",IF(E2000="Positivo",MIN(MAX(K2000/J2000,0),1.3),MIN(MAX(J2000/K2000,0),1.3))),"") </f>
        <v/>
      </c>
      <c r="M2000" s="3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395-2025-06-30</t>
        </is>
      </c>
    </row>
    <row r="2001" hidden="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08" t="n">
        <v>45930</v>
      </c>
      <c r="G2001" t="n">
        <v>2025</v>
      </c>
      <c r="H2001" t="inlineStr">
        <is>
          <t>Septiembre</t>
        </is>
      </c>
      <c r="I2001" t="inlineStr">
        <is>
          <t>2025-2</t>
        </is>
      </c>
      <c r="J2001" t="n">
        <v>100</v>
      </c>
      <c r="K2001" t="n">
        <v>187.27</v>
      </c>
      <c r="L2001" s="39">
        <f>IFERROR(IF(OR(J2001=0,K2001=""),"",IF(E2001="Positivo",MIN(MAX(K2001/J2001,0),1.3),MIN(MAX(J2001/K2001,0),1.3))),"") </f>
        <v/>
      </c>
      <c r="M2001" s="3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395-2025-09-30</t>
        </is>
      </c>
    </row>
    <row r="2002" hidden="1">
      <c r="A2002" t="n">
        <v>395</v>
      </c>
      <c r="B2002" t="inlineStr">
        <is>
          <t>Publicaciones en medios de comunicación de la región Antioquia</t>
        </is>
      </c>
      <c r="C2002" t="inlineStr">
        <is>
          <t>Comunicaciones Externas</t>
        </is>
      </c>
      <c r="D2002" t="inlineStr">
        <is>
          <t>Semestral</t>
        </is>
      </c>
      <c r="E2002" t="inlineStr">
        <is>
          <t>Positivo</t>
        </is>
      </c>
      <c r="F2002" s="108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177.14</v>
      </c>
      <c r="L2002" s="39">
        <f>IFERROR(IF(OR(J2002=0,K2002=""),"",IF(E2002="Positivo",MIN(MAX(K2002/J2002,0),1.3),MIN(MAX(J2002/K2002,0),1.3))),"") </f>
        <v/>
      </c>
      <c r="M2002" s="3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395-2025-12-31</t>
        </is>
      </c>
    </row>
    <row r="2003" hidden="1">
      <c r="A2003" t="n">
        <v>396</v>
      </c>
      <c r="B2003" t="inlineStr">
        <is>
          <t>Publicaciones en el Campus Virtual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08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88.89</v>
      </c>
      <c r="L2003" s="39">
        <f>IFERROR(IF(OR(J2003=0,K2003=""),"",IF(E2003="Positivo",MIN(MAX(K2003/J2003,0),1.3),MIN(MAX(J2003/K2003,0),1.3))),"") </f>
        <v/>
      </c>
      <c r="M2003" s="3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396-2023-12-31</t>
        </is>
      </c>
    </row>
    <row r="2004" hidden="1">
      <c r="A2004" t="n">
        <v>396</v>
      </c>
      <c r="B2004" t="inlineStr">
        <is>
          <t>Publicaciones en el Campus Virtual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108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88.09999999999999</v>
      </c>
      <c r="L2004" s="39">
        <f>IFERROR(IF(OR(J2004=0,K2004=""),"",IF(E2004="Positivo",MIN(MAX(K2004/J2004,0),1.3),MIN(MAX(J2004/K2004,0),1.3))),"") </f>
        <v/>
      </c>
      <c r="M2004" s="3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DEC</t>
        </is>
      </c>
      <c r="P2004" t="n">
        <v>1</v>
      </c>
      <c r="Q2004" t="n">
        <v>1</v>
      </c>
      <c r="R2004" t="inlineStr">
        <is>
          <t>396-2024-06-30</t>
        </is>
      </c>
    </row>
    <row r="2005" hidden="1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08" t="n">
        <v>45107</v>
      </c>
      <c r="G2005" t="n">
        <v>2023</v>
      </c>
      <c r="H2005" t="inlineStr">
        <is>
          <t>Junio</t>
        </is>
      </c>
      <c r="I2005" t="inlineStr">
        <is>
          <t>2023-1</t>
        </is>
      </c>
      <c r="J2005" t="n">
        <v>80</v>
      </c>
      <c r="K2005" t="n">
        <v>91.071428571429</v>
      </c>
      <c r="L2005" s="39">
        <f>IFERROR(IF(OR(J2005=0,K2005=""),"",IF(E2005="Positivo",MIN(MAX(K2005/J2005,0),1.3),MIN(MAX(J2005/K2005,0),1.3))),"") </f>
        <v/>
      </c>
      <c r="M2005" s="39">
        <f>IFERROR(IF(OR(J2005=0,K2005=""),"",IF(E2005="Positivo",MAX(K2005/J2005,0),MAX(J2005/K2005,0))),"") 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397-2023-06-30</t>
        </is>
      </c>
    </row>
    <row r="2006" hidden="1">
      <c r="A2006" t="n">
        <v>397</v>
      </c>
      <c r="B2006" t="inlineStr">
        <is>
          <t>Gestión de casos del Estudio de Emisión</t>
        </is>
      </c>
      <c r="C2006" t="inlineStr">
        <is>
          <t>Gestión de campañas integradas de marketing</t>
        </is>
      </c>
      <c r="D2006" t="inlineStr">
        <is>
          <t>Semestral</t>
        </is>
      </c>
      <c r="E2006" t="inlineStr">
        <is>
          <t>Positivo</t>
        </is>
      </c>
      <c r="F2006" s="108" t="n">
        <v>45291</v>
      </c>
      <c r="G2006" t="n">
        <v>2023</v>
      </c>
      <c r="H2006" t="inlineStr">
        <is>
          <t>Diciembre</t>
        </is>
      </c>
      <c r="I2006" t="inlineStr">
        <is>
          <t>2023-2</t>
        </is>
      </c>
      <c r="J2006" t="n">
        <v>80</v>
      </c>
      <c r="K2006" t="n">
        <v>92.95999999999999</v>
      </c>
      <c r="L2006" s="39">
        <f>IFERROR(IF(OR(J2006=0,K2006=""),"",IF(E2006="Positivo",MIN(MAX(K2006/J2006,0),1.3),MIN(MAX(J2006/K2006,0),1.3))),"") </f>
        <v/>
      </c>
      <c r="M2006" s="39">
        <f>IFERROR(IF(OR(J2006=0,K2006=""),"",IF(E2006="Positivo",MAX(K2006/J2006,0),MAX(J2006/K2006,0))),"") 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  <c r="R2006" t="inlineStr">
        <is>
          <t>397-2023-12-31</t>
        </is>
      </c>
    </row>
    <row r="2007" hidden="1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08" t="n">
        <v>45473</v>
      </c>
      <c r="G2007" t="n">
        <v>2024</v>
      </c>
      <c r="H2007" t="inlineStr">
        <is>
          <t>Junio</t>
        </is>
      </c>
      <c r="I2007" t="inlineStr">
        <is>
          <t>2024-1</t>
        </is>
      </c>
      <c r="J2007" t="n">
        <v>80</v>
      </c>
      <c r="K2007" t="n">
        <v>88.08</v>
      </c>
      <c r="L2007" s="39">
        <f>IFERROR(IF(OR(J2007=0,K2007=""),"",IF(E2007="Positivo",MIN(MAX(K2007/J2007,0),1.3),MIN(MAX(J2007/K2007,0),1.3))),"") </f>
        <v/>
      </c>
      <c r="M2007" s="39">
        <f>IFERROR(IF(OR(J2007=0,K2007=""),"",IF(E2007="Positivo",MAX(K2007/J2007,0),MAX(J2007/K2007,0))),"") </f>
        <v/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397-2024-06-30</t>
        </is>
      </c>
    </row>
    <row r="2008" hidden="1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08" t="n">
        <v>45657</v>
      </c>
      <c r="G2008" t="n">
        <v>2024</v>
      </c>
      <c r="H2008" t="inlineStr">
        <is>
          <t>Diciembre</t>
        </is>
      </c>
      <c r="I2008" t="inlineStr">
        <is>
          <t>2024-2</t>
        </is>
      </c>
      <c r="J2008" t="n">
        <v>80</v>
      </c>
      <c r="K2008" t="n">
        <v>94.88</v>
      </c>
      <c r="L2008" s="39">
        <f>IFERROR(IF(OR(J2008=0,K2008=""),"",IF(E2008="Positivo",MIN(MAX(K2008/J2008,0),1.3),MIN(MAX(J2008/K2008,0),1.3))),"") </f>
        <v/>
      </c>
      <c r="M2008" s="39">
        <f>IFERROR(IF(OR(J2008=0,K2008=""),"",IF(E2008="Positivo",MAX(K2008/J2008,0),MAX(J2008/K2008,0))),"") </f>
        <v/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397-2024-12-31</t>
        </is>
      </c>
    </row>
    <row r="2009" hidden="1">
      <c r="A2009" t="n">
        <v>397</v>
      </c>
      <c r="B2009" t="inlineStr">
        <is>
          <t>Gestión de casos del Estudio de Emisión</t>
        </is>
      </c>
      <c r="C2009" t="inlineStr">
        <is>
          <t>Diseño de Contenido Virtual</t>
        </is>
      </c>
      <c r="D2009" t="inlineStr">
        <is>
          <t>Semestral</t>
        </is>
      </c>
      <c r="E2009" t="inlineStr">
        <is>
          <t>Positivo</t>
        </is>
      </c>
      <c r="F2009" s="108" t="n">
        <v>45838</v>
      </c>
      <c r="G2009" t="n">
        <v>2025</v>
      </c>
      <c r="H2009" t="inlineStr">
        <is>
          <t>Junio</t>
        </is>
      </c>
      <c r="I2009" t="inlineStr">
        <is>
          <t>2025-1</t>
        </is>
      </c>
      <c r="J2009" t="n">
        <v>90</v>
      </c>
      <c r="K2009" t="n">
        <v>95.26000000000001</v>
      </c>
      <c r="L2009" s="39">
        <f>IFERROR(IF(OR(J2009=0,K2009=""),"",IF(E2009="Positivo",MIN(MAX(K2009/J2009,0),1.3),MIN(MAX(J2009/K2009,0),1.3))),"") </f>
        <v/>
      </c>
      <c r="M2009" s="39">
        <f>IFERROR(IF(OR(J2009=0,K2009=""),"",IF(E2009="Positivo",MAX(K2009/J2009,0),MAX(J2009/K2009,0))),"") </f>
        <v/>
      </c>
      <c r="N2009" t="inlineStr">
        <is>
          <t>%</t>
        </is>
      </c>
      <c r="O2009" t="inlineStr">
        <is>
          <t>%</t>
        </is>
      </c>
      <c r="P2009" t="n">
        <v>1</v>
      </c>
      <c r="Q2009" t="n">
        <v>1</v>
      </c>
      <c r="R2009" t="inlineStr">
        <is>
          <t>397-2025-06-30</t>
        </is>
      </c>
    </row>
    <row r="2010" hidden="1">
      <c r="A2010" t="n">
        <v>397</v>
      </c>
      <c r="B2010" t="inlineStr">
        <is>
          <t>Gestión de casos del Estudio de Grabación Virtual</t>
        </is>
      </c>
      <c r="C2010" t="inlineStr">
        <is>
          <t>Diseño de Contenido Virtual</t>
        </is>
      </c>
      <c r="D2010" t="inlineStr">
        <is>
          <t>Trimestral</t>
        </is>
      </c>
      <c r="E2010" t="inlineStr">
        <is>
          <t>Positivo</t>
        </is>
      </c>
      <c r="F2010" s="108" t="n">
        <v>46022</v>
      </c>
      <c r="G2010" t="n">
        <v>2025</v>
      </c>
      <c r="H2010" t="inlineStr">
        <is>
          <t>Diciembre</t>
        </is>
      </c>
      <c r="I2010" t="inlineStr">
        <is>
          <t>2025-2</t>
        </is>
      </c>
      <c r="J2010" t="n">
        <v>90</v>
      </c>
      <c r="K2010" t="n">
        <v>96.14</v>
      </c>
      <c r="L2010" s="39">
        <f>IFERROR(IF(OR(J2010=0,K2010=""),"",IF(E2010="Positivo",MIN(MAX(K2010/J2010,0),1.3),MIN(MAX(J2010/K2010,0),1.3))),"") </f>
        <v/>
      </c>
      <c r="M2010" s="39">
        <f>IFERROR(IF(OR(J2010=0,K2010=""),"",IF(E2010="Positivo",MAX(K2010/J2010,0),MAX(J2010/K2010,0))),"") 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1</v>
      </c>
      <c r="R2010" t="inlineStr">
        <is>
          <t>397-2025-12-31</t>
        </is>
      </c>
    </row>
    <row r="2011" hidden="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08" t="n">
        <v>45107</v>
      </c>
      <c r="G2011" t="n">
        <v>2023</v>
      </c>
      <c r="H2011" t="inlineStr">
        <is>
          <t>Junio</t>
        </is>
      </c>
      <c r="I2011" t="inlineStr">
        <is>
          <t>2023-1</t>
        </is>
      </c>
      <c r="J2011" t="n">
        <v>100</v>
      </c>
      <c r="K2011" t="n">
        <v>256.8</v>
      </c>
      <c r="L2011" s="39">
        <f>IFERROR(IF(OR(J2011=0,K2011=""),"",IF(E2011="Positivo",MIN(MAX(K2011/J2011,0),1.3),MIN(MAX(J2011/K2011,0),1.3))),"") </f>
        <v/>
      </c>
      <c r="M2011" s="3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398-2023-06-30</t>
        </is>
      </c>
    </row>
    <row r="2012" hidden="1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08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J2012" t="n">
        <v>100</v>
      </c>
      <c r="K2012" t="n">
        <v>234.4</v>
      </c>
      <c r="L2012" s="39">
        <f>IFERROR(IF(OR(J2012=0,K2012=""),"",IF(E2012="Positivo",MIN(MAX(K2012/J2012,0),1.3),MIN(MAX(J2012/K2012,0),1.3))),"") </f>
        <v/>
      </c>
      <c r="M2012" s="3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398-2023-12-31</t>
        </is>
      </c>
    </row>
    <row r="2013" hidden="1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08" t="n">
        <v>45473</v>
      </c>
      <c r="G2013" t="n">
        <v>2024</v>
      </c>
      <c r="H2013" t="inlineStr">
        <is>
          <t>Junio</t>
        </is>
      </c>
      <c r="I2013" t="inlineStr">
        <is>
          <t>2024-1</t>
        </is>
      </c>
      <c r="J2013" t="n">
        <v>100</v>
      </c>
      <c r="K2013" t="n">
        <v>283.92</v>
      </c>
      <c r="L2013" s="39">
        <f>IFERROR(IF(OR(J2013=0,K2013=""),"",IF(E2013="Positivo",MIN(MAX(K2013/J2013,0),1.3),MIN(MAX(J2013/K2013,0),1.3))),"") </f>
        <v/>
      </c>
      <c r="M2013" s="3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398-2024-06-30</t>
        </is>
      </c>
    </row>
    <row r="2014" hidden="1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08" t="n">
        <v>45657</v>
      </c>
      <c r="G2014" t="n">
        <v>2024</v>
      </c>
      <c r="H2014" t="inlineStr">
        <is>
          <t>Diciembre</t>
        </is>
      </c>
      <c r="I2014" t="inlineStr">
        <is>
          <t>2024-2</t>
        </is>
      </c>
      <c r="J2014" t="n">
        <v>100</v>
      </c>
      <c r="K2014" t="n">
        <v>160</v>
      </c>
      <c r="L2014" s="39">
        <f>IFERROR(IF(OR(J2014=0,K2014=""),"",IF(E2014="Positivo",MIN(MAX(K2014/J2014,0),1.3),MIN(MAX(J2014/K2014,0),1.3))),"") </f>
        <v/>
      </c>
      <c r="M2014" s="3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398-2024-12-31</t>
        </is>
      </c>
    </row>
    <row r="2015" hidden="1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108" t="n">
        <v>45838</v>
      </c>
      <c r="G2015" t="n">
        <v>2025</v>
      </c>
      <c r="H2015" t="inlineStr">
        <is>
          <t>Junio</t>
        </is>
      </c>
      <c r="I2015" t="inlineStr">
        <is>
          <t>2025-1</t>
        </is>
      </c>
      <c r="J2015" t="n">
        <v>100</v>
      </c>
      <c r="K2015" t="n">
        <v>159.5</v>
      </c>
      <c r="L2015" s="39">
        <f>IFERROR(IF(OR(J2015=0,K2015=""),"",IF(E2015="Positivo",MIN(MAX(K2015/J2015,0),1.3),MIN(MAX(J2015/K2015,0),1.3))),"") </f>
        <v/>
      </c>
      <c r="M2015" s="39">
        <f>IFERROR(IF(OR(J2015=0,K2015=""),"",IF(E2015="Positivo",MAX(K2015/J2015,0),MAX(J2015/K2015,0))),"") </f>
        <v/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398-2025-06-30</t>
        </is>
      </c>
    </row>
    <row r="2016" hidden="1">
      <c r="A2016" t="n">
        <v>398</v>
      </c>
      <c r="B2016" t="inlineStr">
        <is>
          <t>Participación en actividades de desarrollo de Cultura y Formación Emprendedora</t>
        </is>
      </c>
      <c r="C2016" t="inlineStr">
        <is>
          <t>Emprendimiento</t>
        </is>
      </c>
      <c r="D2016" t="inlineStr">
        <is>
          <t>Trimestral</t>
        </is>
      </c>
      <c r="E2016" t="inlineStr">
        <is>
          <t>Positivo</t>
        </is>
      </c>
      <c r="F2016" s="108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J2016" t="n">
        <v>100</v>
      </c>
      <c r="K2016" t="n">
        <v>168.71</v>
      </c>
      <c r="L2016" s="39">
        <f>IFERROR(IF(OR(J2016=0,K2016=""),"",IF(E2016="Positivo",MIN(MAX(K2016/J2016,0),1.3),MIN(MAX(J2016/K2016,0),1.3))),"") </f>
        <v/>
      </c>
      <c r="M2016" s="39">
        <f>IFERROR(IF(OR(J2016=0,K2016=""),"",IF(E2016="Positivo",MAX(K2016/J2016,0),MAX(J2016/K2016,0))),"") </f>
        <v/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398-2025-12-31</t>
        </is>
      </c>
    </row>
    <row r="2017" hidden="1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08" t="n">
        <v>45107</v>
      </c>
      <c r="G2017" t="n">
        <v>2023</v>
      </c>
      <c r="H2017" t="inlineStr">
        <is>
          <t>Junio</t>
        </is>
      </c>
      <c r="I2017" t="inlineStr">
        <is>
          <t>2023-1</t>
        </is>
      </c>
      <c r="J2017" t="n">
        <v>100</v>
      </c>
      <c r="K2017" t="n">
        <v>117.8</v>
      </c>
      <c r="L2017" s="39">
        <f>IFERROR(IF(OR(J2017=0,K2017=""),"",IF(E2017="Positivo",MIN(MAX(K2017/J2017,0),1.3),MIN(MAX(J2017/K2017,0),1.3))),"") </f>
        <v/>
      </c>
      <c r="M2017" s="39">
        <f>IFERROR(IF(OR(J2017=0,K2017=""),"",IF(E2017="Positivo",MAX(K2017/J2017,0),MAX(J2017/K2017,0))),"") </f>
        <v/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399-2023-06-30</t>
        </is>
      </c>
    </row>
    <row r="2018" hidden="1">
      <c r="A2018" t="n">
        <v>399</v>
      </c>
      <c r="B2018" t="inlineStr">
        <is>
          <t>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08" t="n">
        <v>45291</v>
      </c>
      <c r="G2018" t="n">
        <v>2023</v>
      </c>
      <c r="H2018" t="inlineStr">
        <is>
          <t>Diciembre</t>
        </is>
      </c>
      <c r="I2018" t="inlineStr">
        <is>
          <t>2023-2</t>
        </is>
      </c>
      <c r="J2018" t="n">
        <v>100</v>
      </c>
      <c r="K2018" t="n">
        <v>149</v>
      </c>
      <c r="L2018" s="39">
        <f>IFERROR(IF(OR(J2018=0,K2018=""),"",IF(E2018="Positivo",MIN(MAX(K2018/J2018,0),1.3),MIN(MAX(J2018/K2018,0),1.3))),"") </f>
        <v/>
      </c>
      <c r="M2018" s="39">
        <f>IFERROR(IF(OR(J2018=0,K2018=""),"",IF(E2018="Positivo",MAX(K2018/J2018,0),MAX(J2018/K2018,0))),"") </f>
        <v/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399-2023-12-31</t>
        </is>
      </c>
    </row>
    <row r="2019" hidden="1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08" t="n">
        <v>45473</v>
      </c>
      <c r="G2019" t="n">
        <v>2024</v>
      </c>
      <c r="H2019" t="inlineStr">
        <is>
          <t>Junio</t>
        </is>
      </c>
      <c r="I2019" t="inlineStr">
        <is>
          <t>2024-1</t>
        </is>
      </c>
      <c r="J2019" t="n">
        <v>100</v>
      </c>
      <c r="K2019" t="n">
        <v>111.36</v>
      </c>
      <c r="L2019" s="39">
        <f>IFERROR(IF(OR(J2019=0,K2019=""),"",IF(E2019="Positivo",MIN(MAX(K2019/J2019,0),1.3),MIN(MAX(J2019/K2019,0),1.3))),"") </f>
        <v/>
      </c>
      <c r="M2019" s="39">
        <f>IFERROR(IF(OR(J2019=0,K2019=""),"",IF(E2019="Positivo",MAX(K2019/J2019,0),MAX(J2019/K2019,0))),"") </f>
        <v/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399-2024-06-30</t>
        </is>
      </c>
    </row>
    <row r="2020" hidden="1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08" t="n">
        <v>45657</v>
      </c>
      <c r="G2020" t="n">
        <v>2024</v>
      </c>
      <c r="H2020" t="inlineStr">
        <is>
          <t>Diciembre</t>
        </is>
      </c>
      <c r="I2020" t="inlineStr">
        <is>
          <t>2024-2</t>
        </is>
      </c>
      <c r="J2020" t="n">
        <v>100</v>
      </c>
      <c r="K2020" t="n">
        <v>111.36</v>
      </c>
      <c r="L2020" s="39">
        <f>IFERROR(IF(OR(J2020=0,K2020=""),"",IF(E2020="Positivo",MIN(MAX(K2020/J2020,0),1.3),MIN(MAX(J2020/K2020,0),1.3))),"") </f>
        <v/>
      </c>
      <c r="M2020" s="39">
        <f>IFERROR(IF(OR(J2020=0,K2020=""),"",IF(E2020="Positivo",MAX(K2020/J2020,0),MAX(J2020/K2020,0))),"") </f>
        <v/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399-2024-12-31</t>
        </is>
      </c>
    </row>
    <row r="2021" hidden="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108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n">
        <v>100</v>
      </c>
      <c r="K2021" t="n">
        <v>102.93</v>
      </c>
      <c r="L2021" s="39">
        <f>IFERROR(IF(OR(J2021=0,K2021=""),"",IF(E2021="Positivo",MIN(MAX(K2021/J2021,0),1.3),MIN(MAX(J2021/K2021,0),1.3))),"") </f>
        <v/>
      </c>
      <c r="M2021" s="39">
        <f>IFERROR(IF(OR(J2021=0,K2021=""),"",IF(E2021="Positivo",MAX(K2021/J2021,0),MAX(J2021/K2021,0))),"") </f>
        <v/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399-2025-06-30</t>
        </is>
      </c>
    </row>
    <row r="2022" hidden="1">
      <c r="A2022" t="n">
        <v>399</v>
      </c>
      <c r="B2022" t="inlineStr">
        <is>
          <t>Sesiones de Acompañamiento a emprendedores en creación de empresas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08" t="n">
        <v>46022</v>
      </c>
      <c r="G2022" t="n">
        <v>2025</v>
      </c>
      <c r="H2022" t="inlineStr">
        <is>
          <t>Diciembre</t>
        </is>
      </c>
      <c r="I2022" t="inlineStr">
        <is>
          <t>2025-2</t>
        </is>
      </c>
      <c r="J2022" t="n">
        <v>100</v>
      </c>
      <c r="K2022" t="n">
        <v>106.13</v>
      </c>
      <c r="L2022" s="39">
        <f>IFERROR(IF(OR(J2022=0,K2022=""),"",IF(E2022="Positivo",MIN(MAX(K2022/J2022,0),1.3),MIN(MAX(J2022/K2022,0),1.3))),"") </f>
        <v/>
      </c>
      <c r="M2022" s="39">
        <f>IFERROR(IF(OR(J2022=0,K2022=""),"",IF(E2022="Positivo",MAX(K2022/J2022,0),MAX(J2022/K2022,0))),"") </f>
        <v/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399-2025-12-31</t>
        </is>
      </c>
    </row>
    <row r="2023" hidden="1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08" t="n">
        <v>45107</v>
      </c>
      <c r="G2023" t="n">
        <v>2023</v>
      </c>
      <c r="H2023" t="inlineStr">
        <is>
          <t>Junio</t>
        </is>
      </c>
      <c r="I2023" t="inlineStr">
        <is>
          <t>2023-1</t>
        </is>
      </c>
      <c r="J2023" t="n">
        <v>100</v>
      </c>
      <c r="K2023" t="n">
        <v>220</v>
      </c>
      <c r="L2023" s="39">
        <f>IFERROR(IF(OR(J2023=0,K2023=""),"",IF(E2023="Positivo",MIN(MAX(K2023/J2023,0),1.3),MIN(MAX(J2023/K2023,0),1.3))),"") </f>
        <v/>
      </c>
      <c r="M2023" s="39">
        <f>IFERROR(IF(OR(J2023=0,K2023=""),"",IF(E2023="Positivo",MAX(K2023/J2023,0),MAX(J2023/K2023,0))),"") </f>
        <v/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400-2023-06-30</t>
        </is>
      </c>
    </row>
    <row r="2024" hidden="1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08" t="n">
        <v>45291</v>
      </c>
      <c r="G2024" t="n">
        <v>2023</v>
      </c>
      <c r="H2024" t="inlineStr">
        <is>
          <t>Diciembre</t>
        </is>
      </c>
      <c r="I2024" t="inlineStr">
        <is>
          <t>2023-2</t>
        </is>
      </c>
      <c r="J2024" t="n">
        <v>100</v>
      </c>
      <c r="K2024" t="n">
        <v>282.86</v>
      </c>
      <c r="L2024" s="39">
        <f>IFERROR(IF(OR(J2024=0,K2024=""),"",IF(E2024="Positivo",MIN(MAX(K2024/J2024,0),1.3),MIN(MAX(J2024/K2024,0),1.3))),"") </f>
        <v/>
      </c>
      <c r="M2024" s="39">
        <f>IFERROR(IF(OR(J2024=0,K2024=""),"",IF(E2024="Positivo",MAX(K2024/J2024,0),MAX(J2024/K2024,0))),"") </f>
        <v/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400-2023-12-31</t>
        </is>
      </c>
    </row>
    <row r="2025" hidden="1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08" t="n">
        <v>45473</v>
      </c>
      <c r="G2025" t="n">
        <v>2024</v>
      </c>
      <c r="H2025" t="inlineStr">
        <is>
          <t>Junio</t>
        </is>
      </c>
      <c r="I2025" t="inlineStr">
        <is>
          <t>2024-1</t>
        </is>
      </c>
      <c r="J2025" t="n">
        <v>100</v>
      </c>
      <c r="K2025" t="n">
        <v>270.45</v>
      </c>
      <c r="L2025" s="39">
        <f>IFERROR(IF(OR(J2025=0,K2025=""),"",IF(E2025="Positivo",MIN(MAX(K2025/J2025,0),1.3),MIN(MAX(J2025/K2025,0),1.3))),"") </f>
        <v/>
      </c>
      <c r="M2025" s="39">
        <f>IFERROR(IF(OR(J2025=0,K2025=""),"",IF(E2025="Positivo",MAX(K2025/J2025,0),MAX(J2025/K2025,0))),"") </f>
        <v/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400-2024-06-30</t>
        </is>
      </c>
    </row>
    <row r="2026" hidden="1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08" t="n">
        <v>45657</v>
      </c>
      <c r="G2026" t="n">
        <v>2024</v>
      </c>
      <c r="H2026" t="inlineStr">
        <is>
          <t>Diciembre</t>
        </is>
      </c>
      <c r="I2026" t="inlineStr">
        <is>
          <t>2024-2</t>
        </is>
      </c>
      <c r="J2026" t="n">
        <v>100</v>
      </c>
      <c r="K2026" t="n">
        <v>397.73</v>
      </c>
      <c r="L2026" s="39">
        <f>IFERROR(IF(OR(J2026=0,K2026=""),"",IF(E2026="Positivo",MIN(MAX(K2026/J2026,0),1.3),MIN(MAX(J2026/K2026,0),1.3))),"") </f>
        <v/>
      </c>
      <c r="M2026" s="39">
        <f>IFERROR(IF(OR(J2026=0,K2026=""),"",IF(E2026="Positivo",MAX(K2026/J2026,0),MAX(J2026/K2026,0))),"") </f>
        <v/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400-2024-12-31</t>
        </is>
      </c>
    </row>
    <row r="2027" hidden="1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Semestral</t>
        </is>
      </c>
      <c r="E2027" t="inlineStr">
        <is>
          <t>Positivo</t>
        </is>
      </c>
      <c r="F2027" s="108" t="n">
        <v>45838</v>
      </c>
      <c r="G2027" t="n">
        <v>2025</v>
      </c>
      <c r="H2027" t="inlineStr">
        <is>
          <t>Junio</t>
        </is>
      </c>
      <c r="I2027" t="inlineStr">
        <is>
          <t>2025-1</t>
        </is>
      </c>
      <c r="J2027" t="n">
        <v>100</v>
      </c>
      <c r="K2027" t="n">
        <v>123</v>
      </c>
      <c r="L2027" s="39">
        <f>IFERROR(IF(OR(J2027=0,K2027=""),"",IF(E2027="Positivo",MIN(MAX(K2027/J2027,0),1.3),MIN(MAX(J2027/K2027,0),1.3))),"") </f>
        <v/>
      </c>
      <c r="M2027" s="39">
        <f>IFERROR(IF(OR(J2027=0,K2027=""),"",IF(E2027="Positivo",MAX(K2027/J2027,0),MAX(J2027/K2027,0))),"") </f>
        <v/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400-2025-06-30</t>
        </is>
      </c>
    </row>
    <row r="2028" hidden="1">
      <c r="A2028" t="n">
        <v>400</v>
      </c>
      <c r="B2028" t="inlineStr">
        <is>
          <t>Puesta en marcha de proyectos de emprendimiento</t>
        </is>
      </c>
      <c r="C2028" t="inlineStr">
        <is>
          <t>Emprendimiento</t>
        </is>
      </c>
      <c r="D2028" t="inlineStr">
        <is>
          <t>Trimestral</t>
        </is>
      </c>
      <c r="E2028" t="inlineStr">
        <is>
          <t>Positivo</t>
        </is>
      </c>
      <c r="F2028" s="108" t="n">
        <v>46022</v>
      </c>
      <c r="G2028" t="n">
        <v>2025</v>
      </c>
      <c r="H2028" t="inlineStr">
        <is>
          <t>Diciembre</t>
        </is>
      </c>
      <c r="I2028" t="inlineStr">
        <is>
          <t>2025-2</t>
        </is>
      </c>
      <c r="J2028" t="n">
        <v>100</v>
      </c>
      <c r="K2028" t="n">
        <v>127.14</v>
      </c>
      <c r="L2028" s="39">
        <f>IFERROR(IF(OR(J2028=0,K2028=""),"",IF(E2028="Positivo",MIN(MAX(K2028/J2028,0),1.3),MIN(MAX(J2028/K2028,0),1.3))),"") </f>
        <v/>
      </c>
      <c r="M2028" s="39">
        <f>IFERROR(IF(OR(J2028=0,K2028=""),"",IF(E2028="Positivo",MAX(K2028/J2028,0),MAX(J2028/K2028,0))),"") </f>
        <v/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400-2025-12-31</t>
        </is>
      </c>
    </row>
    <row r="2029" hidden="1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08" t="n">
        <v>45107</v>
      </c>
      <c r="G2029" t="n">
        <v>2023</v>
      </c>
      <c r="H2029" t="inlineStr">
        <is>
          <t>Junio</t>
        </is>
      </c>
      <c r="I2029" t="inlineStr">
        <is>
          <t>2023-1</t>
        </is>
      </c>
      <c r="J2029" t="n">
        <v>90</v>
      </c>
      <c r="K2029" t="n">
        <v>87.5</v>
      </c>
      <c r="L2029" s="39">
        <f>IFERROR(IF(OR(J2029=0,K2029=""),"",IF(E2029="Positivo",MIN(MAX(K2029/J2029,0),1.3),MIN(MAX(J2029/K2029,0),1.3))),"") </f>
        <v/>
      </c>
      <c r="M2029" s="39">
        <f>IFERROR(IF(OR(J2029=0,K2029=""),"",IF(E2029="Positivo",MAX(K2029/J2029,0),MAX(J2029/K2029,0))),"") </f>
        <v/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401-2023-06-30</t>
        </is>
      </c>
    </row>
    <row r="2030" hidden="1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08" t="n">
        <v>45291</v>
      </c>
      <c r="G2030" t="n">
        <v>2023</v>
      </c>
      <c r="H2030" t="inlineStr">
        <is>
          <t>Diciembre</t>
        </is>
      </c>
      <c r="I2030" t="inlineStr">
        <is>
          <t>2023-2</t>
        </is>
      </c>
      <c r="J2030" t="n">
        <v>90</v>
      </c>
      <c r="K2030" t="n">
        <v>125</v>
      </c>
      <c r="L2030" s="39">
        <f>IFERROR(IF(OR(J2030=0,K2030=""),"",IF(E2030="Positivo",MIN(MAX(K2030/J2030,0),1.3),MIN(MAX(J2030/K2030,0),1.3))),"") </f>
        <v/>
      </c>
      <c r="M2030" s="39">
        <f>IFERROR(IF(OR(J2030=0,K2030=""),"",IF(E2030="Positivo",MAX(K2030/J2030,0),MAX(J2030/K2030,0))),"") </f>
        <v/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401-2023-12-31</t>
        </is>
      </c>
    </row>
    <row r="2031" hidden="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08" t="n">
        <v>45473</v>
      </c>
      <c r="G2031" t="n">
        <v>2024</v>
      </c>
      <c r="H2031" t="inlineStr">
        <is>
          <t>Junio</t>
        </is>
      </c>
      <c r="I2031" t="inlineStr">
        <is>
          <t>2024-1</t>
        </is>
      </c>
      <c r="J2031" t="n">
        <v>90</v>
      </c>
      <c r="K2031" t="n">
        <v>112.5</v>
      </c>
      <c r="L2031" s="39">
        <f>IFERROR(IF(OR(J2031=0,K2031=""),"",IF(E2031="Positivo",MIN(MAX(K2031/J2031,0),1.3),MIN(MAX(J2031/K2031,0),1.3))),"") </f>
        <v/>
      </c>
      <c r="M2031" s="39">
        <f>IFERROR(IF(OR(J2031=0,K2031=""),"",IF(E2031="Positivo",MAX(K2031/J2031,0),MAX(J2031/K2031,0))),"") </f>
        <v/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401-2024-06-30</t>
        </is>
      </c>
    </row>
    <row r="2032" hidden="1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08" t="n">
        <v>45657</v>
      </c>
      <c r="G2032" t="n">
        <v>2024</v>
      </c>
      <c r="H2032" t="inlineStr">
        <is>
          <t>Diciembre</t>
        </is>
      </c>
      <c r="I2032" t="inlineStr">
        <is>
          <t>2024-2</t>
        </is>
      </c>
      <c r="J2032" t="n">
        <v>90</v>
      </c>
      <c r="K2032" t="n">
        <v>100</v>
      </c>
      <c r="L2032" s="39">
        <f>IFERROR(IF(OR(J2032=0,K2032=""),"",IF(E2032="Positivo",MIN(MAX(K2032/J2032,0),1.3),MIN(MAX(J2032/K2032,0),1.3))),"") </f>
        <v/>
      </c>
      <c r="M2032" s="39">
        <f>IFERROR(IF(OR(J2032=0,K2032=""),"",IF(E2032="Positivo",MAX(K2032/J2032,0),MAX(J2032/K2032,0))),"") </f>
        <v/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401-2024-12-31</t>
        </is>
      </c>
    </row>
    <row r="2033" hidden="1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Semestral</t>
        </is>
      </c>
      <c r="E2033" t="inlineStr">
        <is>
          <t>Positivo</t>
        </is>
      </c>
      <c r="F2033" s="108" t="n">
        <v>45838</v>
      </c>
      <c r="G2033" t="n">
        <v>2025</v>
      </c>
      <c r="H2033" t="inlineStr">
        <is>
          <t>Junio</t>
        </is>
      </c>
      <c r="I2033" t="inlineStr">
        <is>
          <t>2025-1</t>
        </is>
      </c>
      <c r="J2033" t="n">
        <v>100</v>
      </c>
      <c r="K2033" t="n">
        <v>100</v>
      </c>
      <c r="L2033" s="39">
        <f>IFERROR(IF(OR(J2033=0,K2033=""),"",IF(E2033="Positivo",MIN(MAX(K2033/J2033,0),1.3),MIN(MAX(J2033/K2033,0),1.3))),"") </f>
        <v/>
      </c>
      <c r="M2033" s="3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401-2025-06-30</t>
        </is>
      </c>
    </row>
    <row r="2034" hidden="1">
      <c r="A2034" t="n">
        <v>401</v>
      </c>
      <c r="B2034" t="inlineStr">
        <is>
          <t>Producción de nuevos MI-Books</t>
        </is>
      </c>
      <c r="C2034" t="inlineStr">
        <is>
          <t>LEI</t>
        </is>
      </c>
      <c r="D2034" t="inlineStr">
        <is>
          <t>Trimestral</t>
        </is>
      </c>
      <c r="E2034" t="inlineStr">
        <is>
          <t>Positivo</t>
        </is>
      </c>
      <c r="F2034" s="108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J2034" t="n">
        <v>100</v>
      </c>
      <c r="K2034" t="n">
        <v>100</v>
      </c>
      <c r="L2034" s="39">
        <f>IFERROR(IF(OR(J2034=0,K2034=""),"",IF(E2034="Positivo",MIN(MAX(K2034/J2034,0),1.3),MIN(MAX(J2034/K2034,0),1.3))),"") </f>
        <v/>
      </c>
      <c r="M2034" s="39">
        <f>IFERROR(IF(OR(J2034=0,K2034=""),"",IF(E2034="Positivo",MAX(K2034/J2034,0),MAX(J2034/K2034,0))),"") </f>
        <v/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401-2025-12-31</t>
        </is>
      </c>
    </row>
    <row r="2035" hidden="1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08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K2035" t="n">
        <v>21000</v>
      </c>
      <c r="L2035" s="39" t="n"/>
      <c r="M2035" s="39" t="n"/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402-2023-12-31</t>
        </is>
      </c>
    </row>
    <row r="2036" hidden="1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08" t="n">
        <v>45657</v>
      </c>
      <c r="G2036" t="n">
        <v>2024</v>
      </c>
      <c r="H2036" t="inlineStr">
        <is>
          <t>Diciembre</t>
        </is>
      </c>
      <c r="I2036" t="inlineStr">
        <is>
          <t>2024-2</t>
        </is>
      </c>
      <c r="J2036" t="n">
        <v>3</v>
      </c>
      <c r="K2036" t="n">
        <v>4.76</v>
      </c>
      <c r="L2036" s="39">
        <f>IFERROR(IF(OR(J2036=0,K2036=""),"",IF(E2036="Positivo",MIN(MAX(K2036/J2036,0),1.3),MIN(MAX(J2036/K2036,0),1.3))),"") </f>
        <v/>
      </c>
      <c r="M2036" s="39">
        <f>IFERROR(IF(OR(J2036=0,K2036=""),"",IF(E2036="Positivo",MAX(K2036/J2036,0),MAX(J2036/K2036,0))),"") </f>
        <v/>
      </c>
      <c r="P2036" t="n">
        <v>0</v>
      </c>
      <c r="Q2036" t="n">
        <v>0</v>
      </c>
      <c r="R2036" t="inlineStr">
        <is>
          <t>402-2024-12-31</t>
        </is>
      </c>
    </row>
    <row r="2037" hidden="1">
      <c r="A2037" t="n">
        <v>402</v>
      </c>
      <c r="B2037" t="inlineStr">
        <is>
          <t>Informe anual de consulta de MI-Books</t>
        </is>
      </c>
      <c r="C2037" t="inlineStr">
        <is>
          <t>LEI</t>
        </is>
      </c>
      <c r="D2037" t="inlineStr">
        <is>
          <t>Anual</t>
        </is>
      </c>
      <c r="E2037" t="inlineStr">
        <is>
          <t>Positivo</t>
        </is>
      </c>
      <c r="F2037" s="108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K2037" t="n">
        <v>22.73</v>
      </c>
      <c r="L2037" s="39" t="n"/>
      <c r="M2037" s="39" t="n"/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402-2025-12-31</t>
        </is>
      </c>
    </row>
    <row r="2038" hidden="1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08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K2038" t="n">
        <v>14370</v>
      </c>
      <c r="L2038" s="39" t="n"/>
      <c r="M2038" s="3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403-2023-06-30</t>
        </is>
      </c>
    </row>
    <row r="2039" hidden="1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08" t="n">
        <v>45291</v>
      </c>
      <c r="G2039" t="n">
        <v>2023</v>
      </c>
      <c r="H2039" t="inlineStr">
        <is>
          <t>Diciembre</t>
        </is>
      </c>
      <c r="I2039" t="inlineStr">
        <is>
          <t>2023-2</t>
        </is>
      </c>
      <c r="K2039" t="n">
        <v>28639</v>
      </c>
      <c r="L2039" s="39" t="n"/>
      <c r="M2039" s="3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403-2023-12-31</t>
        </is>
      </c>
    </row>
    <row r="2040" hidden="1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08" t="n">
        <v>45473</v>
      </c>
      <c r="G2040" t="n">
        <v>2024</v>
      </c>
      <c r="H2040" t="inlineStr">
        <is>
          <t>Junio</t>
        </is>
      </c>
      <c r="I2040" t="inlineStr">
        <is>
          <t>2024-1</t>
        </is>
      </c>
      <c r="K2040" t="n">
        <v>14923</v>
      </c>
      <c r="L2040" s="39" t="n"/>
      <c r="M2040" s="3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403-2024-06-30</t>
        </is>
      </c>
    </row>
    <row r="2041" hidden="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08" t="n">
        <v>45657</v>
      </c>
      <c r="G2041" t="n">
        <v>2024</v>
      </c>
      <c r="H2041" t="inlineStr">
        <is>
          <t>Diciembre</t>
        </is>
      </c>
      <c r="I2041" t="inlineStr">
        <is>
          <t>2024-2</t>
        </is>
      </c>
      <c r="K2041" t="n">
        <v>14495</v>
      </c>
      <c r="L2041" s="39" t="n"/>
      <c r="M2041" s="3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403-2024-12-31</t>
        </is>
      </c>
    </row>
    <row r="2042" hidden="1">
      <c r="A2042" t="n">
        <v>403</v>
      </c>
      <c r="B2042" t="inlineStr">
        <is>
          <t>Número de estudiantes que ha realizado la simulación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Positivo</t>
        </is>
      </c>
      <c r="F2042" s="108" t="n">
        <v>45838</v>
      </c>
      <c r="G2042" t="n">
        <v>2025</v>
      </c>
      <c r="H2042" t="inlineStr">
        <is>
          <t>Junio</t>
        </is>
      </c>
      <c r="I2042" t="inlineStr">
        <is>
          <t>2025-1</t>
        </is>
      </c>
      <c r="K2042" t="n">
        <v>14410</v>
      </c>
      <c r="L2042" s="39" t="n"/>
      <c r="M2042" s="3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403-2025-06-30</t>
        </is>
      </c>
    </row>
    <row r="2043" hidden="1">
      <c r="A2043" t="n">
        <v>403</v>
      </c>
      <c r="B2043" t="inlineStr">
        <is>
          <t>Número de estudiantes que ha realizado la simulación (Metrica)</t>
        </is>
      </c>
      <c r="C2043" t="inlineStr">
        <is>
          <t>LEI</t>
        </is>
      </c>
      <c r="D2043" t="inlineStr">
        <is>
          <t>Trimestral</t>
        </is>
      </c>
      <c r="E2043" t="inlineStr">
        <is>
          <t>Positivo</t>
        </is>
      </c>
      <c r="F2043" s="108" t="n">
        <v>46022</v>
      </c>
      <c r="G2043" t="n">
        <v>2025</v>
      </c>
      <c r="H2043" t="inlineStr">
        <is>
          <t>Diciembre</t>
        </is>
      </c>
      <c r="I2043" t="inlineStr">
        <is>
          <t>2025-2</t>
        </is>
      </c>
      <c r="K2043" t="n">
        <v>12510</v>
      </c>
      <c r="L2043" s="39" t="n"/>
      <c r="M2043" s="39" t="n"/>
      <c r="N2043" t="inlineStr">
        <is>
          <t>Metrica</t>
        </is>
      </c>
      <c r="O2043" t="inlineStr">
        <is>
          <t>ENT</t>
        </is>
      </c>
      <c r="P2043" t="n">
        <v>0</v>
      </c>
      <c r="Q2043" t="n">
        <v>0</v>
      </c>
      <c r="R2043" t="inlineStr">
        <is>
          <t>403-2025-12-31</t>
        </is>
      </c>
      <c r="S2043" t="inlineStr">
        <is>
          <t>Metrica</t>
        </is>
      </c>
    </row>
    <row r="2044" hidden="1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08" t="n">
        <v>45107</v>
      </c>
      <c r="G2044" t="n">
        <v>2023</v>
      </c>
      <c r="H2044" t="inlineStr">
        <is>
          <t>Junio</t>
        </is>
      </c>
      <c r="I2044" t="inlineStr">
        <is>
          <t>2023-1</t>
        </is>
      </c>
      <c r="J2044" t="n">
        <v>20</v>
      </c>
      <c r="K2044" t="n">
        <v>2</v>
      </c>
      <c r="L2044" s="39">
        <f>IFERROR(IF(OR(J2044=0,K2044=""),"",IF(E2044="Positivo",MIN(MAX(K2044/J2044,0),1.3),MIN(MAX(J2044/K2044,0),1.3))),"") </f>
        <v/>
      </c>
      <c r="M2044" s="39">
        <f>IFERROR(IF(OR(J2044=0,K2044=""),"",IF(E2044="Positivo",MAX(K2044/J2044,0),MAX(J2044/K2044,0))),"") </f>
        <v/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404-2023-06-30</t>
        </is>
      </c>
    </row>
    <row r="2045" hidden="1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08" t="n">
        <v>45291</v>
      </c>
      <c r="G2045" t="n">
        <v>2023</v>
      </c>
      <c r="H2045" t="inlineStr">
        <is>
          <t>Diciembre</t>
        </is>
      </c>
      <c r="I2045" t="inlineStr">
        <is>
          <t>2023-2</t>
        </is>
      </c>
      <c r="J2045" t="n">
        <v>20</v>
      </c>
      <c r="K2045" t="n">
        <v>1.31</v>
      </c>
      <c r="L2045" s="39">
        <f>IFERROR(IF(OR(J2045=0,K2045=""),"",IF(E2045="Positivo",MIN(MAX(K2045/J2045,0),1.3),MIN(MAX(J2045/K2045,0),1.3))),"") </f>
        <v/>
      </c>
      <c r="M2045" s="39">
        <f>IFERROR(IF(OR(J2045=0,K2045=""),"",IF(E2045="Positivo",MAX(K2045/J2045,0),MAX(J2045/K2045,0))),"") </f>
        <v/>
      </c>
      <c r="N2045" t="n">
        <v>0</v>
      </c>
      <c r="O2045" t="inlineStr">
        <is>
          <t>ENT</t>
        </is>
      </c>
      <c r="P2045" t="n">
        <v>0</v>
      </c>
      <c r="Q2045" t="n">
        <v>0</v>
      </c>
      <c r="R2045" t="inlineStr">
        <is>
          <t>404-2023-12-31</t>
        </is>
      </c>
    </row>
    <row r="2046" hidden="1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08" t="n">
        <v>45473</v>
      </c>
      <c r="G2046" t="n">
        <v>2024</v>
      </c>
      <c r="H2046" t="inlineStr">
        <is>
          <t>Junio</t>
        </is>
      </c>
      <c r="I2046" t="inlineStr">
        <is>
          <t>2024-1</t>
        </is>
      </c>
      <c r="J2046" t="n">
        <v>10</v>
      </c>
      <c r="K2046" t="n">
        <v>5.85</v>
      </c>
      <c r="L2046" s="39">
        <f>IFERROR(IF(OR(J2046=0,K2046=""),"",IF(E2046="Positivo",MIN(MAX(K2046/J2046,0),1.3),MIN(MAX(J2046/K2046,0),1.3))),"") </f>
        <v/>
      </c>
      <c r="M2046" s="3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404-2024-06-30</t>
        </is>
      </c>
    </row>
    <row r="2047" hidden="1">
      <c r="A2047" t="n">
        <v>404</v>
      </c>
      <c r="B2047" t="inlineStr">
        <is>
          <t>Casos presentados y solucionados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Negativo</t>
        </is>
      </c>
      <c r="F2047" s="108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10</v>
      </c>
      <c r="K2047" t="n">
        <v>6.02</v>
      </c>
      <c r="L2047" s="39">
        <f>IFERROR(IF(OR(J2047=0,K2047=""),"",IF(E2047="Positivo",MIN(MAX(K2047/J2047,0),1.3),MIN(MAX(J2047/K2047,0),1.3))),"") </f>
        <v/>
      </c>
      <c r="M2047" s="3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404-2024-12-31</t>
        </is>
      </c>
    </row>
    <row r="2048" hidden="1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08" t="n">
        <v>45107</v>
      </c>
      <c r="G2048" t="n">
        <v>2023</v>
      </c>
      <c r="H2048" t="inlineStr">
        <is>
          <t>Junio</t>
        </is>
      </c>
      <c r="I2048" t="inlineStr">
        <is>
          <t>2023-1</t>
        </is>
      </c>
      <c r="J2048" t="n">
        <v>25</v>
      </c>
      <c r="K2048" t="n">
        <v>30</v>
      </c>
      <c r="L2048" s="39">
        <f>IFERROR(IF(OR(J2048=0,K2048=""),"",IF(E2048="Positivo",MIN(MAX(K2048/J2048,0),1.3),MIN(MAX(J2048/K2048,0),1.3))),"") </f>
        <v/>
      </c>
      <c r="M2048" s="3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405-2023-06-30</t>
        </is>
      </c>
    </row>
    <row r="2049" hidden="1">
      <c r="A2049" t="n">
        <v>405</v>
      </c>
      <c r="B2049" t="inlineStr">
        <is>
          <t>Avance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08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50</v>
      </c>
      <c r="K2049" t="n">
        <v>62</v>
      </c>
      <c r="L2049" s="39">
        <f>IFERROR(IF(OR(J2049=0,K2049=""),"",IF(E2049="Positivo",MIN(MAX(K2049/J2049,0),1.3),MIN(MAX(J2049/K2049,0),1.3))),"") </f>
        <v/>
      </c>
      <c r="M2049" s="39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405-2023-12-31</t>
        </is>
      </c>
    </row>
    <row r="2050" hidden="1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08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100</v>
      </c>
      <c r="K2050" t="n">
        <v>92</v>
      </c>
      <c r="L2050" s="39">
        <f>IFERROR(IF(OR(J2050=0,K2050=""),"",IF(E2050="Positivo",MIN(MAX(K2050/J2050,0),1.3),MIN(MAX(J2050/K2050,0),1.3))),"") </f>
        <v/>
      </c>
      <c r="M2050" s="3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405-2024-06-30</t>
        </is>
      </c>
    </row>
    <row r="2051" hidden="1">
      <c r="A2051" t="n">
        <v>405</v>
      </c>
      <c r="B2051" t="inlineStr">
        <is>
          <t>Proyecto de reingenieria y arquitectura de software LEI</t>
        </is>
      </c>
      <c r="C2051" t="inlineStr">
        <is>
          <t>LEI</t>
        </is>
      </c>
      <c r="D2051" t="inlineStr">
        <is>
          <t>Semestral</t>
        </is>
      </c>
      <c r="E2051" t="inlineStr">
        <is>
          <t>Positivo</t>
        </is>
      </c>
      <c r="F2051" s="108" t="n">
        <v>45657</v>
      </c>
      <c r="G2051" t="n">
        <v>2024</v>
      </c>
      <c r="H2051" t="inlineStr">
        <is>
          <t>Diciembre</t>
        </is>
      </c>
      <c r="I2051" t="inlineStr">
        <is>
          <t>2024-2</t>
        </is>
      </c>
      <c r="J2051" t="n">
        <v>100</v>
      </c>
      <c r="K2051" t="n">
        <v>98</v>
      </c>
      <c r="L2051" s="39">
        <f>IFERROR(IF(OR(J2051=0,K2051=""),"",IF(E2051="Positivo",MIN(MAX(K2051/J2051,0),1.3),MIN(MAX(J2051/K2051,0),1.3))),"") </f>
        <v/>
      </c>
      <c r="M2051" s="3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405-2024-12-31</t>
        </is>
      </c>
    </row>
    <row r="2052" hidden="1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08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5</v>
      </c>
      <c r="K2052" t="n">
        <v>5</v>
      </c>
      <c r="L2052" s="39">
        <f>IFERROR(IF(OR(J2052=0,K2052=""),"",IF(E2052="Positivo",MIN(MAX(K2052/J2052,0),1.3),MIN(MAX(J2052/K2052,0),1.3))),"") </f>
        <v/>
      </c>
      <c r="M2052" s="3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406-2023-12-31</t>
        </is>
      </c>
    </row>
    <row r="2053" hidden="1">
      <c r="A2053" t="n">
        <v>406</v>
      </c>
      <c r="B2053" t="inlineStr">
        <is>
          <t>Programas con condiciones iniciales aprobadas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08" t="n">
        <v>45473</v>
      </c>
      <c r="G2053" t="n">
        <v>2024</v>
      </c>
      <c r="H2053" t="inlineStr">
        <is>
          <t>Junio</t>
        </is>
      </c>
      <c r="I2053" t="inlineStr">
        <is>
          <t>2024-1</t>
        </is>
      </c>
      <c r="J2053" t="n">
        <v>0</v>
      </c>
      <c r="K2053" t="n">
        <v>3</v>
      </c>
      <c r="L2053" s="39">
        <f>IFERROR(IF(OR(J2053=0,K2053=""),"",IF(E2053="Positivo",MIN(MAX(K2053/J2053,0),1.3),MIN(MAX(J2053/K2053,0),1.3))),"") </f>
        <v/>
      </c>
      <c r="M2053" s="39">
        <f>IFERROR(IF(OR(J2053=0,K2053=""),"",IF(E2053="Positivo",MAX(K2053/J2053,0),MAX(J2053/K2053,0))),"") </f>
        <v/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406-2024-06-30</t>
        </is>
      </c>
    </row>
    <row r="2054" hidden="1">
      <c r="A2054" t="n">
        <v>407</v>
      </c>
      <c r="B2054" t="inlineStr">
        <is>
          <t>Programas 1ra fase de condiciones iniciales radicadas por facultad</t>
        </is>
      </c>
      <c r="C2054" t="inlineStr">
        <is>
          <t>Creación, modificación y cierre de programas académicos</t>
        </is>
      </c>
      <c r="D2054" t="inlineStr">
        <is>
          <t>Semestral</t>
        </is>
      </c>
      <c r="E2054" t="inlineStr">
        <is>
          <t>Positivo</t>
        </is>
      </c>
      <c r="F2054" s="108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J2054" t="n">
        <v>3</v>
      </c>
      <c r="K2054" t="n">
        <v>3</v>
      </c>
      <c r="L2054" s="39">
        <f>IFERROR(IF(OR(J2054=0,K2054=""),"",IF(E2054="Positivo",MIN(MAX(K2054/J2054,0),1.3),MIN(MAX(J2054/K2054,0),1.3))),"") </f>
        <v/>
      </c>
      <c r="M2054" s="39">
        <f>IFERROR(IF(OR(J2054=0,K2054=""),"",IF(E2054="Positivo",MAX(K2054/J2054,0),MAX(J2054/K2054,0))),"") </f>
        <v/>
      </c>
      <c r="N2054" t="inlineStr">
        <is>
          <t>ENT</t>
        </is>
      </c>
      <c r="O2054" t="inlineStr">
        <is>
          <t>ENT</t>
        </is>
      </c>
      <c r="P2054" t="n">
        <v>0</v>
      </c>
      <c r="Q2054" t="n">
        <v>0</v>
      </c>
      <c r="R2054" t="inlineStr">
        <is>
          <t>407-2023-12-31</t>
        </is>
      </c>
    </row>
    <row r="2055" hidden="1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Trimestral</t>
        </is>
      </c>
      <c r="E2055" t="inlineStr">
        <is>
          <t>Positivo</t>
        </is>
      </c>
      <c r="F2055" s="108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L2055" s="39" t="n"/>
      <c r="M2055" s="39" t="n"/>
      <c r="N2055" t="inlineStr">
        <is>
          <t>ENT</t>
        </is>
      </c>
      <c r="O2055" t="inlineStr">
        <is>
          <t>No Aplica</t>
        </is>
      </c>
      <c r="P2055" t="n">
        <v>0</v>
      </c>
      <c r="Q2055" t="n">
        <v>0</v>
      </c>
      <c r="R2055" t="inlineStr">
        <is>
          <t>408-2023-06-30</t>
        </is>
      </c>
      <c r="S2055" t="inlineStr">
        <is>
          <t>No Aplica</t>
        </is>
      </c>
    </row>
    <row r="2056" hidden="1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Semestral</t>
        </is>
      </c>
      <c r="E2056" t="inlineStr">
        <is>
          <t>Positivo</t>
        </is>
      </c>
      <c r="F2056" s="108" t="n">
        <v>45291</v>
      </c>
      <c r="G2056" t="n">
        <v>2023</v>
      </c>
      <c r="H2056" t="inlineStr">
        <is>
          <t>Diciembre</t>
        </is>
      </c>
      <c r="I2056" t="inlineStr">
        <is>
          <t>2023-2</t>
        </is>
      </c>
      <c r="J2056" t="n">
        <v>100</v>
      </c>
      <c r="K2056" t="n">
        <v>100</v>
      </c>
      <c r="L2056" s="39">
        <f>IFERROR(IF(OR(J2056=0,K2056=""),"",IF(E2056="Positivo",MIN(MAX(K2056/J2056,0),1.3),MIN(MAX(J2056/K2056,0),1.3))),"") </f>
        <v/>
      </c>
      <c r="M2056" s="39">
        <f>IFERROR(IF(OR(J2056=0,K2056=""),"",IF(E2056="Positivo",MAX(K2056/J2056,0),MAX(J2056/K2056,0))),"") </f>
        <v/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408-2023-12-31</t>
        </is>
      </c>
    </row>
    <row r="2057" hidden="1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108" t="n">
        <v>45473</v>
      </c>
      <c r="G2057" t="n">
        <v>2024</v>
      </c>
      <c r="H2057" t="inlineStr">
        <is>
          <t>Junio</t>
        </is>
      </c>
      <c r="I2057" t="inlineStr">
        <is>
          <t>2024-1</t>
        </is>
      </c>
      <c r="J2057" t="n">
        <v>100</v>
      </c>
      <c r="L2057" s="39" t="n"/>
      <c r="M2057" s="39" t="n"/>
      <c r="N2057" t="inlineStr">
        <is>
          <t>ENT</t>
        </is>
      </c>
      <c r="O2057" t="inlineStr">
        <is>
          <t>No Aplica</t>
        </is>
      </c>
      <c r="P2057" t="n">
        <v>0</v>
      </c>
      <c r="Q2057" t="n">
        <v>0</v>
      </c>
      <c r="R2057" t="inlineStr">
        <is>
          <t>408-2024-06-30</t>
        </is>
      </c>
      <c r="S2057" t="inlineStr">
        <is>
          <t>No Aplica</t>
        </is>
      </c>
    </row>
    <row r="2058" hidden="1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Semestral</t>
        </is>
      </c>
      <c r="E2058" t="inlineStr">
        <is>
          <t>Positivo</t>
        </is>
      </c>
      <c r="F2058" s="108" t="n">
        <v>45657</v>
      </c>
      <c r="G2058" t="n">
        <v>2024</v>
      </c>
      <c r="H2058" t="inlineStr">
        <is>
          <t>Diciembre</t>
        </is>
      </c>
      <c r="I2058" t="inlineStr">
        <is>
          <t>2024-2</t>
        </is>
      </c>
      <c r="J2058" t="n">
        <v>100</v>
      </c>
      <c r="K2058" t="n">
        <v>100</v>
      </c>
      <c r="L2058" s="39">
        <f>IFERROR(IF(OR(J2058=0,K2058=""),"",IF(E2058="Positivo",MIN(MAX(K2058/J2058,0),1.3),MIN(MAX(J2058/K2058,0),1.3))),"") </f>
        <v/>
      </c>
      <c r="M2058" s="39">
        <f>IFERROR(IF(OR(J2058=0,K2058=""),"",IF(E2058="Positivo",MAX(K2058/J2058,0),MAX(J2058/K2058,0))),"") </f>
        <v/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408-2024-12-31</t>
        </is>
      </c>
    </row>
    <row r="2059" hidden="1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08" t="n">
        <v>45838</v>
      </c>
      <c r="G2059" t="n">
        <v>2025</v>
      </c>
      <c r="H2059" t="inlineStr">
        <is>
          <t>Junio</t>
        </is>
      </c>
      <c r="I2059" t="inlineStr">
        <is>
          <t>2025-1</t>
        </is>
      </c>
      <c r="J2059" t="n">
        <v>100</v>
      </c>
      <c r="K2059" t="n">
        <v>100</v>
      </c>
      <c r="L2059" s="39">
        <f>IFERROR(IF(OR(J2059=0,K2059=""),"",IF(E2059="Positivo",MIN(MAX(K2059/J2059,0),1.3),MIN(MAX(J2059/K2059,0),1.3))),"") </f>
        <v/>
      </c>
      <c r="M2059" s="39">
        <f>IFERROR(IF(OR(J2059=0,K2059=""),"",IF(E2059="Positivo",MAX(K2059/J2059,0),MAX(J2059/K2059,0))),"") </f>
        <v/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408-2025-06-30</t>
        </is>
      </c>
    </row>
    <row r="2060" hidden="1">
      <c r="A2060" t="n">
        <v>408</v>
      </c>
      <c r="B2060" t="inlineStr">
        <is>
          <t>Programas nuevos radicados por facultad</t>
        </is>
      </c>
      <c r="C2060" t="inlineStr">
        <is>
          <t>Creación, modificación y cierre de programas académicos</t>
        </is>
      </c>
      <c r="D2060" t="inlineStr">
        <is>
          <t>Trimestral</t>
        </is>
      </c>
      <c r="E2060" t="inlineStr">
        <is>
          <t>Positivo</t>
        </is>
      </c>
      <c r="F2060" s="108" t="n">
        <v>46022</v>
      </c>
      <c r="G2060" t="n">
        <v>2025</v>
      </c>
      <c r="H2060" t="inlineStr">
        <is>
          <t>Diciembre</t>
        </is>
      </c>
      <c r="I2060" t="inlineStr">
        <is>
          <t>2025-2</t>
        </is>
      </c>
      <c r="J2060" t="n">
        <v>100</v>
      </c>
      <c r="K2060" t="n">
        <v>100</v>
      </c>
      <c r="L2060" s="39">
        <f>IFERROR(IF(OR(J2060=0,K2060=""),"",IF(E2060="Positivo",MIN(MAX(K2060/J2060,0),1.3),MIN(MAX(J2060/K2060,0),1.3))),"") </f>
        <v/>
      </c>
      <c r="M2060" s="39">
        <f>IFERROR(IF(OR(J2060=0,K2060=""),"",IF(E2060="Positivo",MAX(K2060/J2060,0),MAX(J2060/K2060,0))),"") </f>
        <v/>
      </c>
      <c r="N2060" t="inlineStr">
        <is>
          <t>ENT</t>
        </is>
      </c>
      <c r="O2060" t="inlineStr">
        <is>
          <t>ENT</t>
        </is>
      </c>
      <c r="P2060" t="n">
        <v>0</v>
      </c>
      <c r="Q2060" t="n">
        <v>0</v>
      </c>
      <c r="R2060" t="inlineStr">
        <is>
          <t>408-2025-12-31</t>
        </is>
      </c>
    </row>
    <row r="2061" hidden="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Semestral</t>
        </is>
      </c>
      <c r="E2061" t="inlineStr">
        <is>
          <t>Positivo</t>
        </is>
      </c>
      <c r="F2061" s="108" t="n">
        <v>45107</v>
      </c>
      <c r="G2061" t="n">
        <v>2023</v>
      </c>
      <c r="H2061" t="inlineStr">
        <is>
          <t>Junio</t>
        </is>
      </c>
      <c r="I2061" t="inlineStr">
        <is>
          <t>2023-1</t>
        </is>
      </c>
      <c r="L2061" s="39" t="n"/>
      <c r="M2061" s="39" t="n"/>
      <c r="N2061" t="inlineStr">
        <is>
          <t>%</t>
        </is>
      </c>
      <c r="O2061" t="inlineStr">
        <is>
          <t>No Aplica</t>
        </is>
      </c>
      <c r="P2061" t="n">
        <v>0</v>
      </c>
      <c r="Q2061" t="n">
        <v>0</v>
      </c>
      <c r="R2061" t="inlineStr">
        <is>
          <t>409-2023-06-30</t>
        </is>
      </c>
      <c r="S2061" t="inlineStr">
        <is>
          <t>No Aplica</t>
        </is>
      </c>
    </row>
    <row r="2062" hidden="1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08" t="n">
        <v>45199</v>
      </c>
      <c r="G2062" t="n">
        <v>2023</v>
      </c>
      <c r="H2062" t="inlineStr">
        <is>
          <t>Septiembre</t>
        </is>
      </c>
      <c r="I2062" t="inlineStr">
        <is>
          <t>2023-2</t>
        </is>
      </c>
      <c r="J2062" t="n">
        <v>80</v>
      </c>
      <c r="K2062" t="n">
        <v>103.7188545927854</v>
      </c>
      <c r="L2062" s="39">
        <f>IFERROR(IF(OR(J2062=0,K2062=""),"",IF(E2062="Positivo",MIN(MAX(K2062/J2062,0),1.3),MIN(MAX(J2062/K2062,0),1.3))),"") </f>
        <v/>
      </c>
      <c r="M2062" s="39">
        <f>IFERROR(IF(OR(J2062=0,K2062=""),"",IF(E2062="Positivo",MAX(K2062/J2062,0),MAX(J2062/K2062,0))),"") </f>
        <v/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409-2023-09-30</t>
        </is>
      </c>
    </row>
    <row r="2063" hidden="1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08" t="n">
        <v>45291</v>
      </c>
      <c r="G2063" t="n">
        <v>2023</v>
      </c>
      <c r="H2063" t="inlineStr">
        <is>
          <t>Diciembre</t>
        </is>
      </c>
      <c r="I2063" t="inlineStr">
        <is>
          <t>2023-2</t>
        </is>
      </c>
      <c r="J2063" t="n">
        <v>80</v>
      </c>
      <c r="K2063" t="n">
        <v>100</v>
      </c>
      <c r="L2063" s="39">
        <f>IFERROR(IF(OR(J2063=0,K2063=""),"",IF(E2063="Positivo",MIN(MAX(K2063/J2063,0),1.3),MIN(MAX(J2063/K2063,0),1.3))),"") </f>
        <v/>
      </c>
      <c r="M2063" s="39">
        <f>IFERROR(IF(OR(J2063=0,K2063=""),"",IF(E2063="Positivo",MAX(K2063/J2063,0),MAX(J2063/K2063,0))),"") </f>
        <v/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409-2023-12-31</t>
        </is>
      </c>
    </row>
    <row r="2064" hidden="1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08" t="n">
        <v>45382</v>
      </c>
      <c r="G2064" t="n">
        <v>2024</v>
      </c>
      <c r="H2064" t="inlineStr">
        <is>
          <t>Marzo</t>
        </is>
      </c>
      <c r="I2064" t="inlineStr">
        <is>
          <t>2024-1</t>
        </is>
      </c>
      <c r="J2064" t="n">
        <v>95</v>
      </c>
      <c r="K2064" t="n">
        <v>98.0225988700565</v>
      </c>
      <c r="L2064" s="39">
        <f>IFERROR(IF(OR(J2064=0,K2064=""),"",IF(E2064="Positivo",MIN(MAX(K2064/J2064,0),1.3),MIN(MAX(J2064/K2064,0),1.3))),"") </f>
        <v/>
      </c>
      <c r="M2064" s="39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409-2024-03-31</t>
        </is>
      </c>
    </row>
    <row r="2065" hidden="1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08" t="n">
        <v>45473</v>
      </c>
      <c r="G2065" t="n">
        <v>2024</v>
      </c>
      <c r="H2065" t="inlineStr">
        <is>
          <t>Junio</t>
        </is>
      </c>
      <c r="I2065" t="inlineStr">
        <is>
          <t>2024-1</t>
        </is>
      </c>
      <c r="J2065" t="n">
        <v>95</v>
      </c>
      <c r="K2065" t="n">
        <v>98.49624060150376</v>
      </c>
      <c r="L2065" s="39">
        <f>IFERROR(IF(OR(J2065=0,K2065=""),"",IF(E2065="Positivo",MIN(MAX(K2065/J2065,0),1.3),MIN(MAX(J2065/K2065,0),1.3))),"") </f>
        <v/>
      </c>
      <c r="M2065" s="3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409-2024-06-30</t>
        </is>
      </c>
    </row>
    <row r="2066" hidden="1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08" t="n">
        <v>45565</v>
      </c>
      <c r="G2066" t="n">
        <v>2024</v>
      </c>
      <c r="H2066" t="inlineStr">
        <is>
          <t>Septiembre</t>
        </is>
      </c>
      <c r="I2066" t="inlineStr">
        <is>
          <t>2024-2</t>
        </is>
      </c>
      <c r="J2066" t="n">
        <v>95</v>
      </c>
      <c r="K2066" t="n">
        <v>97.12230215827336</v>
      </c>
      <c r="L2066" s="39">
        <f>IFERROR(IF(OR(J2066=0,K2066=""),"",IF(E2066="Positivo",MIN(MAX(K2066/J2066,0),1.3),MIN(MAX(J2066/K2066,0),1.3))),"") </f>
        <v/>
      </c>
      <c r="M2066" s="3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409-2024-09-30</t>
        </is>
      </c>
    </row>
    <row r="2067" hidden="1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108" t="n">
        <v>45657</v>
      </c>
      <c r="G2067" t="n">
        <v>2024</v>
      </c>
      <c r="H2067" t="inlineStr">
        <is>
          <t>Diciembre</t>
        </is>
      </c>
      <c r="I2067" t="inlineStr">
        <is>
          <t>2024-2</t>
        </is>
      </c>
      <c r="J2067" t="n">
        <v>95</v>
      </c>
      <c r="K2067" t="n">
        <v>96.45732689210948</v>
      </c>
      <c r="L2067" s="39">
        <f>IFERROR(IF(OR(J2067=0,K2067=""),"",IF(E2067="Positivo",MIN(MAX(K2067/J2067,0),1.3),MIN(MAX(J2067/K2067,0),1.3))),"") </f>
        <v/>
      </c>
      <c r="M2067" s="3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409-2024-12-31</t>
        </is>
      </c>
    </row>
    <row r="2068" hidden="1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08" t="n">
        <v>45747</v>
      </c>
      <c r="G2068" t="n">
        <v>2025</v>
      </c>
      <c r="H2068" t="inlineStr">
        <is>
          <t>Marzo</t>
        </is>
      </c>
      <c r="I2068" t="inlineStr">
        <is>
          <t>2025-1</t>
        </is>
      </c>
      <c r="J2068" t="n">
        <v>95</v>
      </c>
      <c r="K2068" t="n">
        <v>100</v>
      </c>
      <c r="L2068" s="39">
        <f>IFERROR(IF(OR(J2068=0,K2068=""),"",IF(E2068="Positivo",MIN(MAX(K2068/J2068,0),1.3),MIN(MAX(J2068/K2068,0),1.3))),"") </f>
        <v/>
      </c>
      <c r="M2068" s="3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409-2025-03-31</t>
        </is>
      </c>
    </row>
    <row r="2069" hidden="1">
      <c r="A2069" t="n">
        <v>409</v>
      </c>
      <c r="B2069" t="inlineStr">
        <is>
          <t>Oportunidad en tiempo de envios</t>
        </is>
      </c>
      <c r="C2069" t="inlineStr">
        <is>
          <t>GESTIÓN JURÍDICA Y NORMATIVA</t>
        </is>
      </c>
      <c r="D2069" t="inlineStr">
        <is>
          <t>Semestral</t>
        </is>
      </c>
      <c r="E2069" t="inlineStr">
        <is>
          <t>Positivo</t>
        </is>
      </c>
      <c r="F2069" s="108" t="n">
        <v>45838</v>
      </c>
      <c r="G2069" t="n">
        <v>2025</v>
      </c>
      <c r="H2069" t="inlineStr">
        <is>
          <t>Junio</t>
        </is>
      </c>
      <c r="I2069" t="inlineStr">
        <is>
          <t>2025-1</t>
        </is>
      </c>
      <c r="J2069" t="n">
        <v>95</v>
      </c>
      <c r="L2069" s="39" t="n"/>
      <c r="M2069" s="39" t="n"/>
      <c r="N2069" t="inlineStr">
        <is>
          <t>%</t>
        </is>
      </c>
      <c r="O2069" t="inlineStr">
        <is>
          <t>No Aplica</t>
        </is>
      </c>
      <c r="P2069" t="n">
        <v>0</v>
      </c>
      <c r="Q2069" t="n">
        <v>0</v>
      </c>
      <c r="R2069" t="inlineStr">
        <is>
          <t>409-2025-06-30</t>
        </is>
      </c>
      <c r="S2069" t="inlineStr">
        <is>
          <t>No Aplica</t>
        </is>
      </c>
    </row>
    <row r="2070" hidden="1">
      <c r="A2070" t="n">
        <v>410</v>
      </c>
      <c r="B2070" t="inlineStr">
        <is>
          <t>Solicitudes de gestión documental</t>
        </is>
      </c>
      <c r="C2070" t="inlineStr">
        <is>
          <t>GESTIÓN JURÍDICA Y NORMATIVA</t>
        </is>
      </c>
      <c r="D2070" t="inlineStr">
        <is>
          <t>Trimestral</t>
        </is>
      </c>
      <c r="E2070" t="inlineStr">
        <is>
          <t>Positivo</t>
        </is>
      </c>
      <c r="F2070" s="108" t="n">
        <v>45199</v>
      </c>
      <c r="G2070" t="n">
        <v>2023</v>
      </c>
      <c r="H2070" t="inlineStr">
        <is>
          <t>Septiembre</t>
        </is>
      </c>
      <c r="I2070" t="inlineStr">
        <is>
          <t>2023-2</t>
        </is>
      </c>
      <c r="J2070" t="n">
        <v>90</v>
      </c>
      <c r="K2070" t="n">
        <v>90.31</v>
      </c>
      <c r="L2070" s="39">
        <f>IFERROR(IF(OR(J2070=0,K2070=""),"",IF(E2070="Positivo",MIN(MAX(K2070/J2070,0),1.3),MIN(MAX(J2070/K2070,0),1.3))),"") </f>
        <v/>
      </c>
      <c r="M2070" s="39">
        <f>IFERROR(IF(OR(J2070=0,K2070=""),"",IF(E2070="Positivo",MAX(K2070/J2070,0),MAX(J2070/K2070,0))),"") </f>
        <v/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410-2023-09-30</t>
        </is>
      </c>
    </row>
    <row r="2071" hidden="1">
      <c r="A2071" t="n">
        <v>411</v>
      </c>
      <c r="B2071" t="inlineStr">
        <is>
          <t>Cumplimiento Planes De Relacionamiento</t>
        </is>
      </c>
      <c r="C2071" t="inlineStr">
        <is>
          <t>Comunicaciones Externas</t>
        </is>
      </c>
      <c r="D2071" t="inlineStr">
        <is>
          <t>Semestral</t>
        </is>
      </c>
      <c r="E2071" t="inlineStr">
        <is>
          <t>Positivo</t>
        </is>
      </c>
      <c r="F2071" s="108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39">
        <f>IFERROR(IF(OR(J2071=0,K2071=""),"",IF(E2071="Positivo",MIN(MAX(K2071/J2071,0),1.3),MIN(MAX(J2071/K2071,0),1.3))),"") </f>
        <v/>
      </c>
      <c r="M2071" s="39">
        <f>IFERROR(IF(OR(J2071=0,K2071=""),"",IF(E2071="Positivo",MAX(K2071/J2071,0),MAX(J2071/K2071,0))),"") </f>
        <v/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411-2023-12-31</t>
        </is>
      </c>
    </row>
    <row r="2072" hidden="1">
      <c r="A2072" t="n">
        <v>412</v>
      </c>
      <c r="B2072" t="inlineStr">
        <is>
          <t>Participaciones en 2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08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100</v>
      </c>
      <c r="L2072" s="39">
        <f>IFERROR(IF(OR(J2072=0,K2072=""),"",IF(E2072="Positivo",MIN(MAX(K2072/J2072,0),1.3),MIN(MAX(J2072/K2072,0),1.3))),"") </f>
        <v/>
      </c>
      <c r="M2072" s="39">
        <f>IFERROR(IF(OR(J2072=0,K2072=""),"",IF(E2072="Positivo",MAX(K2072/J2072,0),MAX(J2072/K2072,0))),"") </f>
        <v/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412-2023-12-31</t>
        </is>
      </c>
    </row>
    <row r="2073" hidden="1">
      <c r="A2073" t="n">
        <v>412</v>
      </c>
      <c r="B2073" t="inlineStr">
        <is>
          <t>Participación en eventos externos de impacto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08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100</v>
      </c>
      <c r="L2073" s="39">
        <f>IFERROR(IF(OR(J2073=0,K2073=""),"",IF(E2073="Positivo",MIN(MAX(K2073/J2073,0),1.3),MIN(MAX(J2073/K2073,0),1.3))),"") </f>
        <v/>
      </c>
      <c r="M2073" s="39">
        <f>IFERROR(IF(OR(J2073=0,K2073=""),"",IF(E2073="Positivo",MAX(K2073/J2073,0),MAX(J2073/K2073,0))),"") </f>
        <v/>
      </c>
      <c r="N2073" t="inlineStr">
        <is>
          <t>%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412-2024-12-31</t>
        </is>
      </c>
    </row>
    <row r="2074" hidden="1">
      <c r="A2074" t="n">
        <v>413</v>
      </c>
      <c r="B2074" t="inlineStr">
        <is>
          <t>Participaciones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08" t="n">
        <v>45291</v>
      </c>
      <c r="G2074" t="n">
        <v>2023</v>
      </c>
      <c r="H2074" t="inlineStr">
        <is>
          <t>Diciembre</t>
        </is>
      </c>
      <c r="I2074" t="inlineStr">
        <is>
          <t>2023-2</t>
        </is>
      </c>
      <c r="K2074" t="n">
        <v>100</v>
      </c>
      <c r="L2074" s="39" t="n"/>
      <c r="M2074" s="39" t="n"/>
      <c r="N2074" t="inlineStr">
        <is>
          <t>Linea Base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413-2023-12-31</t>
        </is>
      </c>
    </row>
    <row r="2075" hidden="1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08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J2075" t="n">
        <v>100</v>
      </c>
      <c r="K2075" t="n">
        <v>100</v>
      </c>
      <c r="L2075" s="39">
        <f>IFERROR(IF(OR(J2075=0,K2075=""),"",IF(E2075="Positivo",MIN(MAX(K2075/J2075,0),1.3),MIN(MAX(J2075/K2075,0),1.3))),"") </f>
        <v/>
      </c>
      <c r="M2075" s="3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413-2024-12-31</t>
        </is>
      </c>
    </row>
    <row r="2076" hidden="1">
      <c r="A2076" t="n">
        <v>413</v>
      </c>
      <c r="B2076" t="inlineStr">
        <is>
          <t>Participación del Poli como sede o patrocinador</t>
        </is>
      </c>
      <c r="C2076" t="inlineStr">
        <is>
          <t>Comunicaciones Externas</t>
        </is>
      </c>
      <c r="D2076" t="inlineStr">
        <is>
          <t>Anual</t>
        </is>
      </c>
      <c r="E2076" t="inlineStr">
        <is>
          <t>Positivo</t>
        </is>
      </c>
      <c r="F2076" s="108" t="n">
        <v>46022</v>
      </c>
      <c r="G2076" t="n">
        <v>2025</v>
      </c>
      <c r="H2076" t="inlineStr">
        <is>
          <t>Diciembre</t>
        </is>
      </c>
      <c r="I2076" t="inlineStr">
        <is>
          <t>2025-2</t>
        </is>
      </c>
      <c r="J2076" t="n">
        <v>100</v>
      </c>
      <c r="K2076" t="n">
        <v>100</v>
      </c>
      <c r="L2076" s="39">
        <f>IFERROR(IF(OR(J2076=0,K2076=""),"",IF(E2076="Positivo",MIN(MAX(K2076/J2076,0),1.3),MIN(MAX(J2076/K2076,0),1.3))),"") </f>
        <v/>
      </c>
      <c r="M2076" s="39">
        <f>IFERROR(IF(OR(J2076=0,K2076=""),"",IF(E2076="Positivo",MAX(K2076/J2076,0),MAX(J2076/K2076,0))),"") </f>
        <v/>
      </c>
      <c r="N2076" t="inlineStr">
        <is>
          <t>Linea Base</t>
        </is>
      </c>
      <c r="O2076" t="inlineStr">
        <is>
          <t>ENT</t>
        </is>
      </c>
      <c r="P2076" t="n">
        <v>0</v>
      </c>
      <c r="Q2076" t="n">
        <v>0</v>
      </c>
      <c r="R2076" t="inlineStr">
        <is>
          <t>413-2025-12-31</t>
        </is>
      </c>
    </row>
    <row r="2077" hidden="1">
      <c r="A2077" t="n">
        <v>414</v>
      </c>
      <c r="B2077" t="inlineStr">
        <is>
          <t>Cumplimiento Plan Anual Rectoría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8" t="n">
        <v>45016</v>
      </c>
      <c r="G2077" t="n">
        <v>2023</v>
      </c>
      <c r="H2077" t="inlineStr">
        <is>
          <t>Marzo</t>
        </is>
      </c>
      <c r="I2077" t="inlineStr">
        <is>
          <t>2023-1</t>
        </is>
      </c>
      <c r="J2077" t="n">
        <v>100</v>
      </c>
      <c r="K2077" t="n">
        <v>0</v>
      </c>
      <c r="L2077" s="39">
        <f>IFERROR(IF(OR(J2077=0,K2077=""),"",IF(E2077="Positivo",MIN(MAX(K2077/J2077,0),1.3),MIN(MAX(J2077/K2077,0),1.3))),"") </f>
        <v/>
      </c>
      <c r="M2077" s="3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414-2023-03-31</t>
        </is>
      </c>
    </row>
    <row r="2078" hidden="1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08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100</v>
      </c>
      <c r="K2078" t="n">
        <v>110.01</v>
      </c>
      <c r="L2078" s="39">
        <f>IFERROR(IF(OR(J2078=0,K2078=""),"",IF(E2078="Positivo",MIN(MAX(K2078/J2078,0),1.3),MIN(MAX(J2078/K2078,0),1.3))),"") </f>
        <v/>
      </c>
      <c r="M2078" s="39">
        <f>IFERROR(IF(OR(J2078=0,K2078=""),"",IF(E2078="Positivo",MAX(K2078/J2078,0),MAX(J2078/K2078,0))),"") </f>
        <v/>
      </c>
      <c r="P2078" t="n">
        <v>0</v>
      </c>
      <c r="Q2078" t="n">
        <v>0</v>
      </c>
      <c r="R2078" t="inlineStr">
        <is>
          <t>414-2023-06-30</t>
        </is>
      </c>
    </row>
    <row r="2079" hidden="1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08" t="n">
        <v>45199</v>
      </c>
      <c r="G2079" t="n">
        <v>2023</v>
      </c>
      <c r="H2079" t="inlineStr">
        <is>
          <t>Septiembre</t>
        </is>
      </c>
      <c r="I2079" t="inlineStr">
        <is>
          <t>2023-2</t>
        </is>
      </c>
      <c r="J2079" t="n">
        <v>100</v>
      </c>
      <c r="K2079" t="n">
        <v>93.54000000000001</v>
      </c>
      <c r="L2079" s="39">
        <f>IFERROR(IF(OR(J2079=0,K2079=""),"",IF(E2079="Positivo",MIN(MAX(K2079/J2079,0),1.3),MIN(MAX(J2079/K2079,0),1.3))),"") </f>
        <v/>
      </c>
      <c r="M2079" s="39">
        <f>IFERROR(IF(OR(J2079=0,K2079=""),"",IF(E2079="Positivo",MAX(K2079/J2079,0),MAX(J2079/K2079,0))),"") </f>
        <v/>
      </c>
      <c r="P2079" t="n">
        <v>0</v>
      </c>
      <c r="Q2079" t="n">
        <v>0</v>
      </c>
      <c r="R2079" t="inlineStr">
        <is>
          <t>414-2023-09-30</t>
        </is>
      </c>
    </row>
    <row r="2080" hidden="1">
      <c r="A2080" t="n">
        <v>414</v>
      </c>
      <c r="B2080" t="inlineStr">
        <is>
          <t>Cumplimiento Plan Anual Rectoría</t>
        </is>
      </c>
      <c r="D2080" t="inlineStr">
        <is>
          <t>Trimestral</t>
        </is>
      </c>
      <c r="E2080" t="inlineStr">
        <is>
          <t>Positivo</t>
        </is>
      </c>
      <c r="F2080" s="108" t="n">
        <v>45291</v>
      </c>
      <c r="G2080" t="n">
        <v>2023</v>
      </c>
      <c r="H2080" t="inlineStr">
        <is>
          <t>Diciembre</t>
        </is>
      </c>
      <c r="I2080" t="inlineStr">
        <is>
          <t>2023-2</t>
        </is>
      </c>
      <c r="J2080" t="n">
        <v>100</v>
      </c>
      <c r="K2080" t="n">
        <v>96.28</v>
      </c>
      <c r="L2080" s="39">
        <f>IFERROR(IF(OR(J2080=0,K2080=""),"",IF(E2080="Positivo",MIN(MAX(K2080/J2080,0),1.3),MIN(MAX(J2080/K2080,0),1.3))),"") </f>
        <v/>
      </c>
      <c r="M2080" s="39">
        <f>IFERROR(IF(OR(J2080=0,K2080=""),"",IF(E2080="Positivo",MAX(K2080/J2080,0),MAX(J2080/K2080,0))),"") </f>
        <v/>
      </c>
      <c r="P2080" t="n">
        <v>0</v>
      </c>
      <c r="Q2080" t="n">
        <v>0</v>
      </c>
      <c r="R2080" t="inlineStr">
        <is>
          <t>414-2023-12-31</t>
        </is>
      </c>
    </row>
    <row r="2081" hidden="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08" t="n">
        <v>45382</v>
      </c>
      <c r="G2081" t="n">
        <v>2024</v>
      </c>
      <c r="H2081" t="inlineStr">
        <is>
          <t>Marzo</t>
        </is>
      </c>
      <c r="I2081" t="inlineStr">
        <is>
          <t>2024-1</t>
        </is>
      </c>
      <c r="J2081" t="n">
        <v>100</v>
      </c>
      <c r="K2081" t="n">
        <v>99.3</v>
      </c>
      <c r="L2081" s="39">
        <f>IFERROR(IF(OR(J2081=0,K2081=""),"",IF(E2081="Positivo",MIN(MAX(K2081/J2081,0),1.3),MIN(MAX(J2081/K2081,0),1.3))),"") </f>
        <v/>
      </c>
      <c r="M2081" s="39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414-2024-03-31</t>
        </is>
      </c>
    </row>
    <row r="2082" hidden="1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08" t="n">
        <v>45473</v>
      </c>
      <c r="G2082" t="n">
        <v>2024</v>
      </c>
      <c r="H2082" t="inlineStr">
        <is>
          <t>Junio</t>
        </is>
      </c>
      <c r="I2082" t="inlineStr">
        <is>
          <t>2024-1</t>
        </is>
      </c>
      <c r="J2082" t="n">
        <v>100</v>
      </c>
      <c r="K2082" t="n">
        <v>100.06</v>
      </c>
      <c r="L2082" s="39">
        <f>IFERROR(IF(OR(J2082=0,K2082=""),"",IF(E2082="Positivo",MIN(MAX(K2082/J2082,0),1.3),MIN(MAX(J2082/K2082,0),1.3))),"") </f>
        <v/>
      </c>
      <c r="M2082" s="3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414-2024-06-30</t>
        </is>
      </c>
    </row>
    <row r="2083" hidden="1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08" t="n">
        <v>45565</v>
      </c>
      <c r="G2083" t="n">
        <v>2024</v>
      </c>
      <c r="H2083" t="inlineStr">
        <is>
          <t>Septiembre</t>
        </is>
      </c>
      <c r="I2083" t="inlineStr">
        <is>
          <t>2024-2</t>
        </is>
      </c>
      <c r="J2083" t="n">
        <v>100</v>
      </c>
      <c r="K2083" t="n">
        <v>99.38</v>
      </c>
      <c r="L2083" s="39">
        <f>IFERROR(IF(OR(J2083=0,K2083=""),"",IF(E2083="Positivo",MIN(MAX(K2083/J2083,0),1.3),MIN(MAX(J2083/K2083,0),1.3))),"") </f>
        <v/>
      </c>
      <c r="M2083" s="3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414-2024-09-30</t>
        </is>
      </c>
    </row>
    <row r="2084" hidden="1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08" t="n">
        <v>45657</v>
      </c>
      <c r="G2084" t="n">
        <v>2024</v>
      </c>
      <c r="H2084" t="inlineStr">
        <is>
          <t>Diciembre</t>
        </is>
      </c>
      <c r="I2084" t="inlineStr">
        <is>
          <t>2024-2</t>
        </is>
      </c>
      <c r="J2084" t="n">
        <v>100</v>
      </c>
      <c r="K2084" t="n">
        <v>98.78</v>
      </c>
      <c r="L2084" s="39">
        <f>IFERROR(IF(OR(J2084=0,K2084=""),"",IF(E2084="Positivo",MIN(MAX(K2084/J2084,0),1.3),MIN(MAX(J2084/K2084,0),1.3))),"") </f>
        <v/>
      </c>
      <c r="M2084" s="3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414-2024-12-31</t>
        </is>
      </c>
    </row>
    <row r="2085" hidden="1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8" t="n">
        <v>45747</v>
      </c>
      <c r="G2085" t="n">
        <v>2025</v>
      </c>
      <c r="H2085" t="inlineStr">
        <is>
          <t>Marzo</t>
        </is>
      </c>
      <c r="I2085" t="inlineStr">
        <is>
          <t>2025-1</t>
        </is>
      </c>
      <c r="J2085" t="n">
        <v>100</v>
      </c>
      <c r="K2085" t="n">
        <v>110.79</v>
      </c>
      <c r="L2085" s="39">
        <f>IFERROR(IF(OR(J2085=0,K2085=""),"",IF(E2085="Positivo",MIN(MAX(K2085/J2085,0),1.3),MIN(MAX(J2085/K2085,0),1.3))),"") </f>
        <v/>
      </c>
      <c r="M2085" s="39">
        <f>IFERROR(IF(OR(J2085=0,K2085=""),"",IF(E2085="Positivo",MAX(K2085/J2085,0),MAX(J2085/K2085,0))),"") </f>
        <v/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414-2025-03-31</t>
        </is>
      </c>
    </row>
    <row r="2086" hidden="1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8" t="n">
        <v>45838</v>
      </c>
      <c r="G2086" t="n">
        <v>2025</v>
      </c>
      <c r="H2086" t="inlineStr">
        <is>
          <t>Junio</t>
        </is>
      </c>
      <c r="I2086" t="inlineStr">
        <is>
          <t>2025-1</t>
        </is>
      </c>
      <c r="J2086" t="n">
        <v>100</v>
      </c>
      <c r="K2086" t="n">
        <v>108.55</v>
      </c>
      <c r="L2086" s="39">
        <f>IFERROR(IF(OR(J2086=0,K2086=""),"",IF(E2086="Positivo",MIN(MAX(K2086/J2086,0),1.3),MIN(MAX(J2086/K2086,0),1.3))),"") </f>
        <v/>
      </c>
      <c r="M2086" s="39">
        <f>IFERROR(IF(OR(J2086=0,K2086=""),"",IF(E2086="Positivo",MAX(K2086/J2086,0),MAX(J2086/K2086,0))),"") </f>
        <v/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414-2025-06-30</t>
        </is>
      </c>
    </row>
    <row r="2087" hidden="1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8" t="n">
        <v>45930</v>
      </c>
      <c r="G2087" t="n">
        <v>2025</v>
      </c>
      <c r="H2087" t="inlineStr">
        <is>
          <t>Septiembre</t>
        </is>
      </c>
      <c r="I2087" t="inlineStr">
        <is>
          <t>2025-2</t>
        </is>
      </c>
      <c r="J2087" t="n">
        <v>100</v>
      </c>
      <c r="K2087" t="n">
        <v>93.59999999999999</v>
      </c>
      <c r="L2087" s="39">
        <f>IFERROR(IF(OR(J2087=0,K2087=""),"",IF(E2087="Positivo",MIN(MAX(K2087/J2087,0),1.3),MIN(MAX(J2087/K2087,0),1.3))),"") </f>
        <v/>
      </c>
      <c r="M2087" s="39">
        <f>IFERROR(IF(OR(J2087=0,K2087=""),"",IF(E2087="Positivo",MAX(K2087/J2087,0),MAX(J2087/K2087,0))),"") </f>
        <v/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414-2025-09-30</t>
        </is>
      </c>
    </row>
    <row r="2088" hidden="1">
      <c r="A2088" t="n">
        <v>414</v>
      </c>
      <c r="B2088" t="inlineStr">
        <is>
          <t>Cumplimiento Plan Anual Rectoría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8" t="n">
        <v>46022</v>
      </c>
      <c r="G2088" t="n">
        <v>2025</v>
      </c>
      <c r="H2088" t="inlineStr">
        <is>
          <t>Diciembre</t>
        </is>
      </c>
      <c r="I2088" t="inlineStr">
        <is>
          <t>2025-2</t>
        </is>
      </c>
      <c r="J2088" t="n">
        <v>100</v>
      </c>
      <c r="K2088" t="n">
        <v>98.87</v>
      </c>
      <c r="L2088" s="39">
        <f>IFERROR(IF(OR(J2088=0,K2088=""),"",IF(E2088="Positivo",MIN(MAX(K2088/J2088,0),1.3),MIN(MAX(J2088/K2088,0),1.3))),"") </f>
        <v/>
      </c>
      <c r="M2088" s="39">
        <f>IFERROR(IF(OR(J2088=0,K2088=""),"",IF(E2088="Positivo",MAX(K2088/J2088,0),MAX(J2088/K2088,0))),"") </f>
        <v/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414-2025-12-31</t>
        </is>
      </c>
    </row>
    <row r="2089" hidden="1">
      <c r="A2089" t="n">
        <v>415</v>
      </c>
      <c r="B2089" t="inlineStr">
        <is>
          <t>Cumplimiento Plan Anual Vicerrectoría del estudiante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8" t="n">
        <v>45016</v>
      </c>
      <c r="G2089" t="n">
        <v>2023</v>
      </c>
      <c r="H2089" t="inlineStr">
        <is>
          <t>Marzo</t>
        </is>
      </c>
      <c r="I2089" t="inlineStr">
        <is>
          <t>2023-1</t>
        </is>
      </c>
      <c r="J2089" t="n">
        <v>100</v>
      </c>
      <c r="K2089" t="n">
        <v>0</v>
      </c>
      <c r="L2089" s="39">
        <f>IFERROR(IF(OR(J2089=0,K2089=""),"",IF(E2089="Positivo",MIN(MAX(K2089/J2089,0),1.3),MIN(MAX(J2089/K2089,0),1.3))),"") </f>
        <v/>
      </c>
      <c r="M2089" s="3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415-2023-03-31</t>
        </is>
      </c>
    </row>
    <row r="2090" hidden="1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08" t="n">
        <v>45107</v>
      </c>
      <c r="G2090" t="n">
        <v>2023</v>
      </c>
      <c r="H2090" t="inlineStr">
        <is>
          <t>Junio</t>
        </is>
      </c>
      <c r="I2090" t="inlineStr">
        <is>
          <t>2023-1</t>
        </is>
      </c>
      <c r="J2090" t="n">
        <v>100</v>
      </c>
      <c r="K2090" t="n">
        <v>94.04000000000001</v>
      </c>
      <c r="L2090" s="39">
        <f>IFERROR(IF(OR(J2090=0,K2090=""),"",IF(E2090="Positivo",MIN(MAX(K2090/J2090,0),1.3),MIN(MAX(J2090/K2090,0),1.3))),"") </f>
        <v/>
      </c>
      <c r="M2090" s="39">
        <f>IFERROR(IF(OR(J2090=0,K2090=""),"",IF(E2090="Positivo",MAX(K2090/J2090,0),MAX(J2090/K2090,0))),"") </f>
        <v/>
      </c>
      <c r="P2090" t="n">
        <v>0</v>
      </c>
      <c r="Q2090" t="n">
        <v>0</v>
      </c>
      <c r="R2090" t="inlineStr">
        <is>
          <t>415-2023-06-30</t>
        </is>
      </c>
    </row>
    <row r="2091" hidden="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08" t="n">
        <v>45199</v>
      </c>
      <c r="G2091" t="n">
        <v>2023</v>
      </c>
      <c r="H2091" t="inlineStr">
        <is>
          <t>Septiembre</t>
        </is>
      </c>
      <c r="I2091" t="inlineStr">
        <is>
          <t>2023-2</t>
        </is>
      </c>
      <c r="J2091" t="n">
        <v>100</v>
      </c>
      <c r="K2091" t="n">
        <v>93.94</v>
      </c>
      <c r="L2091" s="39">
        <f>IFERROR(IF(OR(J2091=0,K2091=""),"",IF(E2091="Positivo",MIN(MAX(K2091/J2091,0),1.3),MIN(MAX(J2091/K2091,0),1.3))),"") </f>
        <v/>
      </c>
      <c r="M2091" s="39">
        <f>IFERROR(IF(OR(J2091=0,K2091=""),"",IF(E2091="Positivo",MAX(K2091/J2091,0),MAX(J2091/K2091,0))),"") </f>
        <v/>
      </c>
      <c r="P2091" t="n">
        <v>0</v>
      </c>
      <c r="Q2091" t="n">
        <v>0</v>
      </c>
      <c r="R2091" t="inlineStr">
        <is>
          <t>415-2023-09-30</t>
        </is>
      </c>
    </row>
    <row r="2092" hidden="1">
      <c r="A2092" t="n">
        <v>415</v>
      </c>
      <c r="B2092" t="inlineStr">
        <is>
          <t>Cumplimiento Plan Anual Vicerrectoría del estudiante</t>
        </is>
      </c>
      <c r="D2092" t="inlineStr">
        <is>
          <t>Trimestral</t>
        </is>
      </c>
      <c r="E2092" t="inlineStr">
        <is>
          <t>Positivo</t>
        </is>
      </c>
      <c r="F2092" s="108" t="n">
        <v>45291</v>
      </c>
      <c r="G2092" t="n">
        <v>2023</v>
      </c>
      <c r="H2092" t="inlineStr">
        <is>
          <t>Diciembre</t>
        </is>
      </c>
      <c r="I2092" t="inlineStr">
        <is>
          <t>2023-2</t>
        </is>
      </c>
      <c r="J2092" t="n">
        <v>100</v>
      </c>
      <c r="K2092" t="n">
        <v>96</v>
      </c>
      <c r="L2092" s="39">
        <f>IFERROR(IF(OR(J2092=0,K2092=""),"",IF(E2092="Positivo",MIN(MAX(K2092/J2092,0),1.3),MIN(MAX(J2092/K2092,0),1.3))),"") </f>
        <v/>
      </c>
      <c r="M2092" s="39">
        <f>IFERROR(IF(OR(J2092=0,K2092=""),"",IF(E2092="Positivo",MAX(K2092/J2092,0),MAX(J2092/K2092,0))),"") </f>
        <v/>
      </c>
      <c r="P2092" t="n">
        <v>0</v>
      </c>
      <c r="Q2092" t="n">
        <v>0</v>
      </c>
      <c r="R2092" t="inlineStr">
        <is>
          <t>415-2023-12-31</t>
        </is>
      </c>
    </row>
    <row r="2093" hidden="1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08" t="n">
        <v>45382</v>
      </c>
      <c r="G2093" t="n">
        <v>2024</v>
      </c>
      <c r="H2093" t="inlineStr">
        <is>
          <t>Marzo</t>
        </is>
      </c>
      <c r="I2093" t="inlineStr">
        <is>
          <t>2024-1</t>
        </is>
      </c>
      <c r="J2093" t="n">
        <v>100</v>
      </c>
      <c r="K2093" t="n">
        <v>80.79000000000001</v>
      </c>
      <c r="L2093" s="39">
        <f>IFERROR(IF(OR(J2093=0,K2093=""),"",IF(E2093="Positivo",MIN(MAX(K2093/J2093,0),1.3),MIN(MAX(J2093/K2093,0),1.3))),"") </f>
        <v/>
      </c>
      <c r="M2093" s="39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415-2024-03-31</t>
        </is>
      </c>
    </row>
    <row r="2094" hidden="1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08" t="n">
        <v>45473</v>
      </c>
      <c r="G2094" t="n">
        <v>2024</v>
      </c>
      <c r="H2094" t="inlineStr">
        <is>
          <t>Junio</t>
        </is>
      </c>
      <c r="I2094" t="inlineStr">
        <is>
          <t>2024-1</t>
        </is>
      </c>
      <c r="J2094" t="n">
        <v>100</v>
      </c>
      <c r="K2094" t="n">
        <v>93.04000000000001</v>
      </c>
      <c r="L2094" s="39">
        <f>IFERROR(IF(OR(J2094=0,K2094=""),"",IF(E2094="Positivo",MIN(MAX(K2094/J2094,0),1.3),MIN(MAX(J2094/K2094,0),1.3))),"") </f>
        <v/>
      </c>
      <c r="M2094" s="3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415-2024-06-30</t>
        </is>
      </c>
    </row>
    <row r="2095" hidden="1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08" t="n">
        <v>45565</v>
      </c>
      <c r="G2095" t="n">
        <v>2024</v>
      </c>
      <c r="H2095" t="inlineStr">
        <is>
          <t>Septiembre</t>
        </is>
      </c>
      <c r="I2095" t="inlineStr">
        <is>
          <t>2024-2</t>
        </is>
      </c>
      <c r="J2095" t="n">
        <v>100</v>
      </c>
      <c r="K2095" t="n">
        <v>92.45999999999999</v>
      </c>
      <c r="L2095" s="39">
        <f>IFERROR(IF(OR(J2095=0,K2095=""),"",IF(E2095="Positivo",MIN(MAX(K2095/J2095,0),1.3),MIN(MAX(J2095/K2095,0),1.3))),"") </f>
        <v/>
      </c>
      <c r="M2095" s="3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415-2024-09-30</t>
        </is>
      </c>
    </row>
    <row r="2096" hidden="1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08" t="n">
        <v>45657</v>
      </c>
      <c r="G2096" t="n">
        <v>2024</v>
      </c>
      <c r="H2096" t="inlineStr">
        <is>
          <t>Diciembre</t>
        </is>
      </c>
      <c r="I2096" t="inlineStr">
        <is>
          <t>2024-2</t>
        </is>
      </c>
      <c r="J2096" t="n">
        <v>100</v>
      </c>
      <c r="K2096" t="n">
        <v>98.36</v>
      </c>
      <c r="L2096" s="39">
        <f>IFERROR(IF(OR(J2096=0,K2096=""),"",IF(E2096="Positivo",MIN(MAX(K2096/J2096,0),1.3),MIN(MAX(J2096/K2096,0),1.3))),"") </f>
        <v/>
      </c>
      <c r="M2096" s="3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415-2024-12-31</t>
        </is>
      </c>
    </row>
    <row r="2097" hidden="1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8" t="n">
        <v>45747</v>
      </c>
      <c r="G2097" t="n">
        <v>2025</v>
      </c>
      <c r="H2097" t="inlineStr">
        <is>
          <t>Marzo</t>
        </is>
      </c>
      <c r="I2097" t="inlineStr">
        <is>
          <t>2025-1</t>
        </is>
      </c>
      <c r="J2097" t="n">
        <v>100</v>
      </c>
      <c r="K2097" t="n">
        <v>104.76</v>
      </c>
      <c r="L2097" s="39">
        <f>IFERROR(IF(OR(J2097=0,K2097=""),"",IF(E2097="Positivo",MIN(MAX(K2097/J2097,0),1.3),MIN(MAX(J2097/K2097,0),1.3))),"") </f>
        <v/>
      </c>
      <c r="M2097" s="39">
        <f>IFERROR(IF(OR(J2097=0,K2097=""),"",IF(E2097="Positivo",MAX(K2097/J2097,0),MAX(J2097/K2097,0))),"") </f>
        <v/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415-2025-03-31</t>
        </is>
      </c>
    </row>
    <row r="2098" hidden="1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8" t="n">
        <v>45838</v>
      </c>
      <c r="G2098" t="n">
        <v>2025</v>
      </c>
      <c r="H2098" t="inlineStr">
        <is>
          <t>Junio</t>
        </is>
      </c>
      <c r="I2098" t="inlineStr">
        <is>
          <t>2025-1</t>
        </is>
      </c>
      <c r="J2098" t="n">
        <v>100</v>
      </c>
      <c r="K2098" t="n">
        <v>96.44</v>
      </c>
      <c r="L2098" s="39">
        <f>IFERROR(IF(OR(J2098=0,K2098=""),"",IF(E2098="Positivo",MIN(MAX(K2098/J2098,0),1.3),MIN(MAX(J2098/K2098,0),1.3))),"") </f>
        <v/>
      </c>
      <c r="M2098" s="39">
        <f>IFERROR(IF(OR(J2098=0,K2098=""),"",IF(E2098="Positivo",MAX(K2098/J2098,0),MAX(J2098/K2098,0))),"") </f>
        <v/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415-2025-06-30</t>
        </is>
      </c>
    </row>
    <row r="2099" hidden="1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8" t="n">
        <v>45930</v>
      </c>
      <c r="G2099" t="n">
        <v>2025</v>
      </c>
      <c r="H2099" t="inlineStr">
        <is>
          <t>Septiembre</t>
        </is>
      </c>
      <c r="I2099" t="inlineStr">
        <is>
          <t>2025-2</t>
        </is>
      </c>
      <c r="J2099" t="n">
        <v>100</v>
      </c>
      <c r="K2099" t="n">
        <v>95.56</v>
      </c>
      <c r="L2099" s="39">
        <f>IFERROR(IF(OR(J2099=0,K2099=""),"",IF(E2099="Positivo",MIN(MAX(K2099/J2099,0),1.3),MIN(MAX(J2099/K2099,0),1.3))),"") </f>
        <v/>
      </c>
      <c r="M2099" s="39">
        <f>IFERROR(IF(OR(J2099=0,K2099=""),"",IF(E2099="Positivo",MAX(K2099/J2099,0),MAX(J2099/K2099,0))),"") </f>
        <v/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415-2025-09-30</t>
        </is>
      </c>
    </row>
    <row r="2100" hidden="1">
      <c r="A2100" t="n">
        <v>415</v>
      </c>
      <c r="B2100" t="inlineStr">
        <is>
          <t>Cumplimiento Plan Anual Vicerrectoría del estudiante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8" t="n">
        <v>46022</v>
      </c>
      <c r="G2100" t="n">
        <v>2025</v>
      </c>
      <c r="H2100" t="inlineStr">
        <is>
          <t>Diciembre</t>
        </is>
      </c>
      <c r="I2100" t="inlineStr">
        <is>
          <t>2025-2</t>
        </is>
      </c>
      <c r="J2100" t="n">
        <v>100</v>
      </c>
      <c r="K2100" t="n">
        <v>99.3</v>
      </c>
      <c r="L2100" s="39">
        <f>IFERROR(IF(OR(J2100=0,K2100=""),"",IF(E2100="Positivo",MIN(MAX(K2100/J2100,0),1.3),MIN(MAX(J2100/K2100,0),1.3))),"") </f>
        <v/>
      </c>
      <c r="M2100" s="39">
        <f>IFERROR(IF(OR(J2100=0,K2100=""),"",IF(E2100="Positivo",MAX(K2100/J2100,0),MAX(J2100/K2100,0))),"") </f>
        <v/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415-2025-12-31</t>
        </is>
      </c>
    </row>
    <row r="2101" hidden="1">
      <c r="A2101" t="n">
        <v>416</v>
      </c>
      <c r="B2101" t="inlineStr">
        <is>
          <t>Cumplimiento Plan Anual Vicerrectoría de crecimiento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8" t="n">
        <v>45016</v>
      </c>
      <c r="G2101" t="n">
        <v>2023</v>
      </c>
      <c r="H2101" t="inlineStr">
        <is>
          <t>Marzo</t>
        </is>
      </c>
      <c r="I2101" t="inlineStr">
        <is>
          <t>2023-1</t>
        </is>
      </c>
      <c r="J2101" t="n">
        <v>100</v>
      </c>
      <c r="K2101" t="n">
        <v>0</v>
      </c>
      <c r="L2101" s="39">
        <f>IFERROR(IF(OR(J2101=0,K2101=""),"",IF(E2101="Positivo",MIN(MAX(K2101/J2101,0),1.3),MIN(MAX(J2101/K2101,0),1.3))),"") </f>
        <v/>
      </c>
      <c r="M2101" s="3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416-2023-03-31</t>
        </is>
      </c>
    </row>
    <row r="2102" hidden="1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08" t="n">
        <v>45107</v>
      </c>
      <c r="G2102" t="n">
        <v>2023</v>
      </c>
      <c r="H2102" t="inlineStr">
        <is>
          <t>Junio</t>
        </is>
      </c>
      <c r="I2102" t="inlineStr">
        <is>
          <t>2023-1</t>
        </is>
      </c>
      <c r="J2102" t="n">
        <v>100</v>
      </c>
      <c r="K2102" t="n">
        <v>95.73999999999999</v>
      </c>
      <c r="L2102" s="39">
        <f>IFERROR(IF(OR(J2102=0,K2102=""),"",IF(E2102="Positivo",MIN(MAX(K2102/J2102,0),1.3),MIN(MAX(J2102/K2102,0),1.3))),"") </f>
        <v/>
      </c>
      <c r="M2102" s="39">
        <f>IFERROR(IF(OR(J2102=0,K2102=""),"",IF(E2102="Positivo",MAX(K2102/J2102,0),MAX(J2102/K2102,0))),"") </f>
        <v/>
      </c>
      <c r="P2102" t="n">
        <v>0</v>
      </c>
      <c r="Q2102" t="n">
        <v>0</v>
      </c>
      <c r="R2102" t="inlineStr">
        <is>
          <t>416-2023-06-30</t>
        </is>
      </c>
    </row>
    <row r="2103" hidden="1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08" t="n">
        <v>45199</v>
      </c>
      <c r="G2103" t="n">
        <v>2023</v>
      </c>
      <c r="H2103" t="inlineStr">
        <is>
          <t>Septiembre</t>
        </is>
      </c>
      <c r="I2103" t="inlineStr">
        <is>
          <t>2023-2</t>
        </is>
      </c>
      <c r="J2103" t="n">
        <v>100</v>
      </c>
      <c r="K2103" t="n">
        <v>87.94</v>
      </c>
      <c r="L2103" s="39">
        <f>IFERROR(IF(OR(J2103=0,K2103=""),"",IF(E2103="Positivo",MIN(MAX(K2103/J2103,0),1.3),MIN(MAX(J2103/K2103,0),1.3))),"") </f>
        <v/>
      </c>
      <c r="M2103" s="39">
        <f>IFERROR(IF(OR(J2103=0,K2103=""),"",IF(E2103="Positivo",MAX(K2103/J2103,0),MAX(J2103/K2103,0))),"") </f>
        <v/>
      </c>
      <c r="P2103" t="n">
        <v>0</v>
      </c>
      <c r="Q2103" t="n">
        <v>0</v>
      </c>
      <c r="R2103" t="inlineStr">
        <is>
          <t>416-2023-09-30</t>
        </is>
      </c>
    </row>
    <row r="2104" hidden="1">
      <c r="A2104" t="n">
        <v>416</v>
      </c>
      <c r="B2104" t="inlineStr">
        <is>
          <t>Cumplimiento Plan Anual Vicerrectoría de crecimiento</t>
        </is>
      </c>
      <c r="D2104" t="inlineStr">
        <is>
          <t>Trimestral</t>
        </is>
      </c>
      <c r="E2104" t="inlineStr">
        <is>
          <t>Positivo</t>
        </is>
      </c>
      <c r="F2104" s="108" t="n">
        <v>45291</v>
      </c>
      <c r="G2104" t="n">
        <v>2023</v>
      </c>
      <c r="H2104" t="inlineStr">
        <is>
          <t>Diciembre</t>
        </is>
      </c>
      <c r="I2104" t="inlineStr">
        <is>
          <t>2023-2</t>
        </is>
      </c>
      <c r="J2104" t="n">
        <v>100</v>
      </c>
      <c r="K2104" t="n">
        <v>98</v>
      </c>
      <c r="L2104" s="39">
        <f>IFERROR(IF(OR(J2104=0,K2104=""),"",IF(E2104="Positivo",MIN(MAX(K2104/J2104,0),1.3),MIN(MAX(J2104/K2104,0),1.3))),"") </f>
        <v/>
      </c>
      <c r="M2104" s="39">
        <f>IFERROR(IF(OR(J2104=0,K2104=""),"",IF(E2104="Positivo",MAX(K2104/J2104,0),MAX(J2104/K2104,0))),"") </f>
        <v/>
      </c>
      <c r="P2104" t="n">
        <v>0</v>
      </c>
      <c r="Q2104" t="n">
        <v>0</v>
      </c>
      <c r="R2104" t="inlineStr">
        <is>
          <t>416-2023-12-31</t>
        </is>
      </c>
    </row>
    <row r="2105" hidden="1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08" t="n">
        <v>45382</v>
      </c>
      <c r="G2105" t="n">
        <v>2024</v>
      </c>
      <c r="H2105" t="inlineStr">
        <is>
          <t>Marzo</t>
        </is>
      </c>
      <c r="I2105" t="inlineStr">
        <is>
          <t>2024-1</t>
        </is>
      </c>
      <c r="J2105" t="n">
        <v>100</v>
      </c>
      <c r="K2105" t="n">
        <v>120.07</v>
      </c>
      <c r="L2105" s="39">
        <f>IFERROR(IF(OR(J2105=0,K2105=""),"",IF(E2105="Positivo",MIN(MAX(K2105/J2105,0),1.3),MIN(MAX(J2105/K2105,0),1.3))),"") </f>
        <v/>
      </c>
      <c r="M2105" s="39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416-2024-03-31</t>
        </is>
      </c>
    </row>
    <row r="2106" hidden="1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08" t="n">
        <v>45473</v>
      </c>
      <c r="G2106" t="n">
        <v>2024</v>
      </c>
      <c r="H2106" t="inlineStr">
        <is>
          <t>Junio</t>
        </is>
      </c>
      <c r="I2106" t="inlineStr">
        <is>
          <t>2024-1</t>
        </is>
      </c>
      <c r="J2106" t="n">
        <v>100</v>
      </c>
      <c r="K2106" t="n">
        <v>117.1</v>
      </c>
      <c r="L2106" s="39">
        <f>IFERROR(IF(OR(J2106=0,K2106=""),"",IF(E2106="Positivo",MIN(MAX(K2106/J2106,0),1.3),MIN(MAX(J2106/K2106,0),1.3))),"") </f>
        <v/>
      </c>
      <c r="M2106" s="3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416-2024-06-30</t>
        </is>
      </c>
    </row>
    <row r="2107" hidden="1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08" t="n">
        <v>45565</v>
      </c>
      <c r="G2107" t="n">
        <v>2024</v>
      </c>
      <c r="H2107" t="inlineStr">
        <is>
          <t>Septiembre</t>
        </is>
      </c>
      <c r="I2107" t="inlineStr">
        <is>
          <t>2024-2</t>
        </is>
      </c>
      <c r="J2107" t="n">
        <v>100</v>
      </c>
      <c r="K2107" t="n">
        <v>99.81</v>
      </c>
      <c r="L2107" s="39">
        <f>IFERROR(IF(OR(J2107=0,K2107=""),"",IF(E2107="Positivo",MIN(MAX(K2107/J2107,0),1.3),MIN(MAX(J2107/K2107,0),1.3))),"") </f>
        <v/>
      </c>
      <c r="M2107" s="3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416-2024-09-30</t>
        </is>
      </c>
    </row>
    <row r="2108" hidden="1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08" t="n">
        <v>45657</v>
      </c>
      <c r="G2108" t="n">
        <v>2024</v>
      </c>
      <c r="H2108" t="inlineStr">
        <is>
          <t>Diciembre</t>
        </is>
      </c>
      <c r="I2108" t="inlineStr">
        <is>
          <t>2024-2</t>
        </is>
      </c>
      <c r="J2108" t="n">
        <v>100</v>
      </c>
      <c r="K2108" t="n">
        <v>100</v>
      </c>
      <c r="L2108" s="39">
        <f>IFERROR(IF(OR(J2108=0,K2108=""),"",IF(E2108="Positivo",MIN(MAX(K2108/J2108,0),1.3),MIN(MAX(J2108/K2108,0),1.3))),"") </f>
        <v/>
      </c>
      <c r="M2108" s="3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416-2024-12-31</t>
        </is>
      </c>
    </row>
    <row r="2109" hidden="1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8" t="n">
        <v>45747</v>
      </c>
      <c r="G2109" t="n">
        <v>2025</v>
      </c>
      <c r="H2109" t="inlineStr">
        <is>
          <t>Marzo</t>
        </is>
      </c>
      <c r="I2109" t="inlineStr">
        <is>
          <t>2025-1</t>
        </is>
      </c>
      <c r="J2109" t="n">
        <v>100</v>
      </c>
      <c r="K2109" t="n">
        <v>170.92</v>
      </c>
      <c r="L2109" s="39">
        <f>IFERROR(IF(OR(J2109=0,K2109=""),"",IF(E2109="Positivo",MIN(MAX(K2109/J2109,0),1.3),MIN(MAX(J2109/K2109,0),1.3))),"") </f>
        <v/>
      </c>
      <c r="M2109" s="39">
        <f>IFERROR(IF(OR(J2109=0,K2109=""),"",IF(E2109="Positivo",MAX(K2109/J2109,0),MAX(J2109/K2109,0))),"") </f>
        <v/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416-2025-03-31</t>
        </is>
      </c>
    </row>
    <row r="2110" hidden="1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8" t="n">
        <v>45838</v>
      </c>
      <c r="G2110" t="n">
        <v>2025</v>
      </c>
      <c r="H2110" t="inlineStr">
        <is>
          <t>Junio</t>
        </is>
      </c>
      <c r="I2110" t="inlineStr">
        <is>
          <t>2025-1</t>
        </is>
      </c>
      <c r="J2110" t="n">
        <v>100</v>
      </c>
      <c r="K2110" t="n">
        <v>109.24</v>
      </c>
      <c r="L2110" s="39">
        <f>IFERROR(IF(OR(J2110=0,K2110=""),"",IF(E2110="Positivo",MIN(MAX(K2110/J2110,0),1.3),MIN(MAX(J2110/K2110,0),1.3))),"") </f>
        <v/>
      </c>
      <c r="M2110" s="39">
        <f>IFERROR(IF(OR(J2110=0,K2110=""),"",IF(E2110="Positivo",MAX(K2110/J2110,0),MAX(J2110/K2110,0))),"") </f>
        <v/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416-2025-06-30</t>
        </is>
      </c>
    </row>
    <row r="2111" hidden="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8" t="n">
        <v>45930</v>
      </c>
      <c r="G2111" t="n">
        <v>2025</v>
      </c>
      <c r="H2111" t="inlineStr">
        <is>
          <t>Septiembre</t>
        </is>
      </c>
      <c r="I2111" t="inlineStr">
        <is>
          <t>2025-2</t>
        </is>
      </c>
      <c r="J2111" t="n">
        <v>100</v>
      </c>
      <c r="K2111" t="n">
        <v>96.48</v>
      </c>
      <c r="L2111" s="39">
        <f>IFERROR(IF(OR(J2111=0,K2111=""),"",IF(E2111="Positivo",MIN(MAX(K2111/J2111,0),1.3),MIN(MAX(J2111/K2111,0),1.3))),"") </f>
        <v/>
      </c>
      <c r="M2111" s="39">
        <f>IFERROR(IF(OR(J2111=0,K2111=""),"",IF(E2111="Positivo",MAX(K2111/J2111,0),MAX(J2111/K2111,0))),"") </f>
        <v/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416-2025-09-30</t>
        </is>
      </c>
    </row>
    <row r="2112" hidden="1">
      <c r="A2112" t="n">
        <v>416</v>
      </c>
      <c r="B2112" t="inlineStr">
        <is>
          <t>Cumplimiento Plan Anual Vicerrectoría de crecimiento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8" t="n">
        <v>46022</v>
      </c>
      <c r="G2112" t="n">
        <v>2025</v>
      </c>
      <c r="H2112" t="inlineStr">
        <is>
          <t>Diciembre</t>
        </is>
      </c>
      <c r="I2112" t="inlineStr">
        <is>
          <t>2025-2</t>
        </is>
      </c>
      <c r="J2112" t="n">
        <v>100</v>
      </c>
      <c r="K2112" t="n">
        <v>100</v>
      </c>
      <c r="L2112" s="39">
        <f>IFERROR(IF(OR(J2112=0,K2112=""),"",IF(E2112="Positivo",MIN(MAX(K2112/J2112,0),1.3),MIN(MAX(J2112/K2112,0),1.3))),"") </f>
        <v/>
      </c>
      <c r="M2112" s="39">
        <f>IFERROR(IF(OR(J2112=0,K2112=""),"",IF(E2112="Positivo",MAX(K2112/J2112,0),MAX(J2112/K2112,0))),"") </f>
        <v/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416-2025-12-31</t>
        </is>
      </c>
    </row>
    <row r="2113" hidden="1">
      <c r="A2113" t="n">
        <v>417</v>
      </c>
      <c r="B2113" t="inlineStr">
        <is>
          <t>Cumplimiento Plan Anual Vicerrectoría Financiera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8" t="n">
        <v>45016</v>
      </c>
      <c r="G2113" t="n">
        <v>2023</v>
      </c>
      <c r="H2113" t="inlineStr">
        <is>
          <t>Marzo</t>
        </is>
      </c>
      <c r="I2113" t="inlineStr">
        <is>
          <t>2023-1</t>
        </is>
      </c>
      <c r="J2113" t="n">
        <v>100</v>
      </c>
      <c r="K2113" t="n">
        <v>0</v>
      </c>
      <c r="L2113" s="39">
        <f>IFERROR(IF(OR(J2113=0,K2113=""),"",IF(E2113="Positivo",MIN(MAX(K2113/J2113,0),1.3),MIN(MAX(J2113/K2113,0),1.3))),"") </f>
        <v/>
      </c>
      <c r="M2113" s="3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417-2023-03-31</t>
        </is>
      </c>
    </row>
    <row r="2114" hidden="1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08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110.66833333333</v>
      </c>
      <c r="L2114" s="39">
        <f>IFERROR(IF(OR(J2114=0,K2114=""),"",IF(E2114="Positivo",MIN(MAX(K2114/J2114,0),1.3),MIN(MAX(J2114/K2114,0),1.3))),"") </f>
        <v/>
      </c>
      <c r="M2114" s="39">
        <f>IFERROR(IF(OR(J2114=0,K2114=""),"",IF(E2114="Positivo",MAX(K2114/J2114,0),MAX(J2114/K2114,0))),"") </f>
        <v/>
      </c>
      <c r="P2114" t="n">
        <v>0</v>
      </c>
      <c r="Q2114" t="n">
        <v>0</v>
      </c>
      <c r="R2114" t="inlineStr">
        <is>
          <t>417-2023-06-30</t>
        </is>
      </c>
    </row>
    <row r="2115" hidden="1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08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93.756666666667</v>
      </c>
      <c r="L2115" s="39">
        <f>IFERROR(IF(OR(J2115=0,K2115=""),"",IF(E2115="Positivo",MIN(MAX(K2115/J2115,0),1.3),MIN(MAX(J2115/K2115,0),1.3))),"") </f>
        <v/>
      </c>
      <c r="M2115" s="39">
        <f>IFERROR(IF(OR(J2115=0,K2115=""),"",IF(E2115="Positivo",MAX(K2115/J2115,0),MAX(J2115/K2115,0))),"") </f>
        <v/>
      </c>
      <c r="P2115" t="n">
        <v>0</v>
      </c>
      <c r="Q2115" t="n">
        <v>0</v>
      </c>
      <c r="R2115" t="inlineStr">
        <is>
          <t>417-2023-09-30</t>
        </is>
      </c>
    </row>
    <row r="2116" hidden="1">
      <c r="A2116" t="n">
        <v>417</v>
      </c>
      <c r="B2116" t="inlineStr">
        <is>
          <t>Cumplimiento Plan Anual Vicerrectoría Financiera</t>
        </is>
      </c>
      <c r="D2116" t="inlineStr">
        <is>
          <t>Trimestral</t>
        </is>
      </c>
      <c r="E2116" t="inlineStr">
        <is>
          <t>Positivo</t>
        </is>
      </c>
      <c r="F2116" s="108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94.39</v>
      </c>
      <c r="L2116" s="39">
        <f>IFERROR(IF(OR(J2116=0,K2116=""),"",IF(E2116="Positivo",MIN(MAX(K2116/J2116,0),1.3),MIN(MAX(J2116/K2116,0),1.3))),"") </f>
        <v/>
      </c>
      <c r="M2116" s="39">
        <f>IFERROR(IF(OR(J2116=0,K2116=""),"",IF(E2116="Positivo",MAX(K2116/J2116,0),MAX(J2116/K2116,0))),"") </f>
        <v/>
      </c>
      <c r="P2116" t="n">
        <v>0</v>
      </c>
      <c r="Q2116" t="n">
        <v>0</v>
      </c>
      <c r="R2116" t="inlineStr">
        <is>
          <t>417-2023-12-31</t>
        </is>
      </c>
    </row>
    <row r="2117" hidden="1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08" t="n">
        <v>45382</v>
      </c>
      <c r="G2117" t="n">
        <v>2024</v>
      </c>
      <c r="H2117" t="inlineStr">
        <is>
          <t>Marzo</t>
        </is>
      </c>
      <c r="I2117" t="inlineStr">
        <is>
          <t>2024-1</t>
        </is>
      </c>
      <c r="J2117" t="n">
        <v>100</v>
      </c>
      <c r="K2117" t="n">
        <v>99.01000000000001</v>
      </c>
      <c r="L2117" s="39">
        <f>IFERROR(IF(OR(J2117=0,K2117=""),"",IF(E2117="Positivo",MIN(MAX(K2117/J2117,0),1.3),MIN(MAX(J2117/K2117,0),1.3))),"") </f>
        <v/>
      </c>
      <c r="M2117" s="39">
        <f>IFERROR(IF(OR(J2117=0,K2117=""),"",IF(E2117="Positivo",MAX(K2117/J2117,0),MAX(J2117/K2117,0))),"") </f>
        <v/>
      </c>
      <c r="P2117" t="n">
        <v>0</v>
      </c>
      <c r="Q2117" t="n">
        <v>0</v>
      </c>
      <c r="R2117" t="inlineStr">
        <is>
          <t>417-2024-03-31</t>
        </is>
      </c>
    </row>
    <row r="2118" hidden="1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08" t="n">
        <v>45473</v>
      </c>
      <c r="G2118" t="n">
        <v>2024</v>
      </c>
      <c r="H2118" t="inlineStr">
        <is>
          <t>Junio</t>
        </is>
      </c>
      <c r="I2118" t="inlineStr">
        <is>
          <t>2024-1</t>
        </is>
      </c>
      <c r="J2118" t="n">
        <v>100</v>
      </c>
      <c r="K2118" t="n">
        <v>112.12</v>
      </c>
      <c r="L2118" s="39">
        <f>IFERROR(IF(OR(J2118=0,K2118=""),"",IF(E2118="Positivo",MIN(MAX(K2118/J2118,0),1.3),MIN(MAX(J2118/K2118,0),1.3))),"") </f>
        <v/>
      </c>
      <c r="M2118" s="39">
        <f>IFERROR(IF(OR(J2118=0,K2118=""),"",IF(E2118="Positivo",MAX(K2118/J2118,0),MAX(J2118/K2118,0))),"") </f>
        <v/>
      </c>
      <c r="P2118" t="n">
        <v>0</v>
      </c>
      <c r="Q2118" t="n">
        <v>0</v>
      </c>
      <c r="R2118" t="inlineStr">
        <is>
          <t>417-2024-06-30</t>
        </is>
      </c>
    </row>
    <row r="2119" hidden="1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08" t="n">
        <v>45565</v>
      </c>
      <c r="G2119" t="n">
        <v>2024</v>
      </c>
      <c r="H2119" t="inlineStr">
        <is>
          <t>Septiembre</t>
        </is>
      </c>
      <c r="I2119" t="inlineStr">
        <is>
          <t>2024-2</t>
        </is>
      </c>
      <c r="J2119" t="n">
        <v>100</v>
      </c>
      <c r="K2119" t="n">
        <v>100.19</v>
      </c>
      <c r="L2119" s="39">
        <f>IFERROR(IF(OR(J2119=0,K2119=""),"",IF(E2119="Positivo",MIN(MAX(K2119/J2119,0),1.3),MIN(MAX(J2119/K2119,0),1.3))),"") </f>
        <v/>
      </c>
      <c r="M2119" s="39">
        <f>IFERROR(IF(OR(J2119=0,K2119=""),"",IF(E2119="Positivo",MAX(K2119/J2119,0),MAX(J2119/K2119,0))),"") </f>
        <v/>
      </c>
      <c r="P2119" t="n">
        <v>0</v>
      </c>
      <c r="Q2119" t="n">
        <v>0</v>
      </c>
      <c r="R2119" t="inlineStr">
        <is>
          <t>417-2024-09-30</t>
        </is>
      </c>
    </row>
    <row r="2120" hidden="1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Trimestral</t>
        </is>
      </c>
      <c r="E2120" t="inlineStr">
        <is>
          <t>Positivo</t>
        </is>
      </c>
      <c r="F2120" s="108" t="n">
        <v>45657</v>
      </c>
      <c r="G2120" t="n">
        <v>2024</v>
      </c>
      <c r="H2120" t="inlineStr">
        <is>
          <t>Diciembre</t>
        </is>
      </c>
      <c r="I2120" t="inlineStr">
        <is>
          <t>2024-2</t>
        </is>
      </c>
      <c r="J2120" t="n">
        <v>100</v>
      </c>
      <c r="K2120" t="n">
        <v>98.83</v>
      </c>
      <c r="L2120" s="39">
        <f>IFERROR(IF(OR(J2120=0,K2120=""),"",IF(E2120="Positivo",MIN(MAX(K2120/J2120,0),1.3),MIN(MAX(J2120/K2120,0),1.3))),"") </f>
        <v/>
      </c>
      <c r="M2120" s="39">
        <f>IFERROR(IF(OR(J2120=0,K2120=""),"",IF(E2120="Positivo",MAX(K2120/J2120,0),MAX(J2120/K2120,0))),"") </f>
        <v/>
      </c>
      <c r="P2120" t="n">
        <v>0</v>
      </c>
      <c r="Q2120" t="n">
        <v>0</v>
      </c>
      <c r="R2120" t="inlineStr">
        <is>
          <t>417-2024-12-31</t>
        </is>
      </c>
    </row>
    <row r="2121" hidden="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8" t="n">
        <v>45747</v>
      </c>
      <c r="G2121" t="n">
        <v>2025</v>
      </c>
      <c r="H2121" t="inlineStr">
        <is>
          <t>Marzo</t>
        </is>
      </c>
      <c r="I2121" t="inlineStr">
        <is>
          <t>2025-1</t>
        </is>
      </c>
      <c r="J2121" t="n">
        <v>100</v>
      </c>
      <c r="K2121" t="n">
        <v>93.68000000000001</v>
      </c>
      <c r="L2121" s="39">
        <f>IFERROR(IF(OR(J2121=0,K2121=""),"",IF(E2121="Positivo",MIN(MAX(K2121/J2121,0),1.3),MIN(MAX(J2121/K2121,0),1.3))),"") </f>
        <v/>
      </c>
      <c r="M2121" s="3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417-2025-03-31</t>
        </is>
      </c>
    </row>
    <row r="2122" hidden="1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8" t="n">
        <v>45838</v>
      </c>
      <c r="G2122" t="n">
        <v>2025</v>
      </c>
      <c r="H2122" t="inlineStr">
        <is>
          <t>Junio</t>
        </is>
      </c>
      <c r="I2122" t="inlineStr">
        <is>
          <t>2025-1</t>
        </is>
      </c>
      <c r="J2122" t="n">
        <v>100</v>
      </c>
      <c r="K2122" t="n">
        <v>101.28</v>
      </c>
      <c r="L2122" s="39">
        <f>IFERROR(IF(OR(J2122=0,K2122=""),"",IF(E2122="Positivo",MIN(MAX(K2122/J2122,0),1.3),MIN(MAX(J2122/K2122,0),1.3))),"") </f>
        <v/>
      </c>
      <c r="M2122" s="3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417-2025-06-30</t>
        </is>
      </c>
    </row>
    <row r="2123" hidden="1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8" t="n">
        <v>45930</v>
      </c>
      <c r="G2123" t="n">
        <v>2025</v>
      </c>
      <c r="H2123" t="inlineStr">
        <is>
          <t>Septiembre</t>
        </is>
      </c>
      <c r="I2123" t="inlineStr">
        <is>
          <t>2025-2</t>
        </is>
      </c>
      <c r="J2123" t="n">
        <v>100</v>
      </c>
      <c r="K2123" t="n">
        <v>99.34</v>
      </c>
      <c r="L2123" s="39">
        <f>IFERROR(IF(OR(J2123=0,K2123=""),"",IF(E2123="Positivo",MIN(MAX(K2123/J2123,0),1.3),MIN(MAX(J2123/K2123,0),1.3))),"") </f>
        <v/>
      </c>
      <c r="M2123" s="3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417-2025-09-30</t>
        </is>
      </c>
    </row>
    <row r="2124" hidden="1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8" t="n">
        <v>46022</v>
      </c>
      <c r="G2124" t="n">
        <v>2025</v>
      </c>
      <c r="H2124" t="inlineStr">
        <is>
          <t>Diciembre</t>
        </is>
      </c>
      <c r="I2124" t="inlineStr">
        <is>
          <t>2025-2</t>
        </is>
      </c>
      <c r="J2124" t="n">
        <v>100</v>
      </c>
      <c r="K2124" t="n">
        <v>97.98999999999999</v>
      </c>
      <c r="L2124" s="39">
        <f>IFERROR(IF(OR(J2124=0,K2124=""),"",IF(E2124="Positivo",MIN(MAX(K2124/J2124,0),1.3),MIN(MAX(J2124/K2124,0),1.3))),"") </f>
        <v/>
      </c>
      <c r="M2124" s="3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417-2025-12-31</t>
        </is>
      </c>
    </row>
    <row r="2125" hidden="1">
      <c r="A2125" t="n">
        <v>418</v>
      </c>
      <c r="B2125" t="inlineStr">
        <is>
          <t>Cumplimiento Plan Anual Vicerrectoría Académica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8" t="n">
        <v>45016</v>
      </c>
      <c r="G2125" t="n">
        <v>2023</v>
      </c>
      <c r="H2125" t="inlineStr">
        <is>
          <t>Marzo</t>
        </is>
      </c>
      <c r="I2125" t="inlineStr">
        <is>
          <t>2023-1</t>
        </is>
      </c>
      <c r="J2125" t="n">
        <v>100</v>
      </c>
      <c r="K2125" t="n">
        <v>0</v>
      </c>
      <c r="L2125" s="39">
        <f>IFERROR(IF(OR(J2125=0,K2125=""),"",IF(E2125="Positivo",MIN(MAX(K2125/J2125,0),1.3),MIN(MAX(J2125/K2125,0),1.3))),"") </f>
        <v/>
      </c>
      <c r="M2125" s="3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418-2023-03-31</t>
        </is>
      </c>
    </row>
    <row r="2126" hidden="1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08" t="n">
        <v>45107</v>
      </c>
      <c r="G2126" t="n">
        <v>2023</v>
      </c>
      <c r="H2126" t="inlineStr">
        <is>
          <t>Junio</t>
        </is>
      </c>
      <c r="I2126" t="inlineStr">
        <is>
          <t>2023-1</t>
        </is>
      </c>
      <c r="J2126" t="n">
        <v>100</v>
      </c>
      <c r="K2126" t="n">
        <v>104.35666666667</v>
      </c>
      <c r="L2126" s="39">
        <f>IFERROR(IF(OR(J2126=0,K2126=""),"",IF(E2126="Positivo",MIN(MAX(K2126/J2126,0),1.3),MIN(MAX(J2126/K2126,0),1.3))),"") </f>
        <v/>
      </c>
      <c r="M2126" s="39">
        <f>IFERROR(IF(OR(J2126=0,K2126=""),"",IF(E2126="Positivo",MAX(K2126/J2126,0),MAX(J2126/K2126,0))),"") </f>
        <v/>
      </c>
      <c r="P2126" t="n">
        <v>0</v>
      </c>
      <c r="Q2126" t="n">
        <v>0</v>
      </c>
      <c r="R2126" t="inlineStr">
        <is>
          <t>418-2023-06-30</t>
        </is>
      </c>
    </row>
    <row r="2127" hidden="1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08" t="n">
        <v>45199</v>
      </c>
      <c r="G2127" t="n">
        <v>2023</v>
      </c>
      <c r="H2127" t="inlineStr">
        <is>
          <t>Septiembre</t>
        </is>
      </c>
      <c r="I2127" t="inlineStr">
        <is>
          <t>2023-2</t>
        </is>
      </c>
      <c r="J2127" t="n">
        <v>100</v>
      </c>
      <c r="K2127" t="n">
        <v>85.611111111111</v>
      </c>
      <c r="L2127" s="39">
        <f>IFERROR(IF(OR(J2127=0,K2127=""),"",IF(E2127="Positivo",MIN(MAX(K2127/J2127,0),1.3),MIN(MAX(J2127/K2127,0),1.3))),"") </f>
        <v/>
      </c>
      <c r="M2127" s="39">
        <f>IFERROR(IF(OR(J2127=0,K2127=""),"",IF(E2127="Positivo",MAX(K2127/J2127,0),MAX(J2127/K2127,0))),"") </f>
        <v/>
      </c>
      <c r="P2127" t="n">
        <v>0</v>
      </c>
      <c r="Q2127" t="n">
        <v>0</v>
      </c>
      <c r="R2127" t="inlineStr">
        <is>
          <t>418-2023-09-30</t>
        </is>
      </c>
    </row>
    <row r="2128" hidden="1">
      <c r="A2128" t="n">
        <v>418</v>
      </c>
      <c r="B2128" t="inlineStr">
        <is>
          <t>Cumplimiento Plan Anual Vicerrectoría Académica</t>
        </is>
      </c>
      <c r="D2128" t="inlineStr">
        <is>
          <t>Trimestral</t>
        </is>
      </c>
      <c r="E2128" t="inlineStr">
        <is>
          <t>Positivo</t>
        </is>
      </c>
      <c r="F2128" s="108" t="n">
        <v>45291</v>
      </c>
      <c r="G2128" t="n">
        <v>2023</v>
      </c>
      <c r="H2128" t="inlineStr">
        <is>
          <t>Diciembre</t>
        </is>
      </c>
      <c r="I2128" t="inlineStr">
        <is>
          <t>2023-2</t>
        </is>
      </c>
      <c r="J2128" t="n">
        <v>100</v>
      </c>
      <c r="K2128" t="n">
        <v>95.802222222222</v>
      </c>
      <c r="L2128" s="39">
        <f>IFERROR(IF(OR(J2128=0,K2128=""),"",IF(E2128="Positivo",MIN(MAX(K2128/J2128,0),1.3),MIN(MAX(J2128/K2128,0),1.3))),"") </f>
        <v/>
      </c>
      <c r="M2128" s="39">
        <f>IFERROR(IF(OR(J2128=0,K2128=""),"",IF(E2128="Positivo",MAX(K2128/J2128,0),MAX(J2128/K2128,0))),"") </f>
        <v/>
      </c>
      <c r="P2128" t="n">
        <v>0</v>
      </c>
      <c r="Q2128" t="n">
        <v>0</v>
      </c>
      <c r="R2128" t="inlineStr">
        <is>
          <t>418-2023-12-31</t>
        </is>
      </c>
    </row>
    <row r="2129" hidden="1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08" t="n">
        <v>45382</v>
      </c>
      <c r="G2129" t="n">
        <v>2024</v>
      </c>
      <c r="H2129" t="inlineStr">
        <is>
          <t>Marzo</t>
        </is>
      </c>
      <c r="I2129" t="inlineStr">
        <is>
          <t>2024-1</t>
        </is>
      </c>
      <c r="J2129" t="n">
        <v>100</v>
      </c>
      <c r="K2129" t="n">
        <v>105.5</v>
      </c>
      <c r="L2129" s="39">
        <f>IFERROR(IF(OR(J2129=0,K2129=""),"",IF(E2129="Positivo",MIN(MAX(K2129/J2129,0),1.3),MIN(MAX(J2129/K2129,0),1.3))),"") </f>
        <v/>
      </c>
      <c r="M2129" s="39">
        <f>IFERROR(IF(OR(J2129=0,K2129=""),"",IF(E2129="Positivo",MAX(K2129/J2129,0),MAX(J2129/K2129,0))),"") </f>
        <v/>
      </c>
      <c r="P2129" t="n">
        <v>0</v>
      </c>
      <c r="Q2129" t="n">
        <v>0</v>
      </c>
      <c r="R2129" t="inlineStr">
        <is>
          <t>418-2024-03-31</t>
        </is>
      </c>
    </row>
    <row r="2130" hidden="1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08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100</v>
      </c>
      <c r="K2130" t="n">
        <v>100.79</v>
      </c>
      <c r="L2130" s="39">
        <f>IFERROR(IF(OR(J2130=0,K2130=""),"",IF(E2130="Positivo",MIN(MAX(K2130/J2130,0),1.3),MIN(MAX(J2130/K2130,0),1.3))),"") </f>
        <v/>
      </c>
      <c r="M2130" s="39">
        <f>IFERROR(IF(OR(J2130=0,K2130=""),"",IF(E2130="Positivo",MAX(K2130/J2130,0),MAX(J2130/K2130,0))),"") </f>
        <v/>
      </c>
      <c r="P2130" t="n">
        <v>0</v>
      </c>
      <c r="Q2130" t="n">
        <v>0</v>
      </c>
      <c r="R2130" t="inlineStr">
        <is>
          <t>418-2024-06-30</t>
        </is>
      </c>
    </row>
    <row r="2131" hidden="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08" t="n">
        <v>45565</v>
      </c>
      <c r="G2131" t="n">
        <v>2024</v>
      </c>
      <c r="H2131" t="inlineStr">
        <is>
          <t>Septiembre</t>
        </is>
      </c>
      <c r="I2131" t="inlineStr">
        <is>
          <t>2024-2</t>
        </is>
      </c>
      <c r="J2131" t="n">
        <v>100</v>
      </c>
      <c r="K2131" t="n">
        <v>97.2</v>
      </c>
      <c r="L2131" s="39">
        <f>IFERROR(IF(OR(J2131=0,K2131=""),"",IF(E2131="Positivo",MIN(MAX(K2131/J2131,0),1.3),MIN(MAX(J2131/K2131,0),1.3))),"") </f>
        <v/>
      </c>
      <c r="M2131" s="39">
        <f>IFERROR(IF(OR(J2131=0,K2131=""),"",IF(E2131="Positivo",MAX(K2131/J2131,0),MAX(J2131/K2131,0))),"") </f>
        <v/>
      </c>
      <c r="P2131" t="n">
        <v>0</v>
      </c>
      <c r="Q2131" t="n">
        <v>0</v>
      </c>
      <c r="R2131" t="inlineStr">
        <is>
          <t>418-2024-09-30</t>
        </is>
      </c>
    </row>
    <row r="2132" hidden="1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Trimestral</t>
        </is>
      </c>
      <c r="E2132" t="inlineStr">
        <is>
          <t>Positivo</t>
        </is>
      </c>
      <c r="F2132" s="108" t="n">
        <v>45657</v>
      </c>
      <c r="G2132" t="n">
        <v>2024</v>
      </c>
      <c r="H2132" t="inlineStr">
        <is>
          <t>Diciembre</t>
        </is>
      </c>
      <c r="I2132" t="inlineStr">
        <is>
          <t>2024-2</t>
        </is>
      </c>
      <c r="J2132" t="n">
        <v>100</v>
      </c>
      <c r="K2132" t="n">
        <v>97.78</v>
      </c>
      <c r="L2132" s="39">
        <f>IFERROR(IF(OR(J2132=0,K2132=""),"",IF(E2132="Positivo",MIN(MAX(K2132/J2132,0),1.3),MIN(MAX(J2132/K2132,0),1.3))),"") </f>
        <v/>
      </c>
      <c r="M2132" s="39">
        <f>IFERROR(IF(OR(J2132=0,K2132=""),"",IF(E2132="Positivo",MAX(K2132/J2132,0),MAX(J2132/K2132,0))),"") </f>
        <v/>
      </c>
      <c r="P2132" t="n">
        <v>0</v>
      </c>
      <c r="Q2132" t="n">
        <v>0</v>
      </c>
      <c r="R2132" t="inlineStr">
        <is>
          <t>418-2024-12-31</t>
        </is>
      </c>
    </row>
    <row r="2133" hidden="1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8" t="n">
        <v>45747</v>
      </c>
      <c r="G2133" t="n">
        <v>2025</v>
      </c>
      <c r="H2133" t="inlineStr">
        <is>
          <t>Marzo</t>
        </is>
      </c>
      <c r="I2133" t="inlineStr">
        <is>
          <t>2025-1</t>
        </is>
      </c>
      <c r="J2133" t="n">
        <v>100</v>
      </c>
      <c r="K2133" t="n">
        <v>246.7</v>
      </c>
      <c r="L2133" s="39">
        <f>IFERROR(IF(OR(J2133=0,K2133=""),"",IF(E2133="Positivo",MIN(MAX(K2133/J2133,0),1.3),MIN(MAX(J2133/K2133,0),1.3))),"") </f>
        <v/>
      </c>
      <c r="M2133" s="3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418-2025-03-31</t>
        </is>
      </c>
    </row>
    <row r="2134" hidden="1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8" t="n">
        <v>45838</v>
      </c>
      <c r="G2134" t="n">
        <v>2025</v>
      </c>
      <c r="H2134" t="inlineStr">
        <is>
          <t>Junio</t>
        </is>
      </c>
      <c r="I2134" t="inlineStr">
        <is>
          <t>2025-1</t>
        </is>
      </c>
      <c r="J2134" t="n">
        <v>100</v>
      </c>
      <c r="K2134" t="n">
        <v>105.83</v>
      </c>
      <c r="L2134" s="39">
        <f>IFERROR(IF(OR(J2134=0,K2134=""),"",IF(E2134="Positivo",MIN(MAX(K2134/J2134,0),1.3),MIN(MAX(J2134/K2134,0),1.3))),"") </f>
        <v/>
      </c>
      <c r="M2134" s="39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418-2025-06-30</t>
        </is>
      </c>
    </row>
    <row r="2135" hidden="1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8" t="n">
        <v>45930</v>
      </c>
      <c r="G2135" t="n">
        <v>2025</v>
      </c>
      <c r="H2135" t="inlineStr">
        <is>
          <t>Septiembre</t>
        </is>
      </c>
      <c r="I2135" t="inlineStr">
        <is>
          <t>2025-2</t>
        </is>
      </c>
      <c r="J2135" t="n">
        <v>100</v>
      </c>
      <c r="K2135" t="n">
        <v>93.95999999999999</v>
      </c>
      <c r="L2135" s="39">
        <f>IFERROR(IF(OR(J2135=0,K2135=""),"",IF(E2135="Positivo",MIN(MAX(K2135/J2135,0),1.3),MIN(MAX(J2135/K2135,0),1.3))),"") </f>
        <v/>
      </c>
      <c r="M2135" s="3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418-2025-09-30</t>
        </is>
      </c>
    </row>
    <row r="2136" hidden="1">
      <c r="A2136" t="n">
        <v>418</v>
      </c>
      <c r="B2136" t="inlineStr">
        <is>
          <t>Cumplimiento Plan Anual Vicerrectoría Académica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8" t="n">
        <v>46022</v>
      </c>
      <c r="G2136" t="n">
        <v>2025</v>
      </c>
      <c r="H2136" t="inlineStr">
        <is>
          <t>Diciembre</t>
        </is>
      </c>
      <c r="I2136" t="inlineStr">
        <is>
          <t>2025-2</t>
        </is>
      </c>
      <c r="J2136" t="n">
        <v>100</v>
      </c>
      <c r="K2136" t="n">
        <v>99.61</v>
      </c>
      <c r="L2136" s="39">
        <f>IFERROR(IF(OR(J2136=0,K2136=""),"",IF(E2136="Positivo",MIN(MAX(K2136/J2136,0),1.3),MIN(MAX(J2136/K2136,0),1.3))),"") </f>
        <v/>
      </c>
      <c r="M2136" s="3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418-2025-12-31</t>
        </is>
      </c>
    </row>
    <row r="2137" hidden="1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08" t="n">
        <v>45107</v>
      </c>
      <c r="G2137" t="n">
        <v>2023</v>
      </c>
      <c r="H2137" t="inlineStr">
        <is>
          <t>Junio</t>
        </is>
      </c>
      <c r="I2137" t="inlineStr">
        <is>
          <t>2023-1</t>
        </is>
      </c>
      <c r="J2137" t="n">
        <v>100</v>
      </c>
      <c r="K2137" t="n">
        <v>108.3</v>
      </c>
      <c r="L2137" s="39">
        <f>IFERROR(IF(OR(J2137=0,K2137=""),"",IF(E2137="Positivo",MIN(MAX(K2137/J2137,0),1.3),MIN(MAX(J2137/K2137,0),1.3))),"") </f>
        <v/>
      </c>
      <c r="M2137" s="3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419-2023-06-30</t>
        </is>
      </c>
    </row>
    <row r="2138" hidden="1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08" t="n">
        <v>45199</v>
      </c>
      <c r="G2138" t="n">
        <v>2023</v>
      </c>
      <c r="H2138" t="inlineStr">
        <is>
          <t>Septiembre</t>
        </is>
      </c>
      <c r="I2138" t="inlineStr">
        <is>
          <t>2023-2</t>
        </is>
      </c>
      <c r="J2138" t="n">
        <v>100</v>
      </c>
      <c r="K2138" t="n">
        <v>88.34999999999999</v>
      </c>
      <c r="L2138" s="39">
        <f>IFERROR(IF(OR(J2138=0,K2138=""),"",IF(E2138="Positivo",MIN(MAX(K2138/J2138,0),1.3),MIN(MAX(J2138/K2138,0),1.3))),"") </f>
        <v/>
      </c>
      <c r="M2138" s="3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419-2023-09-30</t>
        </is>
      </c>
    </row>
    <row r="2139" hidden="1">
      <c r="A2139" t="n">
        <v>419</v>
      </c>
      <c r="B2139" t="inlineStr">
        <is>
          <t>Cumplimiento Plan Anual Áreas sede Medellín</t>
        </is>
      </c>
      <c r="D2139" t="inlineStr">
        <is>
          <t>Trimestral</t>
        </is>
      </c>
      <c r="E2139" t="inlineStr">
        <is>
          <t>Positivo</t>
        </is>
      </c>
      <c r="F2139" s="108" t="n">
        <v>45291</v>
      </c>
      <c r="G2139" t="n">
        <v>2023</v>
      </c>
      <c r="H2139" t="inlineStr">
        <is>
          <t>Diciembre</t>
        </is>
      </c>
      <c r="I2139" t="inlineStr">
        <is>
          <t>2023-2</t>
        </is>
      </c>
      <c r="J2139" t="n">
        <v>100</v>
      </c>
      <c r="K2139" t="n">
        <v>93.56</v>
      </c>
      <c r="L2139" s="39">
        <f>IFERROR(IF(OR(J2139=0,K2139=""),"",IF(E2139="Positivo",MIN(MAX(K2139/J2139,0),1.3),MIN(MAX(J2139/K2139,0),1.3))),"") </f>
        <v/>
      </c>
      <c r="M2139" s="3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419-2023-12-31</t>
        </is>
      </c>
    </row>
    <row r="2140" hidden="1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8" t="n">
        <v>45016</v>
      </c>
      <c r="G2140" t="n">
        <v>2023</v>
      </c>
      <c r="H2140" t="inlineStr">
        <is>
          <t>Marzo</t>
        </is>
      </c>
      <c r="I2140" t="inlineStr">
        <is>
          <t>2023-1</t>
        </is>
      </c>
      <c r="J2140" t="n">
        <v>100</v>
      </c>
      <c r="K2140" t="n">
        <v>0</v>
      </c>
      <c r="L2140" s="39">
        <f>IFERROR(IF(OR(J2140=0,K2140=""),"",IF(E2140="Positivo",MIN(MAX(K2140/J2140,0),1.3),MIN(MAX(J2140/K2140,0),1.3))),"") </f>
        <v/>
      </c>
      <c r="M2140" s="3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420-2023-03-31</t>
        </is>
      </c>
    </row>
    <row r="2141" hidden="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08" t="n">
        <v>45107</v>
      </c>
      <c r="G2141" t="n">
        <v>2023</v>
      </c>
      <c r="H2141" t="inlineStr">
        <is>
          <t>Junio</t>
        </is>
      </c>
      <c r="I2141" t="inlineStr">
        <is>
          <t>2023-1</t>
        </is>
      </c>
      <c r="J2141" t="n">
        <v>100</v>
      </c>
      <c r="K2141" t="n">
        <v>106.53</v>
      </c>
      <c r="L2141" s="39">
        <f>IFERROR(IF(OR(J2141=0,K2141=""),"",IF(E2141="Positivo",MIN(MAX(K2141/J2141,0),1.3),MIN(MAX(J2141/K2141,0),1.3))),"") </f>
        <v/>
      </c>
      <c r="M2141" s="3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420-2023-06-30</t>
        </is>
      </c>
    </row>
    <row r="2142" hidden="1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08" t="n">
        <v>45199</v>
      </c>
      <c r="G2142" t="n">
        <v>2023</v>
      </c>
      <c r="H2142" t="inlineStr">
        <is>
          <t>Septiembre</t>
        </is>
      </c>
      <c r="I2142" t="inlineStr">
        <is>
          <t>2023-2</t>
        </is>
      </c>
      <c r="J2142" t="n">
        <v>100</v>
      </c>
      <c r="K2142" t="n">
        <v>94.69</v>
      </c>
      <c r="L2142" s="39">
        <f>IFERROR(IF(OR(J2142=0,K2142=""),"",IF(E2142="Positivo",MIN(MAX(K2142/J2142,0),1.3),MIN(MAX(J2142/K2142,0),1.3))),"") </f>
        <v/>
      </c>
      <c r="M2142" s="39">
        <f>IFERROR(IF(OR(J2142=0,K2142=""),"",IF(E2142="Positivo",MAX(K2142/J2142,0),MAX(J2142/K2142,0))),"") </f>
        <v/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420-2023-09-30</t>
        </is>
      </c>
    </row>
    <row r="2143" hidden="1">
      <c r="A2143" t="n">
        <v>420</v>
      </c>
      <c r="B2143" t="inlineStr">
        <is>
          <t>Cumplimiento Plan Anual Gerencia de estrategia</t>
        </is>
      </c>
      <c r="D2143" t="inlineStr">
        <is>
          <t>Trimestral</t>
        </is>
      </c>
      <c r="E2143" t="inlineStr">
        <is>
          <t>Positivo</t>
        </is>
      </c>
      <c r="F2143" s="108" t="n">
        <v>45291</v>
      </c>
      <c r="G2143" t="n">
        <v>2023</v>
      </c>
      <c r="H2143" t="inlineStr">
        <is>
          <t>Diciembre</t>
        </is>
      </c>
      <c r="I2143" t="inlineStr">
        <is>
          <t>2023-2</t>
        </is>
      </c>
      <c r="J2143" t="n">
        <v>100</v>
      </c>
      <c r="K2143" t="n">
        <v>100</v>
      </c>
      <c r="L2143" s="39">
        <f>IFERROR(IF(OR(J2143=0,K2143=""),"",IF(E2143="Positivo",MIN(MAX(K2143/J2143,0),1.3),MIN(MAX(J2143/K2143,0),1.3))),"") </f>
        <v/>
      </c>
      <c r="M2143" s="39">
        <f>IFERROR(IF(OR(J2143=0,K2143=""),"",IF(E2143="Positivo",MAX(K2143/J2143,0),MAX(J2143/K2143,0))),"") </f>
        <v/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420-2023-12-31</t>
        </is>
      </c>
    </row>
    <row r="2144" hidden="1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08" t="n">
        <v>45473</v>
      </c>
      <c r="G2144" t="n">
        <v>2024</v>
      </c>
      <c r="H2144" t="inlineStr">
        <is>
          <t>Junio</t>
        </is>
      </c>
      <c r="I2144" t="inlineStr">
        <is>
          <t>2024-1</t>
        </is>
      </c>
      <c r="J2144" t="n">
        <v>100</v>
      </c>
      <c r="K2144" t="n">
        <v>89.33</v>
      </c>
      <c r="L2144" s="39">
        <f>IFERROR(IF(OR(J2144=0,K2144=""),"",IF(E2144="Positivo",MIN(MAX(K2144/J2144,0),1.3),MIN(MAX(J2144/K2144,0),1.3))),"") </f>
        <v/>
      </c>
      <c r="M2144" s="39">
        <f>IFERROR(IF(OR(J2144=0,K2144=""),"",IF(E2144="Positivo",MAX(K2144/J2144,0),MAX(J2144/K2144,0))),"") </f>
        <v/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420-2024-06-30</t>
        </is>
      </c>
    </row>
    <row r="2145" hidden="1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08" t="n">
        <v>45565</v>
      </c>
      <c r="G2145" t="n">
        <v>2024</v>
      </c>
      <c r="H2145" t="inlineStr">
        <is>
          <t>Septiembre</t>
        </is>
      </c>
      <c r="I2145" t="inlineStr">
        <is>
          <t>2024-2</t>
        </is>
      </c>
      <c r="J2145" t="n">
        <v>100</v>
      </c>
      <c r="K2145" t="n">
        <v>102.36</v>
      </c>
      <c r="L2145" s="39">
        <f>IFERROR(IF(OR(J2145=0,K2145=""),"",IF(E2145="Positivo",MIN(MAX(K2145/J2145,0),1.3),MIN(MAX(J2145/K2145,0),1.3))),"") </f>
        <v/>
      </c>
      <c r="M2145" s="39">
        <f>IFERROR(IF(OR(J2145=0,K2145=""),"",IF(E2145="Positivo",MAX(K2145/J2145,0),MAX(J2145/K2145,0))),"") </f>
        <v/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420-2024-09-30</t>
        </is>
      </c>
    </row>
    <row r="2146" hidden="1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Trimestral</t>
        </is>
      </c>
      <c r="E2146" t="inlineStr">
        <is>
          <t>Positivo</t>
        </is>
      </c>
      <c r="F2146" s="108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96.67</v>
      </c>
      <c r="L2146" s="39">
        <f>IFERROR(IF(OR(J2146=0,K2146=""),"",IF(E2146="Positivo",MIN(MAX(K2146/J2146,0),1.3),MIN(MAX(J2146/K2146,0),1.3))),"") </f>
        <v/>
      </c>
      <c r="M2146" s="39">
        <f>IFERROR(IF(OR(J2146=0,K2146=""),"",IF(E2146="Positivo",MAX(K2146/J2146,0),MAX(J2146/K2146,0))),"") </f>
        <v/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420-2024-12-31</t>
        </is>
      </c>
    </row>
    <row r="2147" hidden="1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08" t="n">
        <v>45747</v>
      </c>
      <c r="G2147" t="n">
        <v>2025</v>
      </c>
      <c r="H2147" t="inlineStr">
        <is>
          <t>Marzo</t>
        </is>
      </c>
      <c r="I2147" t="inlineStr">
        <is>
          <t>2025-1</t>
        </is>
      </c>
      <c r="J2147" t="n">
        <v>100</v>
      </c>
      <c r="K2147" t="n">
        <v>122.2</v>
      </c>
      <c r="L2147" s="39">
        <f>IFERROR(IF(OR(J2147=0,K2147=""),"",IF(E2147="Positivo",MIN(MAX(K2147/J2147,0),1.3),MIN(MAX(J2147/K2147,0),1.3))),"") </f>
        <v/>
      </c>
      <c r="M2147" s="39">
        <f>IFERROR(IF(OR(J2147=0,K2147=""),"",IF(E2147="Positivo",MAX(K2147/J2147,0),MAX(J2147/K2147,0))),"") </f>
        <v/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420-2025-03-31</t>
        </is>
      </c>
    </row>
    <row r="2148" hidden="1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08" t="n">
        <v>45838</v>
      </c>
      <c r="G2148" t="n">
        <v>2025</v>
      </c>
      <c r="H2148" t="inlineStr">
        <is>
          <t>Junio</t>
        </is>
      </c>
      <c r="I2148" t="inlineStr">
        <is>
          <t>2025-1</t>
        </is>
      </c>
      <c r="J2148" t="n">
        <v>100</v>
      </c>
      <c r="K2148" t="n">
        <v>108.52</v>
      </c>
      <c r="L2148" s="39">
        <f>IFERROR(IF(OR(J2148=0,K2148=""),"",IF(E2148="Positivo",MIN(MAX(K2148/J2148,0),1.3),MIN(MAX(J2148/K2148,0),1.3))),"") </f>
        <v/>
      </c>
      <c r="M2148" s="39">
        <f>IFERROR(IF(OR(J2148=0,K2148=""),"",IF(E2148="Positivo",MAX(K2148/J2148,0),MAX(J2148/K2148,0))),"") </f>
        <v/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420-2025-06-30</t>
        </is>
      </c>
    </row>
    <row r="2149" hidden="1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08" t="n">
        <v>45930</v>
      </c>
      <c r="G2149" t="n">
        <v>2025</v>
      </c>
      <c r="H2149" t="inlineStr">
        <is>
          <t>Septiembre</t>
        </is>
      </c>
      <c r="I2149" t="inlineStr">
        <is>
          <t>2025-2</t>
        </is>
      </c>
      <c r="J2149" t="n">
        <v>100</v>
      </c>
      <c r="K2149" t="n">
        <v>100.3</v>
      </c>
      <c r="L2149" s="39">
        <f>IFERROR(IF(OR(J2149=0,K2149=""),"",IF(E2149="Positivo",MIN(MAX(K2149/J2149,0),1.3),MIN(MAX(J2149/K2149,0),1.3))),"") </f>
        <v/>
      </c>
      <c r="M2149" s="39">
        <f>IFERROR(IF(OR(J2149=0,K2149=""),"",IF(E2149="Positivo",MAX(K2149/J2149,0),MAX(J2149/K2149,0))),"") </f>
        <v/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420-2025-09-30</t>
        </is>
      </c>
    </row>
    <row r="2150" hidden="1">
      <c r="A2150" t="n">
        <v>420</v>
      </c>
      <c r="B2150" t="inlineStr">
        <is>
          <t>Cumplimiento Plan Anual Gerencia de estrategia</t>
        </is>
      </c>
      <c r="C2150" t="inlineStr">
        <is>
          <t>Planeación Estratégica</t>
        </is>
      </c>
      <c r="D2150" t="inlineStr">
        <is>
          <t>Semestral</t>
        </is>
      </c>
      <c r="E2150" t="inlineStr">
        <is>
          <t>Positivo</t>
        </is>
      </c>
      <c r="F2150" s="108" t="n">
        <v>46022</v>
      </c>
      <c r="G2150" t="n">
        <v>2025</v>
      </c>
      <c r="H2150" t="inlineStr">
        <is>
          <t>Diciembre</t>
        </is>
      </c>
      <c r="I2150" t="inlineStr">
        <is>
          <t>2025-2</t>
        </is>
      </c>
      <c r="J2150" t="n">
        <v>100</v>
      </c>
      <c r="K2150" t="n">
        <v>100</v>
      </c>
      <c r="L2150" s="39">
        <f>IFERROR(IF(OR(J2150=0,K2150=""),"",IF(E2150="Positivo",MIN(MAX(K2150/J2150,0),1.3),MIN(MAX(J2150/K2150,0),1.3))),"") </f>
        <v/>
      </c>
      <c r="M2150" s="39">
        <f>IFERROR(IF(OR(J2150=0,K2150=""),"",IF(E2150="Positivo",MAX(K2150/J2150,0),MAX(J2150/K2150,0))),"") </f>
        <v/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420-2025-12-31</t>
        </is>
      </c>
    </row>
    <row r="2151" hidden="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08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104072</v>
      </c>
      <c r="K2151" t="n">
        <v>140002</v>
      </c>
      <c r="L2151" s="39">
        <f>IFERROR(IF(OR(J2151=0,K2151=""),"",IF(E2151="Positivo",MIN(MAX(K2151/J2151,0),1.3),MIN(MAX(J2151/K2151,0),1.3))),"") </f>
        <v/>
      </c>
      <c r="M2151" s="39">
        <f>IFERROR(IF(OR(J2151=0,K2151=""),"",IF(E2151="Positivo",MAX(K2151/J2151,0),MAX(J2151/K2151,0))),"") </f>
        <v/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421-2023-06-30</t>
        </is>
      </c>
    </row>
    <row r="2152" hidden="1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08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97200</v>
      </c>
      <c r="K2152" t="n">
        <v>136199</v>
      </c>
      <c r="L2152" s="39">
        <f>IFERROR(IF(OR(J2152=0,K2152=""),"",IF(E2152="Positivo",MIN(MAX(K2152/J2152,0),1.3),MIN(MAX(J2152/K2152,0),1.3))),"") </f>
        <v/>
      </c>
      <c r="M2152" s="39">
        <f>IFERROR(IF(OR(J2152=0,K2152=""),"",IF(E2152="Positivo",MAX(K2152/J2152,0),MAX(J2152/K2152,0))),"") </f>
        <v/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421-2023-12-31</t>
        </is>
      </c>
    </row>
    <row r="2153" hidden="1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08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147043</v>
      </c>
      <c r="K2153" t="n">
        <v>177740</v>
      </c>
      <c r="L2153" s="39">
        <f>IFERROR(IF(OR(J2153=0,K2153=""),"",IF(E2153="Positivo",MIN(MAX(K2153/J2153,0),1.3),MIN(MAX(J2153/K2153,0),1.3))),"") </f>
        <v/>
      </c>
      <c r="M2153" s="39">
        <f>IFERROR(IF(OR(J2153=0,K2153=""),"",IF(E2153="Positivo",MAX(K2153/J2153,0),MAX(J2153/K2153,0))),"") </f>
        <v/>
      </c>
      <c r="N2153" t="inlineStr">
        <is>
          <t>%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421-2024-06-30</t>
        </is>
      </c>
    </row>
    <row r="2154" hidden="1">
      <c r="A2154" t="n">
        <v>421</v>
      </c>
      <c r="B2154" t="inlineStr">
        <is>
          <t>Total Leads por canales de captación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08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100</v>
      </c>
      <c r="K2154" t="n">
        <v>121.44</v>
      </c>
      <c r="L2154" s="39">
        <f>IFERROR(IF(OR(J2154=0,K2154=""),"",IF(E2154="Positivo",MIN(MAX(K2154/J2154,0),1.3),MIN(MAX(J2154/K2154,0),1.3))),"") </f>
        <v/>
      </c>
      <c r="M2154" s="39">
        <f>IFERROR(IF(OR(J2154=0,K2154=""),"",IF(E2154="Positivo",MAX(K2154/J2154,0),MAX(J2154/K2154,0))),"") </f>
        <v/>
      </c>
      <c r="P2154" t="n">
        <v>0</v>
      </c>
      <c r="Q2154" t="n">
        <v>0</v>
      </c>
      <c r="R2154" t="inlineStr">
        <is>
          <t>421-2024-12-31</t>
        </is>
      </c>
    </row>
    <row r="2155" hidden="1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08" t="n">
        <v>45107</v>
      </c>
      <c r="G2155" t="n">
        <v>2023</v>
      </c>
      <c r="H2155" t="inlineStr">
        <is>
          <t>Junio</t>
        </is>
      </c>
      <c r="I2155" t="inlineStr">
        <is>
          <t>2023-1</t>
        </is>
      </c>
      <c r="J2155" t="n">
        <v>11.7</v>
      </c>
      <c r="K2155" t="n">
        <v>11.973211368834</v>
      </c>
      <c r="L2155" s="39">
        <f>IFERROR(IF(OR(J2155=0,K2155=""),"",IF(E2155="Positivo",MIN(MAX(K2155/J2155,0),1.3),MIN(MAX(J2155/K2155,0),1.3))),"") </f>
        <v/>
      </c>
      <c r="M2155" s="39">
        <f>IFERROR(IF(OR(J2155=0,K2155=""),"",IF(E2155="Positivo",MAX(K2155/J2155,0),MAX(J2155/K2155,0))),"") </f>
        <v/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422-2023-06-30</t>
        </is>
      </c>
    </row>
    <row r="2156" hidden="1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08" t="n">
        <v>45291</v>
      </c>
      <c r="G2156" t="n">
        <v>2023</v>
      </c>
      <c r="H2156" t="inlineStr">
        <is>
          <t>Diciembre</t>
        </is>
      </c>
      <c r="I2156" t="inlineStr">
        <is>
          <t>2023-2</t>
        </is>
      </c>
      <c r="J2156" t="n">
        <v>10.5</v>
      </c>
      <c r="K2156" t="n">
        <v>11.04</v>
      </c>
      <c r="L2156" s="39">
        <f>IFERROR(IF(OR(J2156=0,K2156=""),"",IF(E2156="Positivo",MIN(MAX(K2156/J2156,0),1.3),MIN(MAX(J2156/K2156,0),1.3))),"") </f>
        <v/>
      </c>
      <c r="M2156" s="39">
        <f>IFERROR(IF(OR(J2156=0,K2156=""),"",IF(E2156="Positivo",MAX(K2156/J2156,0),MAX(J2156/K2156,0))),"") </f>
        <v/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422-2023-12-31</t>
        </is>
      </c>
    </row>
    <row r="2157" hidden="1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08" t="n">
        <v>45473</v>
      </c>
      <c r="G2157" t="n">
        <v>2024</v>
      </c>
      <c r="H2157" t="inlineStr">
        <is>
          <t>Junio</t>
        </is>
      </c>
      <c r="I2157" t="inlineStr">
        <is>
          <t>2024-1</t>
        </is>
      </c>
      <c r="J2157" t="n">
        <v>9.25</v>
      </c>
      <c r="K2157" t="n">
        <v>8.859999999999999</v>
      </c>
      <c r="L2157" s="39">
        <f>IFERROR(IF(OR(J2157=0,K2157=""),"",IF(E2157="Positivo",MIN(MAX(K2157/J2157,0),1.3),MIN(MAX(J2157/K2157,0),1.3))),"") </f>
        <v/>
      </c>
      <c r="M2157" s="39">
        <f>IFERROR(IF(OR(J2157=0,K2157=""),"",IF(E2157="Positivo",MAX(K2157/J2157,0),MAX(J2157/K2157,0))),"") </f>
        <v/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422-2024-06-30</t>
        </is>
      </c>
    </row>
    <row r="2158" hidden="1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Semestral</t>
        </is>
      </c>
      <c r="E2158" t="inlineStr">
        <is>
          <t>Positivo</t>
        </is>
      </c>
      <c r="F2158" s="108" t="n">
        <v>45657</v>
      </c>
      <c r="G2158" t="n">
        <v>2024</v>
      </c>
      <c r="H2158" t="inlineStr">
        <is>
          <t>Diciembre</t>
        </is>
      </c>
      <c r="I2158" t="inlineStr">
        <is>
          <t>2024-2</t>
        </is>
      </c>
      <c r="J2158" t="n">
        <v>8.01</v>
      </c>
      <c r="K2158" t="n">
        <v>7.91</v>
      </c>
      <c r="L2158" s="39">
        <f>IFERROR(IF(OR(J2158=0,K2158=""),"",IF(E2158="Positivo",MIN(MAX(K2158/J2158,0),1.3),MIN(MAX(J2158/K2158,0),1.3))),"") </f>
        <v/>
      </c>
      <c r="M2158" s="39">
        <f>IFERROR(IF(OR(J2158=0,K2158=""),"",IF(E2158="Positivo",MAX(K2158/J2158,0),MAX(J2158/K2158,0))),"") </f>
        <v/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422-2024-12-31</t>
        </is>
      </c>
    </row>
    <row r="2159" hidden="1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08" t="n">
        <v>45838</v>
      </c>
      <c r="G2159" t="n">
        <v>2025</v>
      </c>
      <c r="H2159" t="inlineStr">
        <is>
          <t>Junio</t>
        </is>
      </c>
      <c r="I2159" t="inlineStr">
        <is>
          <t>2025-1</t>
        </is>
      </c>
      <c r="J2159" t="n">
        <v>7.83</v>
      </c>
      <c r="K2159" t="n">
        <v>8.199999999999999</v>
      </c>
      <c r="L2159" s="39">
        <f>IFERROR(IF(OR(J2159=0,K2159=""),"",IF(E2159="Positivo",MIN(MAX(K2159/J2159,0),1.3),MIN(MAX(J2159/K2159,0),1.3))),"") </f>
        <v/>
      </c>
      <c r="M2159" s="39">
        <f>IFERROR(IF(OR(J2159=0,K2159=""),"",IF(E2159="Positivo",MAX(K2159/J2159,0),MAX(J2159/K2159,0))),"") </f>
        <v/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422-2025-06-30</t>
        </is>
      </c>
    </row>
    <row r="2160" hidden="1">
      <c r="A2160" t="n">
        <v>422</v>
      </c>
      <c r="B2160" t="inlineStr">
        <is>
          <t>Total conversión</t>
        </is>
      </c>
      <c r="C2160" t="inlineStr">
        <is>
          <t>Mercadeo de programas académicos</t>
        </is>
      </c>
      <c r="D2160" t="inlineStr">
        <is>
          <t>Trimestral</t>
        </is>
      </c>
      <c r="E2160" t="inlineStr">
        <is>
          <t>Positivo</t>
        </is>
      </c>
      <c r="F2160" s="108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7.68</v>
      </c>
      <c r="K2160" t="n">
        <v>7.87</v>
      </c>
      <c r="L2160" s="39">
        <f>IFERROR(IF(OR(J2160=0,K2160=""),"",IF(E2160="Positivo",MIN(MAX(K2160/J2160,0),1.3),MIN(MAX(J2160/K2160,0),1.3))),"") </f>
        <v/>
      </c>
      <c r="M2160" s="39">
        <f>IFERROR(IF(OR(J2160=0,K2160=""),"",IF(E2160="Positivo",MAX(K2160/J2160,0),MAX(J2160/K2160,0))),"") </f>
        <v/>
      </c>
      <c r="N2160" t="inlineStr">
        <is>
          <t>%</t>
        </is>
      </c>
      <c r="O2160" t="inlineStr">
        <is>
          <t>%</t>
        </is>
      </c>
      <c r="P2160" t="n">
        <v>2</v>
      </c>
      <c r="Q2160" t="n">
        <v>2</v>
      </c>
      <c r="R2160" t="inlineStr">
        <is>
          <t>422-2025-12-31</t>
        </is>
      </c>
    </row>
    <row r="2161" hidden="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08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8.4</v>
      </c>
      <c r="K2161" t="n">
        <v>7.9</v>
      </c>
      <c r="L2161" s="39">
        <f>IFERROR(IF(OR(J2161=0,K2161=""),"",IF(E2161="Positivo",MIN(MAX(K2161/J2161,0),1.3),MIN(MAX(J2161/K2161,0),1.3))),"") </f>
        <v/>
      </c>
      <c r="M2161" s="39">
        <f>IFERROR(IF(OR(J2161=0,K2161=""),"",IF(E2161="Positivo",MAX(K2161/J2161,0),MAX(J2161/K2161,0))),"") </f>
        <v/>
      </c>
      <c r="N2161" t="inlineStr">
        <is>
          <t>%</t>
        </is>
      </c>
      <c r="O2161" t="inlineStr">
        <is>
          <t>%</t>
        </is>
      </c>
      <c r="P2161" t="n">
        <v>1</v>
      </c>
      <c r="Q2161" t="n">
        <v>1</v>
      </c>
      <c r="R2161" t="inlineStr">
        <is>
          <t>423-2023-12-31</t>
        </is>
      </c>
    </row>
    <row r="2162" hidden="1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08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8.300000000000001</v>
      </c>
      <c r="K2162" t="n">
        <v>12.3</v>
      </c>
      <c r="L2162" s="39">
        <f>IFERROR(IF(OR(J2162=0,K2162=""),"",IF(E2162="Positivo",MIN(MAX(K2162/J2162,0),1.3),MIN(MAX(J2162/K2162,0),1.3))),"") </f>
        <v/>
      </c>
      <c r="M2162" s="39">
        <f>IFERROR(IF(OR(J2162=0,K2162=""),"",IF(E2162="Positivo",MAX(K2162/J2162,0),MAX(J2162/K2162,0))),"") </f>
        <v/>
      </c>
      <c r="P2162" t="n">
        <v>1</v>
      </c>
      <c r="Q2162" t="n">
        <v>1</v>
      </c>
      <c r="R2162" t="inlineStr">
        <is>
          <t>423-2024-12-31</t>
        </is>
      </c>
    </row>
    <row r="2163" hidden="1">
      <c r="A2163" t="n">
        <v>423</v>
      </c>
      <c r="B2163" t="inlineStr">
        <is>
          <t>Brand equity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08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12.3</v>
      </c>
      <c r="K2163" t="n">
        <v>15.1</v>
      </c>
      <c r="L2163" s="39">
        <f>IFERROR(IF(OR(J2163=0,K2163=""),"",IF(E2163="Positivo",MIN(MAX(K2163/J2163,0),1.3),MIN(MAX(J2163/K2163,0),1.3))),"") </f>
        <v/>
      </c>
      <c r="M2163" s="39">
        <f>IFERROR(IF(OR(J2163=0,K2163=""),"",IF(E2163="Positivo",MAX(K2163/J2163,0),MAX(J2163/K2163,0))),"") </f>
        <v/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423-2025-12-31</t>
        </is>
      </c>
    </row>
    <row r="2164" hidden="1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08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92</v>
      </c>
      <c r="K2164" t="n">
        <v>6</v>
      </c>
      <c r="L2164" s="39">
        <f>IFERROR(IF(OR(J2164=0,K2164=""),"",IF(E2164="Positivo",MIN(MAX(K2164/J2164,0),1.3),MIN(MAX(J2164/K2164,0),1.3))),"") </f>
        <v/>
      </c>
      <c r="M2164" s="39">
        <f>IFERROR(IF(OR(J2164=0,K2164=""),"",IF(E2164="Positivo",MAX(K2164/J2164,0),MAX(J2164/K2164,0))),"") </f>
        <v/>
      </c>
      <c r="P2164" t="n">
        <v>0</v>
      </c>
      <c r="Q2164" t="n">
        <v>0</v>
      </c>
      <c r="R2164" t="inlineStr">
        <is>
          <t>424-2023-12-31</t>
        </is>
      </c>
    </row>
    <row r="2165" hidden="1">
      <c r="A2165" t="n">
        <v>424</v>
      </c>
      <c r="B2165" t="inlineStr">
        <is>
          <t>Conocimiento espontaneo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08" t="n">
        <v>45657</v>
      </c>
      <c r="G2165" t="n">
        <v>2024</v>
      </c>
      <c r="H2165" t="inlineStr">
        <is>
          <t>Diciembre</t>
        </is>
      </c>
      <c r="I2165" t="inlineStr">
        <is>
          <t>2024-2</t>
        </is>
      </c>
      <c r="J2165" t="n">
        <v>7</v>
      </c>
      <c r="K2165" t="n">
        <v>9</v>
      </c>
      <c r="L2165" s="39">
        <f>IFERROR(IF(OR(J2165=0,K2165=""),"",IF(E2165="Positivo",MIN(MAX(K2165/J2165,0),1.3),MIN(MAX(J2165/K2165,0),1.3))),"") </f>
        <v/>
      </c>
      <c r="M2165" s="39">
        <f>IFERROR(IF(OR(J2165=0,K2165=""),"",IF(E2165="Positivo",MAX(K2165/J2165,0),MAX(J2165/K2165,0))),"") </f>
        <v/>
      </c>
      <c r="P2165" t="n">
        <v>0</v>
      </c>
      <c r="Q2165" t="n">
        <v>0</v>
      </c>
      <c r="R2165" t="inlineStr">
        <is>
          <t>424-2024-12-31</t>
        </is>
      </c>
    </row>
    <row r="2166" hidden="1">
      <c r="A2166" t="n">
        <v>424</v>
      </c>
      <c r="B2166" t="inlineStr">
        <is>
          <t>Conocimiento espontáneo</t>
        </is>
      </c>
      <c r="C2166" t="inlineStr">
        <is>
          <t>Mercadeo de programas académicos</t>
        </is>
      </c>
      <c r="D2166" t="inlineStr">
        <is>
          <t>Anual</t>
        </is>
      </c>
      <c r="E2166" t="inlineStr">
        <is>
          <t>Positivo</t>
        </is>
      </c>
      <c r="F2166" s="108" t="n">
        <v>46022</v>
      </c>
      <c r="G2166" t="n">
        <v>2025</v>
      </c>
      <c r="H2166" t="inlineStr">
        <is>
          <t>Diciembre</t>
        </is>
      </c>
      <c r="I2166" t="inlineStr">
        <is>
          <t>2025-2</t>
        </is>
      </c>
      <c r="J2166" t="n">
        <v>9</v>
      </c>
      <c r="K2166" t="n">
        <v>11</v>
      </c>
      <c r="L2166" s="39">
        <f>IFERROR(IF(OR(J2166=0,K2166=""),"",IF(E2166="Positivo",MIN(MAX(K2166/J2166,0),1.3),MIN(MAX(J2166/K2166,0),1.3))),"") </f>
        <v/>
      </c>
      <c r="M2166" s="39">
        <f>IFERROR(IF(OR(J2166=0,K2166=""),"",IF(E2166="Positivo",MAX(K2166/J2166,0),MAX(J2166/K2166,0))),"") </f>
        <v/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424-2025-12-31</t>
        </is>
      </c>
    </row>
    <row r="2167" hidden="1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Anual</t>
        </is>
      </c>
      <c r="E2167" t="inlineStr">
        <is>
          <t>Positivo</t>
        </is>
      </c>
      <c r="F2167" s="108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5500</v>
      </c>
      <c r="K2167" t="n">
        <v>5785</v>
      </c>
      <c r="L2167" s="39">
        <f>IFERROR(IF(OR(J2167=0,K2167=""),"",IF(E2167="Positivo",MIN(MAX(K2167/J2167,0),1.3),MIN(MAX(J2167/K2167,0),1.3))),"") </f>
        <v/>
      </c>
      <c r="M2167" s="39">
        <f>IFERROR(IF(OR(J2167=0,K2167=""),"",IF(E2167="Positivo",MAX(K2167/J2167,0),MAX(J2167/K2167,0))),"") </f>
        <v/>
      </c>
      <c r="N2167" t="inlineStr">
        <is>
          <t>$</t>
        </is>
      </c>
      <c r="O2167" t="inlineStr">
        <is>
          <t>$</t>
        </is>
      </c>
      <c r="P2167" t="n">
        <v>0</v>
      </c>
      <c r="Q2167" t="n">
        <v>0</v>
      </c>
      <c r="R2167" t="inlineStr">
        <is>
          <t>425-2023-12-31</t>
        </is>
      </c>
    </row>
    <row r="2168" hidden="1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08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100</v>
      </c>
      <c r="K2168" t="n">
        <v>60.69</v>
      </c>
      <c r="L2168" s="39">
        <f>IFERROR(IF(OR(J2168=0,K2168=""),"",IF(E2168="Positivo",MIN(MAX(K2168/J2168,0),1.3),MIN(MAX(J2168/K2168,0),1.3))),"") </f>
        <v/>
      </c>
      <c r="M2168" s="39">
        <f>IFERROR(IF(OR(J2168=0,K2168=""),"",IF(E2168="Positivo",MAX(K2168/J2168,0),MAX(J2168/K2168,0))),"") </f>
        <v/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425-2024-06-30</t>
        </is>
      </c>
    </row>
    <row r="2169" hidden="1">
      <c r="A2169" t="n">
        <v>425</v>
      </c>
      <c r="B2169" t="inlineStr">
        <is>
          <t>Cumplimiento Leads Educación para la vida</t>
        </is>
      </c>
      <c r="C2169" t="inlineStr">
        <is>
          <t>Mercadeo y venta de educación para la vida</t>
        </is>
      </c>
      <c r="D2169" t="inlineStr">
        <is>
          <t>Semestral</t>
        </is>
      </c>
      <c r="E2169" t="inlineStr">
        <is>
          <t>Positivo</t>
        </is>
      </c>
      <c r="F2169" s="108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100</v>
      </c>
      <c r="K2169" t="n">
        <v>164.69</v>
      </c>
      <c r="L2169" s="39">
        <f>IFERROR(IF(OR(J2169=0,K2169=""),"",IF(E2169="Positivo",MIN(MAX(K2169/J2169,0),1.3),MIN(MAX(J2169/K2169,0),1.3))),"") </f>
        <v/>
      </c>
      <c r="M2169" s="39">
        <f>IFERROR(IF(OR(J2169=0,K2169=""),"",IF(E2169="Positivo",MAX(K2169/J2169,0),MAX(J2169/K2169,0))),"") </f>
        <v/>
      </c>
      <c r="N2169" t="inlineStr">
        <is>
          <t>ENT</t>
        </is>
      </c>
      <c r="O2169" t="inlineStr">
        <is>
          <t>ENT</t>
        </is>
      </c>
      <c r="P2169" t="n">
        <v>0</v>
      </c>
      <c r="Q2169" t="n">
        <v>0</v>
      </c>
      <c r="R2169" t="inlineStr">
        <is>
          <t>425-2024-12-31</t>
        </is>
      </c>
    </row>
    <row r="2170" hidden="1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08" t="n">
        <v>45107</v>
      </c>
      <c r="G2170" t="n">
        <v>2023</v>
      </c>
      <c r="H2170" t="inlineStr">
        <is>
          <t>Junio</t>
        </is>
      </c>
      <c r="I2170" t="inlineStr">
        <is>
          <t>2023-1</t>
        </is>
      </c>
      <c r="K2170" t="n">
        <v>86.98</v>
      </c>
      <c r="L2170" s="39" t="n"/>
      <c r="M2170" s="3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426-2023-06-30</t>
        </is>
      </c>
    </row>
    <row r="2171" hidden="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08" t="n">
        <v>45291</v>
      </c>
      <c r="G2171" t="n">
        <v>2023</v>
      </c>
      <c r="H2171" t="inlineStr">
        <is>
          <t>Diciembre</t>
        </is>
      </c>
      <c r="I2171" t="inlineStr">
        <is>
          <t>2023-2</t>
        </is>
      </c>
      <c r="K2171" t="n">
        <v>92.31</v>
      </c>
      <c r="L2171" s="39" t="n"/>
      <c r="M2171" s="39" t="n"/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426-2023-12-31</t>
        </is>
      </c>
    </row>
    <row r="2172" hidden="1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08" t="n">
        <v>45473</v>
      </c>
      <c r="G2172" t="n">
        <v>2024</v>
      </c>
      <c r="H2172" t="inlineStr">
        <is>
          <t>Junio</t>
        </is>
      </c>
      <c r="I2172" t="inlineStr">
        <is>
          <t>2024-1</t>
        </is>
      </c>
      <c r="J2172" t="n">
        <v>80</v>
      </c>
      <c r="K2172" t="n">
        <v>60.27</v>
      </c>
      <c r="L2172" s="39">
        <f>IFERROR(IF(OR(J2172=0,K2172=""),"",IF(E2172="Positivo",MIN(MAX(K2172/J2172,0),1.3),MIN(MAX(J2172/K2172,0),1.3))),"") </f>
        <v/>
      </c>
      <c r="M2172" s="39">
        <f>IFERROR(IF(OR(J2172=0,K2172=""),"",IF(E2172="Positivo",MAX(K2172/J2172,0),MAX(J2172/K2172,0))),"") </f>
        <v/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426-2024-06-30</t>
        </is>
      </c>
    </row>
    <row r="2173" hidden="1">
      <c r="A2173" t="n">
        <v>426</v>
      </c>
      <c r="B2173" t="inlineStr">
        <is>
          <t>Cumplimiento en la respuesta a solicitudes de comunicaciones internas</t>
        </is>
      </c>
      <c r="C2173" t="inlineStr">
        <is>
          <t>Comunicaciones Internas</t>
        </is>
      </c>
      <c r="D2173" t="inlineStr">
        <is>
          <t>Semestral</t>
        </is>
      </c>
      <c r="E2173" t="inlineStr">
        <is>
          <t>Positivo</t>
        </is>
      </c>
      <c r="F2173" s="108" t="n">
        <v>45657</v>
      </c>
      <c r="G2173" t="n">
        <v>2024</v>
      </c>
      <c r="H2173" t="inlineStr">
        <is>
          <t>Diciembre</t>
        </is>
      </c>
      <c r="I2173" t="inlineStr">
        <is>
          <t>2024-2</t>
        </is>
      </c>
      <c r="J2173" t="n">
        <v>80</v>
      </c>
      <c r="K2173" t="n">
        <v>86.72</v>
      </c>
      <c r="L2173" s="39">
        <f>IFERROR(IF(OR(J2173=0,K2173=""),"",IF(E2173="Positivo",MIN(MAX(K2173/J2173,0),1.3),MIN(MAX(J2173/K2173,0),1.3))),"") </f>
        <v/>
      </c>
      <c r="M2173" s="39">
        <f>IFERROR(IF(OR(J2173=0,K2173=""),"",IF(E2173="Positivo",MAX(K2173/J2173,0),MAX(J2173/K2173,0))),"") </f>
        <v/>
      </c>
      <c r="N2173" t="inlineStr">
        <is>
          <t>Linea Base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426-2024-12-31</t>
        </is>
      </c>
    </row>
    <row r="2174" hidden="1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08" t="n">
        <v>45107</v>
      </c>
      <c r="G2174" t="n">
        <v>2023</v>
      </c>
      <c r="H2174" t="inlineStr">
        <is>
          <t>Junio</t>
        </is>
      </c>
      <c r="I2174" t="inlineStr">
        <is>
          <t>2023-1</t>
        </is>
      </c>
      <c r="J2174" t="n">
        <v>0.2</v>
      </c>
      <c r="K2174" t="n">
        <v>0.13666666666667</v>
      </c>
      <c r="L2174" s="39">
        <f>IFERROR(IF(OR(J2174=0,K2174=""),"",IF(E2174="Positivo",MIN(MAX(K2174/J2174,0),1.3),MIN(MAX(J2174/K2174,0),1.3))),"") </f>
        <v/>
      </c>
      <c r="M2174" s="39">
        <f>IFERROR(IF(OR(J2174=0,K2174=""),"",IF(E2174="Positivo",MAX(K2174/J2174,0),MAX(J2174/K2174,0))),"") </f>
        <v/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427-2023-06-30</t>
        </is>
      </c>
    </row>
    <row r="2175" hidden="1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08" t="n">
        <v>45291</v>
      </c>
      <c r="G2175" t="n">
        <v>2023</v>
      </c>
      <c r="H2175" t="inlineStr">
        <is>
          <t>Diciembre</t>
        </is>
      </c>
      <c r="I2175" t="inlineStr">
        <is>
          <t>2023-2</t>
        </is>
      </c>
      <c r="J2175" t="n">
        <v>0.2</v>
      </c>
      <c r="K2175" t="n">
        <v>0.2</v>
      </c>
      <c r="L2175" s="39">
        <f>IFERROR(IF(OR(J2175=0,K2175=""),"",IF(E2175="Positivo",MIN(MAX(K2175/J2175,0),1.3),MIN(MAX(J2175/K2175,0),1.3))),"") </f>
        <v/>
      </c>
      <c r="M2175" s="39">
        <f>IFERROR(IF(OR(J2175=0,K2175=""),"",IF(E2175="Positivo",MAX(K2175/J2175,0),MAX(J2175/K2175,0))),"") </f>
        <v/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427-2023-12-31</t>
        </is>
      </c>
    </row>
    <row r="2176" hidden="1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08" t="n">
        <v>45473</v>
      </c>
      <c r="G2176" t="n">
        <v>2024</v>
      </c>
      <c r="H2176" t="inlineStr">
        <is>
          <t>Junio</t>
        </is>
      </c>
      <c r="I2176" t="inlineStr">
        <is>
          <t>2024-1</t>
        </is>
      </c>
      <c r="J2176" t="n">
        <v>0.2</v>
      </c>
      <c r="K2176" t="n">
        <v>0.17</v>
      </c>
      <c r="L2176" s="39">
        <f>IFERROR(IF(OR(J2176=0,K2176=""),"",IF(E2176="Positivo",MIN(MAX(K2176/J2176,0),1.3),MIN(MAX(J2176/K2176,0),1.3))),"") </f>
        <v/>
      </c>
      <c r="M2176" s="39">
        <f>IFERROR(IF(OR(J2176=0,K2176=""),"",IF(E2176="Positivo",MAX(K2176/J2176,0),MAX(J2176/K2176,0))),"") </f>
        <v/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427-2024-06-30</t>
        </is>
      </c>
    </row>
    <row r="2177" hidden="1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08" t="n">
        <v>45657</v>
      </c>
      <c r="G2177" t="n">
        <v>2024</v>
      </c>
      <c r="H2177" t="inlineStr">
        <is>
          <t>Diciembre</t>
        </is>
      </c>
      <c r="I2177" t="inlineStr">
        <is>
          <t>2024-2</t>
        </is>
      </c>
      <c r="J2177" t="n">
        <v>0.2</v>
      </c>
      <c r="K2177" t="n">
        <v>0.17</v>
      </c>
      <c r="L2177" s="39">
        <f>IFERROR(IF(OR(J2177=0,K2177=""),"",IF(E2177="Positivo",MIN(MAX(K2177/J2177,0),1.3),MIN(MAX(J2177/K2177,0),1.3))),"") </f>
        <v/>
      </c>
      <c r="M2177" s="39">
        <f>IFERROR(IF(OR(J2177=0,K2177=""),"",IF(E2177="Positivo",MAX(K2177/J2177,0),MAX(J2177/K2177,0))),"") </f>
        <v/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427-2024-12-31</t>
        </is>
      </c>
    </row>
    <row r="2178" hidden="1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108" t="n">
        <v>45838</v>
      </c>
      <c r="G2178" t="n">
        <v>2025</v>
      </c>
      <c r="H2178" t="inlineStr">
        <is>
          <t>Junio</t>
        </is>
      </c>
      <c r="I2178" t="inlineStr">
        <is>
          <t>2025-1</t>
        </is>
      </c>
      <c r="J2178" t="n">
        <v>0.2</v>
      </c>
      <c r="K2178" t="n">
        <v>0.14</v>
      </c>
      <c r="L2178" s="39">
        <f>IFERROR(IF(OR(J2178=0,K2178=""),"",IF(E2178="Positivo",MIN(MAX(K2178/J2178,0),1.3),MIN(MAX(J2178/K2178,0),1.3))),"") </f>
        <v/>
      </c>
      <c r="M2178" s="39">
        <f>IFERROR(IF(OR(J2178=0,K2178=""),"",IF(E2178="Positivo",MAX(K2178/J2178,0),MAX(J2178/K2178,0))),"") </f>
        <v/>
      </c>
      <c r="N2178" t="inlineStr">
        <is>
          <t>DEC</t>
        </is>
      </c>
      <c r="O2178" t="inlineStr">
        <is>
          <t>DEC</t>
        </is>
      </c>
      <c r="P2178" t="n">
        <v>1</v>
      </c>
      <c r="Q2178" t="n">
        <v>2</v>
      </c>
      <c r="R2178" t="inlineStr">
        <is>
          <t>427-2025-06-30</t>
        </is>
      </c>
    </row>
    <row r="2179" hidden="1">
      <c r="A2179" t="n">
        <v>427</v>
      </c>
      <c r="B2179" t="inlineStr">
        <is>
          <t>Consumo de Agua per Cápita Semestral</t>
        </is>
      </c>
      <c r="C2179" t="inlineStr">
        <is>
          <t>GESTIÓN AMBIENTAL</t>
        </is>
      </c>
      <c r="D2179" t="inlineStr">
        <is>
          <t>Trimestral</t>
        </is>
      </c>
      <c r="E2179" t="inlineStr">
        <is>
          <t>Negativo</t>
        </is>
      </c>
      <c r="F2179" s="108" t="n">
        <v>46022</v>
      </c>
      <c r="G2179" t="n">
        <v>2025</v>
      </c>
      <c r="H2179" t="inlineStr">
        <is>
          <t>Diciembre</t>
        </is>
      </c>
      <c r="I2179" t="inlineStr">
        <is>
          <t>2025-2</t>
        </is>
      </c>
      <c r="J2179" t="n">
        <v>0.2</v>
      </c>
      <c r="K2179" t="n">
        <v>0.15</v>
      </c>
      <c r="L2179" s="39">
        <f>IFERROR(IF(OR(J2179=0,K2179=""),"",IF(E2179="Positivo",MIN(MAX(K2179/J2179,0),1.3),MIN(MAX(J2179/K2179,0),1.3))),"") </f>
        <v/>
      </c>
      <c r="M2179" s="39">
        <f>IFERROR(IF(OR(J2179=0,K2179=""),"",IF(E2179="Positivo",MAX(K2179/J2179,0),MAX(J2179/K2179,0))),"") </f>
        <v/>
      </c>
      <c r="N2179" t="inlineStr">
        <is>
          <t>DEC</t>
        </is>
      </c>
      <c r="O2179" t="inlineStr">
        <is>
          <t>DEC</t>
        </is>
      </c>
      <c r="P2179" t="n">
        <v>2</v>
      </c>
      <c r="Q2179" t="n">
        <v>2</v>
      </c>
      <c r="R2179" t="inlineStr">
        <is>
          <t>427-2025-12-31</t>
        </is>
      </c>
    </row>
    <row r="2180" hidden="1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08" t="n">
        <v>45107</v>
      </c>
      <c r="G2180" t="n">
        <v>2023</v>
      </c>
      <c r="H2180" t="inlineStr">
        <is>
          <t>Junio</t>
        </is>
      </c>
      <c r="I2180" t="inlineStr">
        <is>
          <t>2023-1</t>
        </is>
      </c>
      <c r="J2180" t="n">
        <v>1</v>
      </c>
      <c r="K2180" t="n">
        <v>17.59</v>
      </c>
      <c r="L2180" s="39">
        <f>IFERROR(IF(OR(J2180=0,K2180=""),"",IF(E2180="Positivo",MIN(MAX(K2180/J2180,0),1.3),MIN(MAX(J2180/K2180,0),1.3))),"") </f>
        <v/>
      </c>
      <c r="M2180" s="39">
        <f>IFERROR(IF(OR(J2180=0,K2180=""),"",IF(E2180="Positivo",MAX(K2180/J2180,0),MAX(J2180/K2180,0))),"") </f>
        <v/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428-2023-06-30</t>
        </is>
      </c>
    </row>
    <row r="2181" hidden="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08" t="n">
        <v>45291</v>
      </c>
      <c r="G2181" t="n">
        <v>2023</v>
      </c>
      <c r="H2181" t="inlineStr">
        <is>
          <t>Diciembre</t>
        </is>
      </c>
      <c r="I2181" t="inlineStr">
        <is>
          <t>2023-2</t>
        </is>
      </c>
      <c r="J2181" t="n">
        <v>1</v>
      </c>
      <c r="K2181" t="n">
        <v>18.63</v>
      </c>
      <c r="L2181" s="39">
        <f>IFERROR(IF(OR(J2181=0,K2181=""),"",IF(E2181="Positivo",MIN(MAX(K2181/J2181,0),1.3),MIN(MAX(J2181/K2181,0),1.3))),"") </f>
        <v/>
      </c>
      <c r="M2181" s="39">
        <f>IFERROR(IF(OR(J2181=0,K2181=""),"",IF(E2181="Positivo",MAX(K2181/J2181,0),MAX(J2181/K2181,0))),"") </f>
        <v/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428-2023-12-31</t>
        </is>
      </c>
    </row>
    <row r="2182" hidden="1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08" t="n">
        <v>45473</v>
      </c>
      <c r="G2182" t="n">
        <v>2024</v>
      </c>
      <c r="H2182" t="inlineStr">
        <is>
          <t>Junio</t>
        </is>
      </c>
      <c r="I2182" t="inlineStr">
        <is>
          <t>2024-1</t>
        </is>
      </c>
      <c r="J2182" t="n">
        <v>1</v>
      </c>
      <c r="K2182" t="n">
        <v>16.58</v>
      </c>
      <c r="L2182" s="39">
        <f>IFERROR(IF(OR(J2182=0,K2182=""),"",IF(E2182="Positivo",MIN(MAX(K2182/J2182,0),1.3),MIN(MAX(J2182/K2182,0),1.3))),"") </f>
        <v/>
      </c>
      <c r="M2182" s="39">
        <f>IFERROR(IF(OR(J2182=0,K2182=""),"",IF(E2182="Positivo",MAX(K2182/J2182,0),MAX(J2182/K2182,0))),"") </f>
        <v/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428-2024-06-30</t>
        </is>
      </c>
    </row>
    <row r="2183" hidden="1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08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</v>
      </c>
      <c r="K2183" t="n">
        <v>18.53</v>
      </c>
      <c r="L2183" s="39">
        <f>IFERROR(IF(OR(J2183=0,K2183=""),"",IF(E2183="Positivo",MIN(MAX(K2183/J2183,0),1.3),MIN(MAX(J2183/K2183,0),1.3))),"") </f>
        <v/>
      </c>
      <c r="M2183" s="39">
        <f>IFERROR(IF(OR(J2183=0,K2183=""),"",IF(E2183="Positivo",MAX(K2183/J2183,0),MAX(J2183/K2183,0))),"") </f>
        <v/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428-2024-12-31</t>
        </is>
      </c>
    </row>
    <row r="2184" hidden="1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Trimestral</t>
        </is>
      </c>
      <c r="E2184" t="inlineStr">
        <is>
          <t>Negativo</t>
        </is>
      </c>
      <c r="F2184" s="108" t="n">
        <v>45838</v>
      </c>
      <c r="G2184" t="n">
        <v>2025</v>
      </c>
      <c r="H2184" t="inlineStr">
        <is>
          <t>Junio</t>
        </is>
      </c>
      <c r="I2184" t="inlineStr">
        <is>
          <t>2025-1</t>
        </is>
      </c>
      <c r="J2184" t="n">
        <v>1</v>
      </c>
      <c r="K2184" t="n">
        <v>15.12</v>
      </c>
      <c r="L2184" s="39">
        <f>IFERROR(IF(OR(J2184=0,K2184=""),"",IF(E2184="Positivo",MIN(MAX(K2184/J2184,0),1.3),MIN(MAX(J2184/K2184,0),1.3))),"") </f>
        <v/>
      </c>
      <c r="M2184" s="39">
        <f>IFERROR(IF(OR(J2184=0,K2184=""),"",IF(E2184="Positivo",MAX(K2184/J2184,0),MAX(J2184/K2184,0))),"") </f>
        <v/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428-2025-06-30</t>
        </is>
      </c>
    </row>
    <row r="2185" hidden="1">
      <c r="A2185" t="n">
        <v>428</v>
      </c>
      <c r="B2185" t="inlineStr">
        <is>
          <t>Consumo de Energía Eléctrica per Cápita Semestral</t>
        </is>
      </c>
      <c r="C2185" t="inlineStr">
        <is>
          <t>GESTIÓN AMBIENTAL</t>
        </is>
      </c>
      <c r="D2185" t="inlineStr">
        <is>
          <t>Trimestral</t>
        </is>
      </c>
      <c r="E2185" t="inlineStr">
        <is>
          <t>Negativo</t>
        </is>
      </c>
      <c r="F2185" s="108" t="n">
        <v>46022</v>
      </c>
      <c r="G2185" t="n">
        <v>2025</v>
      </c>
      <c r="H2185" t="inlineStr">
        <is>
          <t>Diciembre</t>
        </is>
      </c>
      <c r="I2185" t="inlineStr">
        <is>
          <t>2025-2</t>
        </is>
      </c>
      <c r="J2185" t="n">
        <v>1</v>
      </c>
      <c r="K2185" t="n">
        <v>17.88</v>
      </c>
      <c r="L2185" s="39">
        <f>IFERROR(IF(OR(J2185=0,K2185=""),"",IF(E2185="Positivo",MIN(MAX(K2185/J2185,0),1.3),MIN(MAX(J2185/K2185,0),1.3))),"") </f>
        <v/>
      </c>
      <c r="M2185" s="39">
        <f>IFERROR(IF(OR(J2185=0,K2185=""),"",IF(E2185="Positivo",MAX(K2185/J2185,0),MAX(J2185/K2185,0))),"") </f>
        <v/>
      </c>
      <c r="N2185" t="inlineStr">
        <is>
          <t>kWh</t>
        </is>
      </c>
      <c r="O2185" t="inlineStr">
        <is>
          <t>kWh</t>
        </is>
      </c>
      <c r="P2185" t="n">
        <v>0</v>
      </c>
      <c r="Q2185" t="n">
        <v>1</v>
      </c>
      <c r="R2185" t="inlineStr">
        <is>
          <t>428-2025-12-31</t>
        </is>
      </c>
    </row>
    <row r="2186" hidden="1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08" t="n">
        <v>45107</v>
      </c>
      <c r="G2186" t="n">
        <v>2023</v>
      </c>
      <c r="H2186" t="inlineStr">
        <is>
          <t>Junio</t>
        </is>
      </c>
      <c r="I2186" t="inlineStr">
        <is>
          <t>2023-1</t>
        </is>
      </c>
      <c r="J2186" t="n">
        <v>0.76</v>
      </c>
      <c r="K2186" t="n">
        <v>0.3</v>
      </c>
      <c r="L2186" s="39">
        <f>IFERROR(IF(OR(J2186=0,K2186=""),"",IF(E2186="Positivo",MIN(MAX(K2186/J2186,0),1.3),MIN(MAX(J2186/K2186,0),1.3))),"") </f>
        <v/>
      </c>
      <c r="M2186" s="39">
        <f>IFERROR(IF(OR(J2186=0,K2186=""),"",IF(E2186="Positivo",MAX(K2186/J2186,0),MAX(J2186/K2186,0))),"") </f>
        <v/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429-2023-06-30</t>
        </is>
      </c>
    </row>
    <row r="2187" hidden="1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08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0.76</v>
      </c>
      <c r="K2187" t="n">
        <v>0.76</v>
      </c>
      <c r="L2187" s="39">
        <f>IFERROR(IF(OR(J2187=0,K2187=""),"",IF(E2187="Positivo",MIN(MAX(K2187/J2187,0),1.3),MIN(MAX(J2187/K2187,0),1.3))),"") </f>
        <v/>
      </c>
      <c r="M2187" s="39">
        <f>IFERROR(IF(OR(J2187=0,K2187=""),"",IF(E2187="Positivo",MAX(K2187/J2187,0),MAX(J2187/K2187,0))),"") </f>
        <v/>
      </c>
      <c r="N2187" t="inlineStr">
        <is>
          <t>DEC</t>
        </is>
      </c>
      <c r="O2187" t="inlineStr">
        <is>
          <t>DEC</t>
        </is>
      </c>
      <c r="P2187" t="n">
        <v>0</v>
      </c>
      <c r="Q2187" t="n">
        <v>0</v>
      </c>
      <c r="R2187" t="inlineStr">
        <is>
          <t>429-2023-12-31</t>
        </is>
      </c>
    </row>
    <row r="2188" hidden="1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08" t="n">
        <v>45473</v>
      </c>
      <c r="G2188" t="n">
        <v>2024</v>
      </c>
      <c r="H2188" t="inlineStr">
        <is>
          <t>Junio</t>
        </is>
      </c>
      <c r="I2188" t="inlineStr">
        <is>
          <t>2024-1</t>
        </is>
      </c>
      <c r="J2188" t="n">
        <v>0.76</v>
      </c>
      <c r="K2188" t="n">
        <v>0.66</v>
      </c>
      <c r="L2188" s="39">
        <f>IFERROR(IF(OR(J2188=0,K2188=""),"",IF(E2188="Positivo",MIN(MAX(K2188/J2188,0),1.3),MIN(MAX(J2188/K2188,0),1.3))),"") </f>
        <v/>
      </c>
      <c r="M2188" s="39">
        <f>IFERROR(IF(OR(J2188=0,K2188=""),"",IF(E2188="Positivo",MAX(K2188/J2188,0),MAX(J2188/K2188,0))),"") </f>
        <v/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429-2024-06-30</t>
        </is>
      </c>
    </row>
    <row r="2189" hidden="1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08" t="n">
        <v>45657</v>
      </c>
      <c r="G2189" t="n">
        <v>2024</v>
      </c>
      <c r="H2189" t="inlineStr">
        <is>
          <t>Diciembre</t>
        </is>
      </c>
      <c r="I2189" t="inlineStr">
        <is>
          <t>2024-2</t>
        </is>
      </c>
      <c r="J2189" t="n">
        <v>0.76</v>
      </c>
      <c r="K2189" t="n">
        <v>0.67</v>
      </c>
      <c r="L2189" s="39">
        <f>IFERROR(IF(OR(J2189=0,K2189=""),"",IF(E2189="Positivo",MIN(MAX(K2189/J2189,0),1.3),MIN(MAX(J2189/K2189,0),1.3))),"") </f>
        <v/>
      </c>
      <c r="M2189" s="39">
        <f>IFERROR(IF(OR(J2189=0,K2189=""),"",IF(E2189="Positivo",MAX(K2189/J2189,0),MAX(J2189/K2189,0))),"") </f>
        <v/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429-2024-12-31</t>
        </is>
      </c>
    </row>
    <row r="2190" hidden="1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Semestral</t>
        </is>
      </c>
      <c r="E2190" t="inlineStr">
        <is>
          <t>Negativo</t>
        </is>
      </c>
      <c r="F2190" s="108" t="n">
        <v>45838</v>
      </c>
      <c r="G2190" t="n">
        <v>2025</v>
      </c>
      <c r="H2190" t="inlineStr">
        <is>
          <t>Junio</t>
        </is>
      </c>
      <c r="I2190" t="inlineStr">
        <is>
          <t>2025-1</t>
        </is>
      </c>
      <c r="J2190" t="n">
        <v>0.76</v>
      </c>
      <c r="K2190" t="n">
        <v>0.59</v>
      </c>
      <c r="L2190" s="39">
        <f>IFERROR(IF(OR(J2190=0,K2190=""),"",IF(E2190="Positivo",MIN(MAX(K2190/J2190,0),1.3),MIN(MAX(J2190/K2190,0),1.3))),"") </f>
        <v/>
      </c>
      <c r="M2190" s="39">
        <f>IFERROR(IF(OR(J2190=0,K2190=""),"",IF(E2190="Positivo",MAX(K2190/J2190,0),MAX(J2190/K2190,0))),"") </f>
        <v/>
      </c>
      <c r="N2190" t="inlineStr">
        <is>
          <t>DEC</t>
        </is>
      </c>
      <c r="O2190" t="inlineStr">
        <is>
          <t>DEC</t>
        </is>
      </c>
      <c r="P2190" t="n">
        <v>1</v>
      </c>
      <c r="Q2190" t="n">
        <v>1</v>
      </c>
      <c r="R2190" t="inlineStr">
        <is>
          <t>429-2025-06-30</t>
        </is>
      </c>
    </row>
    <row r="2191" hidden="1">
      <c r="A2191" t="n">
        <v>429</v>
      </c>
      <c r="B2191" t="inlineStr">
        <is>
          <t>Generación de Residuos Sólidos per Cápita Semestral</t>
        </is>
      </c>
      <c r="C2191" t="inlineStr">
        <is>
          <t>GESTIÓN AMBIENTAL</t>
        </is>
      </c>
      <c r="D2191" t="inlineStr">
        <is>
          <t>Trimestral</t>
        </is>
      </c>
      <c r="E2191" t="inlineStr">
        <is>
          <t>Negativo</t>
        </is>
      </c>
      <c r="F2191" s="108" t="n">
        <v>46022</v>
      </c>
      <c r="G2191" t="n">
        <v>2025</v>
      </c>
      <c r="H2191" t="inlineStr">
        <is>
          <t>Diciembre</t>
        </is>
      </c>
      <c r="I2191" t="inlineStr">
        <is>
          <t>2025-2</t>
        </is>
      </c>
      <c r="J2191" t="n">
        <v>0.76</v>
      </c>
      <c r="K2191" t="n">
        <v>0.52</v>
      </c>
      <c r="L2191" s="39">
        <f>IFERROR(IF(OR(J2191=0,K2191=""),"",IF(E2191="Positivo",MIN(MAX(K2191/J2191,0),1.3),MIN(MAX(J2191/K2191,0),1.3))),"") </f>
        <v/>
      </c>
      <c r="M2191" s="39">
        <f>IFERROR(IF(OR(J2191=0,K2191=""),"",IF(E2191="Positivo",MAX(K2191/J2191,0),MAX(J2191/K2191,0))),"") </f>
        <v/>
      </c>
      <c r="N2191" t="inlineStr">
        <is>
          <t>DEC</t>
        </is>
      </c>
      <c r="O2191" t="inlineStr">
        <is>
          <t>DEC</t>
        </is>
      </c>
      <c r="P2191" t="n">
        <v>2</v>
      </c>
      <c r="Q2191" t="n">
        <v>2</v>
      </c>
      <c r="R2191" t="inlineStr">
        <is>
          <t>429-2025-12-31</t>
        </is>
      </c>
    </row>
    <row r="2192" hidden="1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08" t="n">
        <v>45107</v>
      </c>
      <c r="G2192" t="n">
        <v>2023</v>
      </c>
      <c r="H2192" t="inlineStr">
        <is>
          <t>Junio</t>
        </is>
      </c>
      <c r="I2192" t="inlineStr">
        <is>
          <t>2023-1</t>
        </is>
      </c>
      <c r="J2192" t="n">
        <v>95</v>
      </c>
      <c r="K2192" t="n">
        <v>104.59563552424</v>
      </c>
      <c r="L2192" s="39">
        <f>IFERROR(IF(OR(J2192=0,K2192=""),"",IF(E2192="Positivo",MIN(MAX(K2192/J2192,0),1.3),MIN(MAX(J2192/K2192,0),1.3))),"") </f>
        <v/>
      </c>
      <c r="M2192" s="3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430-2023-06-30</t>
        </is>
      </c>
    </row>
    <row r="2193" hidden="1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08" t="n">
        <v>45291</v>
      </c>
      <c r="G2193" t="n">
        <v>2023</v>
      </c>
      <c r="H2193" t="inlineStr">
        <is>
          <t>Diciembre</t>
        </is>
      </c>
      <c r="I2193" t="inlineStr">
        <is>
          <t>2023-2</t>
        </is>
      </c>
      <c r="J2193" t="n">
        <v>95</v>
      </c>
      <c r="K2193" t="n">
        <v>101.39526345983</v>
      </c>
      <c r="L2193" s="39">
        <f>IFERROR(IF(OR(J2193=0,K2193=""),"",IF(E2193="Positivo",MIN(MAX(K2193/J2193,0),1.3),MIN(MAX(J2193/K2193,0),1.3))),"") </f>
        <v/>
      </c>
      <c r="M2193" s="3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430-2023-12-31</t>
        </is>
      </c>
    </row>
    <row r="2194" hidden="1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08" t="n">
        <v>45473</v>
      </c>
      <c r="G2194" t="n">
        <v>2024</v>
      </c>
      <c r="H2194" t="inlineStr">
        <is>
          <t>Junio</t>
        </is>
      </c>
      <c r="I2194" t="inlineStr">
        <is>
          <t>2024-1</t>
        </is>
      </c>
      <c r="J2194" t="n">
        <v>95</v>
      </c>
      <c r="K2194" t="n">
        <v>101.88</v>
      </c>
      <c r="L2194" s="39">
        <f>IFERROR(IF(OR(J2194=0,K2194=""),"",IF(E2194="Positivo",MIN(MAX(K2194/J2194,0),1.3),MIN(MAX(J2194/K2194,0),1.3))),"") </f>
        <v/>
      </c>
      <c r="M2194" s="3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430-2024-06-30</t>
        </is>
      </c>
    </row>
    <row r="2195" hidden="1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08" t="n">
        <v>45657</v>
      </c>
      <c r="G2195" t="n">
        <v>2024</v>
      </c>
      <c r="H2195" t="inlineStr">
        <is>
          <t>Diciembre</t>
        </is>
      </c>
      <c r="I2195" t="inlineStr">
        <is>
          <t>2024-2</t>
        </is>
      </c>
      <c r="J2195" t="n">
        <v>95</v>
      </c>
      <c r="K2195" t="n">
        <v>102.9374919710379</v>
      </c>
      <c r="L2195" s="39">
        <f>IFERROR(IF(OR(J2195=0,K2195=""),"",IF(E2195="Positivo",MIN(MAX(K2195/J2195,0),1.3),MIN(MAX(J2195/K2195,0),1.3))),"") </f>
        <v/>
      </c>
      <c r="M2195" s="3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430-2024-12-31</t>
        </is>
      </c>
    </row>
    <row r="2196" hidden="1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Semestral</t>
        </is>
      </c>
      <c r="E2196" t="inlineStr">
        <is>
          <t>Positivo</t>
        </is>
      </c>
      <c r="F2196" s="108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95</v>
      </c>
      <c r="K2196" t="n">
        <v>110.79</v>
      </c>
      <c r="L2196" s="39">
        <f>IFERROR(IF(OR(J2196=0,K2196=""),"",IF(E2196="Positivo",MIN(MAX(K2196/J2196,0),1.3),MIN(MAX(J2196/K2196,0),1.3))),"") </f>
        <v/>
      </c>
      <c r="M2196" s="3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430-2025-06-30</t>
        </is>
      </c>
    </row>
    <row r="2197" hidden="1">
      <c r="A2197" t="n">
        <v>430</v>
      </c>
      <c r="B2197" t="inlineStr">
        <is>
          <t>Cumplimiento ingresos por matriculas</t>
        </is>
      </c>
      <c r="C2197" t="inlineStr">
        <is>
          <t>Planeación Financiera</t>
        </is>
      </c>
      <c r="D2197" t="inlineStr">
        <is>
          <t>Trimestral</t>
        </is>
      </c>
      <c r="E2197" t="inlineStr">
        <is>
          <t>Positivo</t>
        </is>
      </c>
      <c r="F2197" s="108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95</v>
      </c>
      <c r="K2197" t="n">
        <v>111.76</v>
      </c>
      <c r="L2197" s="39">
        <f>IFERROR(IF(OR(J2197=0,K2197=""),"",IF(E2197="Positivo",MIN(MAX(K2197/J2197,0),1.3),MIN(MAX(J2197/K2197,0),1.3))),"") </f>
        <v/>
      </c>
      <c r="M2197" s="3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430-2025-12-31</t>
        </is>
      </c>
    </row>
    <row r="2198" hidden="1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08" t="n">
        <v>45199</v>
      </c>
      <c r="G2198" t="n">
        <v>2023</v>
      </c>
      <c r="H2198" t="inlineStr">
        <is>
          <t>Septiembre</t>
        </is>
      </c>
      <c r="I2198" t="inlineStr">
        <is>
          <t>2023-2</t>
        </is>
      </c>
      <c r="J2198" t="n">
        <v>100</v>
      </c>
      <c r="K2198" t="n">
        <v>100</v>
      </c>
      <c r="L2198" s="39">
        <f>IFERROR(IF(OR(J2198=0,K2198=""),"",IF(E2198="Positivo",MIN(MAX(K2198/J2198,0),1.3),MIN(MAX(J2198/K2198,0),1.3))),"") </f>
        <v/>
      </c>
      <c r="M2198" s="3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431-2023-09-30</t>
        </is>
      </c>
    </row>
    <row r="2199" hidden="1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08" t="n">
        <v>45291</v>
      </c>
      <c r="G2199" t="n">
        <v>2023</v>
      </c>
      <c r="H2199" t="inlineStr">
        <is>
          <t>Diciembre</t>
        </is>
      </c>
      <c r="I2199" t="inlineStr">
        <is>
          <t>2023-2</t>
        </is>
      </c>
      <c r="J2199" t="n">
        <v>100</v>
      </c>
      <c r="K2199" t="n">
        <v>100</v>
      </c>
      <c r="L2199" s="39">
        <f>IFERROR(IF(OR(J2199=0,K2199=""),"",IF(E2199="Positivo",MIN(MAX(K2199/J2199,0),1.3),MIN(MAX(J2199/K2199,0),1.3))),"") </f>
        <v/>
      </c>
      <c r="M2199" s="39">
        <f>IFERROR(IF(OR(J2199=0,K2199=""),"",IF(E2199="Positivo",MAX(K2199/J2199,0),MAX(J2199/K2199,0))),"") </f>
        <v/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431-2023-12-31</t>
        </is>
      </c>
    </row>
    <row r="2200" hidden="1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08" t="n">
        <v>45382</v>
      </c>
      <c r="G2200" t="n">
        <v>2024</v>
      </c>
      <c r="H2200" t="inlineStr">
        <is>
          <t>Marzo</t>
        </is>
      </c>
      <c r="I2200" t="inlineStr">
        <is>
          <t>2024-1</t>
        </is>
      </c>
      <c r="J2200" t="n">
        <v>100</v>
      </c>
      <c r="K2200" t="n">
        <v>100</v>
      </c>
      <c r="L2200" s="39">
        <f>IFERROR(IF(OR(J2200=0,K2200=""),"",IF(E2200="Positivo",MIN(MAX(K2200/J2200,0),1.3),MIN(MAX(J2200/K2200,0),1.3))),"") </f>
        <v/>
      </c>
      <c r="M2200" s="39">
        <f>IFERROR(IF(OR(J2200=0,K2200=""),"",IF(E2200="Positivo",MAX(K2200/J2200,0),MAX(J2200/K2200,0))),"") </f>
        <v/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431-2024-03-31</t>
        </is>
      </c>
    </row>
    <row r="2201" hidden="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08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100</v>
      </c>
      <c r="K2201" t="n">
        <v>100</v>
      </c>
      <c r="L2201" s="39">
        <f>IFERROR(IF(OR(J2201=0,K2201=""),"",IF(E2201="Positivo",MIN(MAX(K2201/J2201,0),1.3),MIN(MAX(J2201/K2201,0),1.3))),"") </f>
        <v/>
      </c>
      <c r="M2201" s="39">
        <f>IFERROR(IF(OR(J2201=0,K2201=""),"",IF(E2201="Positivo",MAX(K2201/J2201,0),MAX(J2201/K2201,0))),"") </f>
        <v/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431-2024-06-30</t>
        </is>
      </c>
    </row>
    <row r="2202" hidden="1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08" t="n">
        <v>45565</v>
      </c>
      <c r="G2202" t="n">
        <v>2024</v>
      </c>
      <c r="H2202" t="inlineStr">
        <is>
          <t>Septiembre</t>
        </is>
      </c>
      <c r="I2202" t="inlineStr">
        <is>
          <t>2024-2</t>
        </is>
      </c>
      <c r="J2202" t="n">
        <v>100</v>
      </c>
      <c r="K2202" t="n">
        <v>100</v>
      </c>
      <c r="L2202" s="39">
        <f>IFERROR(IF(OR(J2202=0,K2202=""),"",IF(E2202="Positivo",MIN(MAX(K2202/J2202,0),1.3),MIN(MAX(J2202/K2202,0),1.3))),"") </f>
        <v/>
      </c>
      <c r="M2202" s="39">
        <f>IFERROR(IF(OR(J2202=0,K2202=""),"",IF(E2202="Positivo",MAX(K2202/J2202,0),MAX(J2202/K2202,0))),"") </f>
        <v/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431-2024-09-30</t>
        </is>
      </c>
    </row>
    <row r="2203" hidden="1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08" t="n">
        <v>45657</v>
      </c>
      <c r="G2203" t="n">
        <v>2024</v>
      </c>
      <c r="H2203" t="inlineStr">
        <is>
          <t>Diciembre</t>
        </is>
      </c>
      <c r="I2203" t="inlineStr">
        <is>
          <t>2024-2</t>
        </is>
      </c>
      <c r="J2203" t="n">
        <v>100</v>
      </c>
      <c r="K2203" t="n">
        <v>100</v>
      </c>
      <c r="L2203" s="39">
        <f>IFERROR(IF(OR(J2203=0,K2203=""),"",IF(E2203="Positivo",MIN(MAX(K2203/J2203,0),1.3),MIN(MAX(J2203/K2203,0),1.3))),"") </f>
        <v/>
      </c>
      <c r="M2203" s="39">
        <f>IFERROR(IF(OR(J2203=0,K2203=""),"",IF(E2203="Positivo",MAX(K2203/J2203,0),MAX(J2203/K2203,0))),"") </f>
        <v/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431-2024-12-31</t>
        </is>
      </c>
    </row>
    <row r="2204" hidden="1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08" t="n">
        <v>45747</v>
      </c>
      <c r="G2204" t="n">
        <v>2025</v>
      </c>
      <c r="H2204" t="inlineStr">
        <is>
          <t>Marzo</t>
        </is>
      </c>
      <c r="I2204" t="inlineStr">
        <is>
          <t>2025-1</t>
        </is>
      </c>
      <c r="J2204" t="n">
        <v>100</v>
      </c>
      <c r="K2204" t="n">
        <v>100</v>
      </c>
      <c r="L2204" s="39">
        <f>IFERROR(IF(OR(J2204=0,K2204=""),"",IF(E2204="Positivo",MIN(MAX(K2204/J2204,0),1.3),MIN(MAX(J2204/K2204,0),1.3))),"") </f>
        <v/>
      </c>
      <c r="M2204" s="39">
        <f>IFERROR(IF(OR(J2204=0,K2204=""),"",IF(E2204="Positivo",MAX(K2204/J2204,0),MAX(J2204/K2204,0))),"") </f>
        <v/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431-2025-03-31</t>
        </is>
      </c>
    </row>
    <row r="2205" hidden="1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Trimestral</t>
        </is>
      </c>
      <c r="E2205" t="inlineStr">
        <is>
          <t>Positivo</t>
        </is>
      </c>
      <c r="F2205" s="108" t="n">
        <v>45838</v>
      </c>
      <c r="G2205" t="n">
        <v>2025</v>
      </c>
      <c r="H2205" t="inlineStr">
        <is>
          <t>Junio</t>
        </is>
      </c>
      <c r="I2205" t="inlineStr">
        <is>
          <t>2025-1</t>
        </is>
      </c>
      <c r="J2205" t="n">
        <v>100</v>
      </c>
      <c r="K2205" t="n">
        <v>100</v>
      </c>
      <c r="L2205" s="39">
        <f>IFERROR(IF(OR(J2205=0,K2205=""),"",IF(E2205="Positivo",MIN(MAX(K2205/J2205,0),1.3),MIN(MAX(J2205/K2205,0),1.3))),"") </f>
        <v/>
      </c>
      <c r="M2205" s="39">
        <f>IFERROR(IF(OR(J2205=0,K2205=""),"",IF(E2205="Positivo",MAX(K2205/J2205,0),MAX(J2205/K2205,0))),"") </f>
        <v/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431-2025-06-30</t>
        </is>
      </c>
    </row>
    <row r="2206" hidden="1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08" t="n">
        <v>45930</v>
      </c>
      <c r="G2206" t="n">
        <v>2025</v>
      </c>
      <c r="H2206" t="inlineStr">
        <is>
          <t>Septiembre</t>
        </is>
      </c>
      <c r="I2206" t="inlineStr">
        <is>
          <t>2025-2</t>
        </is>
      </c>
      <c r="J2206" t="n">
        <v>100</v>
      </c>
      <c r="K2206" t="n">
        <v>100</v>
      </c>
      <c r="L2206" s="39">
        <f>IFERROR(IF(OR(J2206=0,K2206=""),"",IF(E2206="Positivo",MIN(MAX(K2206/J2206,0),1.3),MIN(MAX(J2206/K2206,0),1.3))),"") </f>
        <v/>
      </c>
      <c r="M2206" s="39">
        <f>IFERROR(IF(OR(J2206=0,K2206=""),"",IF(E2206="Positivo",MAX(K2206/J2206,0),MAX(J2206/K2206,0))),"") </f>
        <v/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431-2025-09-30</t>
        </is>
      </c>
    </row>
    <row r="2207" hidden="1">
      <c r="A2207" t="n">
        <v>431</v>
      </c>
      <c r="B2207" t="inlineStr">
        <is>
          <t>Gestión de casos de salud que impactan a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08" t="n">
        <v>46022</v>
      </c>
      <c r="G2207" t="n">
        <v>2025</v>
      </c>
      <c r="H2207" t="inlineStr">
        <is>
          <t>Diciembre</t>
        </is>
      </c>
      <c r="I2207" t="inlineStr">
        <is>
          <t>2025-2</t>
        </is>
      </c>
      <c r="J2207" t="n">
        <v>100</v>
      </c>
      <c r="K2207" t="n">
        <v>100</v>
      </c>
      <c r="L2207" s="39">
        <f>IFERROR(IF(OR(J2207=0,K2207=""),"",IF(E2207="Positivo",MIN(MAX(K2207/J2207,0),1.3),MIN(MAX(J2207/K2207,0),1.3))),"") </f>
        <v/>
      </c>
      <c r="M2207" s="39">
        <f>IFERROR(IF(OR(J2207=0,K2207=""),"",IF(E2207="Positivo",MAX(K2207/J2207,0),MAX(J2207/K2207,0))),"") </f>
        <v/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431-2025-12-31</t>
        </is>
      </c>
    </row>
    <row r="2208" hidden="1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Semestral</t>
        </is>
      </c>
      <c r="E2208" t="inlineStr">
        <is>
          <t>Positivo</t>
        </is>
      </c>
      <c r="F2208" s="108" t="n">
        <v>45107</v>
      </c>
      <c r="G2208" t="n">
        <v>2023</v>
      </c>
      <c r="H2208" t="inlineStr">
        <is>
          <t>Junio</t>
        </is>
      </c>
      <c r="I2208" t="inlineStr">
        <is>
          <t>2023-1</t>
        </is>
      </c>
      <c r="L2208" s="39" t="n"/>
      <c r="M2208" s="39" t="n"/>
      <c r="N2208" t="inlineStr">
        <is>
          <t>%</t>
        </is>
      </c>
      <c r="O2208" t="inlineStr">
        <is>
          <t>No Aplica</t>
        </is>
      </c>
      <c r="P2208" t="n">
        <v>0</v>
      </c>
      <c r="Q2208" t="n">
        <v>0</v>
      </c>
      <c r="R2208" t="inlineStr">
        <is>
          <t>432-2023-06-30</t>
        </is>
      </c>
      <c r="S2208" t="inlineStr">
        <is>
          <t>No Aplica</t>
        </is>
      </c>
    </row>
    <row r="2209" hidden="1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08" t="n">
        <v>45199</v>
      </c>
      <c r="G2209" t="n">
        <v>2023</v>
      </c>
      <c r="H2209" t="inlineStr">
        <is>
          <t>Septiembre</t>
        </is>
      </c>
      <c r="I2209" t="inlineStr">
        <is>
          <t>2023-2</t>
        </is>
      </c>
      <c r="J2209" t="n">
        <v>90</v>
      </c>
      <c r="K2209" t="n">
        <v>100</v>
      </c>
      <c r="L2209" s="39">
        <f>IFERROR(IF(OR(J2209=0,K2209=""),"",IF(E2209="Positivo",MIN(MAX(K2209/J2209,0),1.3),MIN(MAX(J2209/K2209,0),1.3))),"") </f>
        <v/>
      </c>
      <c r="M2209" s="39">
        <f>IFERROR(IF(OR(J2209=0,K2209=""),"",IF(E2209="Positivo",MAX(K2209/J2209,0),MAX(J2209/K2209,0))),"") </f>
        <v/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432-2023-09-30</t>
        </is>
      </c>
    </row>
    <row r="2210" hidden="1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08" t="n">
        <v>45291</v>
      </c>
      <c r="G2210" t="n">
        <v>2023</v>
      </c>
      <c r="H2210" t="inlineStr">
        <is>
          <t>Diciembre</t>
        </is>
      </c>
      <c r="I2210" t="inlineStr">
        <is>
          <t>2023-2</t>
        </is>
      </c>
      <c r="J2210" t="n">
        <v>90</v>
      </c>
      <c r="K2210" t="n">
        <v>98.76555555555601</v>
      </c>
      <c r="L2210" s="39">
        <f>IFERROR(IF(OR(J2210=0,K2210=""),"",IF(E2210="Positivo",MIN(MAX(K2210/J2210,0),1.3),MIN(MAX(J2210/K2210,0),1.3))),"") </f>
        <v/>
      </c>
      <c r="M2210" s="39">
        <f>IFERROR(IF(OR(J2210=0,K2210=""),"",IF(E2210="Positivo",MAX(K2210/J2210,0),MAX(J2210/K2210,0))),"") </f>
        <v/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432-2023-12-31</t>
        </is>
      </c>
    </row>
    <row r="2211" hidden="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08" t="n">
        <v>45382</v>
      </c>
      <c r="G2211" t="n">
        <v>2024</v>
      </c>
      <c r="H2211" t="inlineStr">
        <is>
          <t>Marzo</t>
        </is>
      </c>
      <c r="I2211" t="inlineStr">
        <is>
          <t>2024-1</t>
        </is>
      </c>
      <c r="J2211" t="n">
        <v>90</v>
      </c>
      <c r="K2211" t="n">
        <v>100</v>
      </c>
      <c r="L2211" s="39">
        <f>IFERROR(IF(OR(J2211=0,K2211=""),"",IF(E2211="Positivo",MIN(MAX(K2211/J2211,0),1.3),MIN(MAX(J2211/K2211,0),1.3))),"") </f>
        <v/>
      </c>
      <c r="M2211" s="39">
        <f>IFERROR(IF(OR(J2211=0,K2211=""),"",IF(E2211="Positivo",MAX(K2211/J2211,0),MAX(J2211/K2211,0))),"") </f>
        <v/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432-2024-03-31</t>
        </is>
      </c>
    </row>
    <row r="2212" hidden="1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08" t="n">
        <v>45473</v>
      </c>
      <c r="G2212" t="n">
        <v>2024</v>
      </c>
      <c r="H2212" t="inlineStr">
        <is>
          <t>Junio</t>
        </is>
      </c>
      <c r="I2212" t="inlineStr">
        <is>
          <t>2024-1</t>
        </is>
      </c>
      <c r="J2212" t="n">
        <v>90</v>
      </c>
      <c r="K2212" t="n">
        <v>100</v>
      </c>
      <c r="L2212" s="39">
        <f>IFERROR(IF(OR(J2212=0,K2212=""),"",IF(E2212="Positivo",MIN(MAX(K2212/J2212,0),1.3),MIN(MAX(J2212/K2212,0),1.3))),"") </f>
        <v/>
      </c>
      <c r="M2212" s="39">
        <f>IFERROR(IF(OR(J2212=0,K2212=""),"",IF(E2212="Positivo",MAX(K2212/J2212,0),MAX(J2212/K2212,0))),"") </f>
        <v/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432-2024-06-30</t>
        </is>
      </c>
    </row>
    <row r="2213" hidden="1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08" t="n">
        <v>45565</v>
      </c>
      <c r="G2213" t="n">
        <v>2024</v>
      </c>
      <c r="H2213" t="inlineStr">
        <is>
          <t>Septiembre</t>
        </is>
      </c>
      <c r="I2213" t="inlineStr">
        <is>
          <t>2024-2</t>
        </is>
      </c>
      <c r="J2213" t="n">
        <v>90</v>
      </c>
      <c r="K2213" t="n">
        <v>0</v>
      </c>
      <c r="L2213" s="39">
        <f>IFERROR(IF(OR(J2213=0,K2213=""),"",IF(E2213="Positivo",MIN(MAX(K2213/J2213,0),1.3),MIN(MAX(J2213/K2213,0),1.3))),"") </f>
        <v/>
      </c>
      <c r="M2213" s="39">
        <f>IFERROR(IF(OR(J2213=0,K2213=""),"",IF(E2213="Positivo",MAX(K2213/J2213,0),MAX(J2213/K2213,0))),"") </f>
        <v/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432-2024-09-30</t>
        </is>
      </c>
    </row>
    <row r="2214" hidden="1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08" t="n">
        <v>45657</v>
      </c>
      <c r="G2214" t="n">
        <v>2024</v>
      </c>
      <c r="H2214" t="inlineStr">
        <is>
          <t>Diciembre</t>
        </is>
      </c>
      <c r="I2214" t="inlineStr">
        <is>
          <t>2024-2</t>
        </is>
      </c>
      <c r="J2214" t="n">
        <v>90</v>
      </c>
      <c r="K2214" t="n">
        <v>100</v>
      </c>
      <c r="L2214" s="39">
        <f>IFERROR(IF(OR(J2214=0,K2214=""),"",IF(E2214="Positivo",MIN(MAX(K2214/J2214,0),1.3),MIN(MAX(J2214/K2214,0),1.3))),"") </f>
        <v/>
      </c>
      <c r="M2214" s="39">
        <f>IFERROR(IF(OR(J2214=0,K2214=""),"",IF(E2214="Positivo",MAX(K2214/J2214,0),MAX(J2214/K2214,0))),"") </f>
        <v/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432-2024-12-31</t>
        </is>
      </c>
    </row>
    <row r="2215" hidden="1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08" t="n">
        <v>45747</v>
      </c>
      <c r="G2215" t="n">
        <v>2025</v>
      </c>
      <c r="H2215" t="inlineStr">
        <is>
          <t>Marzo</t>
        </is>
      </c>
      <c r="I2215" t="inlineStr">
        <is>
          <t>2025-1</t>
        </is>
      </c>
      <c r="J2215" t="n">
        <v>90</v>
      </c>
      <c r="K2215" t="n">
        <v>100</v>
      </c>
      <c r="L2215" s="39">
        <f>IFERROR(IF(OR(J2215=0,K2215=""),"",IF(E2215="Positivo",MIN(MAX(K2215/J2215,0),1.3),MIN(MAX(J2215/K2215,0),1.3))),"") </f>
        <v/>
      </c>
      <c r="M2215" s="39">
        <f>IFERROR(IF(OR(J2215=0,K2215=""),"",IF(E2215="Positivo",MAX(K2215/J2215,0),MAX(J2215/K2215,0))),"") </f>
        <v/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432-2025-03-31</t>
        </is>
      </c>
    </row>
    <row r="2216" hidden="1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Trimestral</t>
        </is>
      </c>
      <c r="E2216" t="inlineStr">
        <is>
          <t>Positivo</t>
        </is>
      </c>
      <c r="F2216" s="108" t="n">
        <v>45838</v>
      </c>
      <c r="G2216" t="n">
        <v>2025</v>
      </c>
      <c r="H2216" t="inlineStr">
        <is>
          <t>Junio</t>
        </is>
      </c>
      <c r="I2216" t="inlineStr">
        <is>
          <t>2025-1</t>
        </is>
      </c>
      <c r="J2216" t="n">
        <v>90</v>
      </c>
      <c r="K2216" t="n">
        <v>100</v>
      </c>
      <c r="L2216" s="39">
        <f>IFERROR(IF(OR(J2216=0,K2216=""),"",IF(E2216="Positivo",MIN(MAX(K2216/J2216,0),1.3),MIN(MAX(J2216/K2216,0),1.3))),"") </f>
        <v/>
      </c>
      <c r="M2216" s="39">
        <f>IFERROR(IF(OR(J2216=0,K2216=""),"",IF(E2216="Positivo",MAX(K2216/J2216,0),MAX(J2216/K2216,0))),"") </f>
        <v/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432-2025-06-30</t>
        </is>
      </c>
    </row>
    <row r="2217" hidden="1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08" t="n">
        <v>45930</v>
      </c>
      <c r="G2217" t="n">
        <v>2025</v>
      </c>
      <c r="H2217" t="inlineStr">
        <is>
          <t>Septiembre</t>
        </is>
      </c>
      <c r="I2217" t="inlineStr">
        <is>
          <t>2025-2</t>
        </is>
      </c>
      <c r="J2217" t="n">
        <v>90</v>
      </c>
      <c r="K2217" t="n">
        <v>100</v>
      </c>
      <c r="L2217" s="39">
        <f>IFERROR(IF(OR(J2217=0,K2217=""),"",IF(E2217="Positivo",MIN(MAX(K2217/J2217,0),1.3),MIN(MAX(J2217/K2217,0),1.3))),"") </f>
        <v/>
      </c>
      <c r="M2217" s="39">
        <f>IFERROR(IF(OR(J2217=0,K2217=""),"",IF(E2217="Positivo",MAX(K2217/J2217,0),MAX(J2217/K2217,0))),"") </f>
        <v/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432-2025-09-30</t>
        </is>
      </c>
    </row>
    <row r="2218" hidden="1">
      <c r="A2218" t="n">
        <v>432</v>
      </c>
      <c r="B2218" t="inlineStr">
        <is>
          <t>Intervención a la gestión del riesgo de los colaboradores</t>
        </is>
      </c>
      <c r="C2218" t="inlineStr">
        <is>
          <t>GESTIÓN DE SEGURIDAD Y SALUD EN EL TRABAJO</t>
        </is>
      </c>
      <c r="D2218" t="inlineStr">
        <is>
          <t>Semestral</t>
        </is>
      </c>
      <c r="E2218" t="inlineStr">
        <is>
          <t>Positivo</t>
        </is>
      </c>
      <c r="F2218" s="108" t="n">
        <v>46022</v>
      </c>
      <c r="G2218" t="n">
        <v>2025</v>
      </c>
      <c r="H2218" t="inlineStr">
        <is>
          <t>Diciembre</t>
        </is>
      </c>
      <c r="I2218" t="inlineStr">
        <is>
          <t>2025-2</t>
        </is>
      </c>
      <c r="J2218" t="n">
        <v>90</v>
      </c>
      <c r="K2218" t="n">
        <v>100</v>
      </c>
      <c r="L2218" s="39">
        <f>IFERROR(IF(OR(J2218=0,K2218=""),"",IF(E2218="Positivo",MIN(MAX(K2218/J2218,0),1.3),MIN(MAX(J2218/K2218,0),1.3))),"") </f>
        <v/>
      </c>
      <c r="M2218" s="39">
        <f>IFERROR(IF(OR(J2218=0,K2218=""),"",IF(E2218="Positivo",MAX(K2218/J2218,0),MAX(J2218/K2218,0))),"") </f>
        <v/>
      </c>
      <c r="N2218" t="inlineStr">
        <is>
          <t>%</t>
        </is>
      </c>
      <c r="O2218" t="inlineStr">
        <is>
          <t>%</t>
        </is>
      </c>
      <c r="P2218" t="n">
        <v>0</v>
      </c>
      <c r="Q2218" t="n">
        <v>0</v>
      </c>
      <c r="R2218" t="inlineStr">
        <is>
          <t>432-2025-12-31</t>
        </is>
      </c>
    </row>
    <row r="2219" hidden="1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08" t="n">
        <v>45107</v>
      </c>
      <c r="G2219" t="n">
        <v>2023</v>
      </c>
      <c r="H2219" t="inlineStr">
        <is>
          <t>Junio</t>
        </is>
      </c>
      <c r="I2219" t="inlineStr">
        <is>
          <t>2023-1</t>
        </is>
      </c>
      <c r="J2219" t="n">
        <v>0.05</v>
      </c>
      <c r="K2219" t="n">
        <v>0.02</v>
      </c>
      <c r="L2219" s="39">
        <f>IFERROR(IF(OR(J2219=0,K2219=""),"",IF(E2219="Positivo",MIN(MAX(K2219/J2219,0),1.3),MIN(MAX(J2219/K2219,0),1.3))),"") </f>
        <v/>
      </c>
      <c r="M2219" s="39">
        <f>IFERROR(IF(OR(J2219=0,K2219=""),"",IF(E2219="Positivo",MAX(K2219/J2219,0),MAX(J2219/K2219,0))),"") </f>
        <v/>
      </c>
      <c r="N2219" t="inlineStr">
        <is>
          <t>DEC</t>
        </is>
      </c>
      <c r="O2219" t="inlineStr">
        <is>
          <t>DEC</t>
        </is>
      </c>
      <c r="P2219" t="n">
        <v>1</v>
      </c>
      <c r="Q2219" t="n">
        <v>2</v>
      </c>
      <c r="R2219" t="inlineStr">
        <is>
          <t>433-2023-06-30</t>
        </is>
      </c>
    </row>
    <row r="2220" hidden="1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08" t="n">
        <v>45291</v>
      </c>
      <c r="G2220" t="n">
        <v>2023</v>
      </c>
      <c r="H2220" t="inlineStr">
        <is>
          <t>Diciembre</t>
        </is>
      </c>
      <c r="I2220" t="inlineStr">
        <is>
          <t>2023-2</t>
        </is>
      </c>
      <c r="J2220" t="n">
        <v>0.05</v>
      </c>
      <c r="K2220" t="n">
        <v>0.05</v>
      </c>
      <c r="L2220" s="39">
        <f>IFERROR(IF(OR(J2220=0,K2220=""),"",IF(E2220="Positivo",MIN(MAX(K2220/J2220,0),1.3),MIN(MAX(J2220/K2220,0),1.3))),"") </f>
        <v/>
      </c>
      <c r="M2220" s="39">
        <f>IFERROR(IF(OR(J2220=0,K2220=""),"",IF(E2220="Positivo",MAX(K2220/J2220,0),MAX(J2220/K2220,0))),"") </f>
        <v/>
      </c>
      <c r="N2220" t="inlineStr">
        <is>
          <t>DEC</t>
        </is>
      </c>
      <c r="O2220" t="inlineStr">
        <is>
          <t>DEC</t>
        </is>
      </c>
      <c r="P2220" t="n">
        <v>0</v>
      </c>
      <c r="Q2220" t="n">
        <v>0</v>
      </c>
      <c r="R2220" t="inlineStr">
        <is>
          <t>433-2023-12-31</t>
        </is>
      </c>
    </row>
    <row r="2221" hidden="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08" t="n">
        <v>45473</v>
      </c>
      <c r="G2221" t="n">
        <v>2024</v>
      </c>
      <c r="H2221" t="inlineStr">
        <is>
          <t>Junio</t>
        </is>
      </c>
      <c r="I2221" t="inlineStr">
        <is>
          <t>2024-1</t>
        </is>
      </c>
      <c r="J2221" t="n">
        <v>0.05</v>
      </c>
      <c r="K2221" t="n">
        <v>0.07000000000000001</v>
      </c>
      <c r="L2221" s="39">
        <f>IFERROR(IF(OR(J2221=0,K2221=""),"",IF(E2221="Positivo",MIN(MAX(K2221/J2221,0),1.3),MIN(MAX(J2221/K2221,0),1.3))),"") </f>
        <v/>
      </c>
      <c r="M2221" s="39">
        <f>IFERROR(IF(OR(J2221=0,K2221=""),"",IF(E2221="Positivo",MAX(K2221/J2221,0),MAX(J2221/K2221,0))),"") </f>
        <v/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433-2024-06-30</t>
        </is>
      </c>
    </row>
    <row r="2222" hidden="1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08" t="n">
        <v>45657</v>
      </c>
      <c r="G2222" t="n">
        <v>2024</v>
      </c>
      <c r="H2222" t="inlineStr">
        <is>
          <t>Diciembre</t>
        </is>
      </c>
      <c r="I2222" t="inlineStr">
        <is>
          <t>2024-2</t>
        </is>
      </c>
      <c r="J2222" t="n">
        <v>0.05</v>
      </c>
      <c r="K2222" t="n">
        <v>0.14</v>
      </c>
      <c r="L2222" s="39">
        <f>IFERROR(IF(OR(J2222=0,K2222=""),"",IF(E2222="Positivo",MIN(MAX(K2222/J2222,0),1.3),MIN(MAX(J2222/K2222,0),1.3))),"") </f>
        <v/>
      </c>
      <c r="M2222" s="39">
        <f>IFERROR(IF(OR(J2222=0,K2222=""),"",IF(E2222="Positivo",MAX(K2222/J2222,0),MAX(J2222/K2222,0))),"") </f>
        <v/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433-2024-12-31</t>
        </is>
      </c>
    </row>
    <row r="2223" hidden="1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Semestral</t>
        </is>
      </c>
      <c r="E2223" t="inlineStr">
        <is>
          <t>Negativo</t>
        </is>
      </c>
      <c r="F2223" s="108" t="n">
        <v>45838</v>
      </c>
      <c r="G2223" t="n">
        <v>2025</v>
      </c>
      <c r="H2223" t="inlineStr">
        <is>
          <t>Junio</t>
        </is>
      </c>
      <c r="I2223" t="inlineStr">
        <is>
          <t>2025-1</t>
        </is>
      </c>
      <c r="J2223" t="n">
        <v>0.05</v>
      </c>
      <c r="K2223" t="n">
        <v>0.02</v>
      </c>
      <c r="L2223" s="39">
        <f>IFERROR(IF(OR(J2223=0,K2223=""),"",IF(E2223="Positivo",MIN(MAX(K2223/J2223,0),1.3),MIN(MAX(J2223/K2223,0),1.3))),"") </f>
        <v/>
      </c>
      <c r="M2223" s="39">
        <f>IFERROR(IF(OR(J2223=0,K2223=""),"",IF(E2223="Positivo",MAX(K2223/J2223,0),MAX(J2223/K2223,0))),"") </f>
        <v/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433-2025-06-30</t>
        </is>
      </c>
    </row>
    <row r="2224" hidden="1">
      <c r="A2224" t="n">
        <v>433</v>
      </c>
      <c r="B2224" t="inlineStr">
        <is>
          <t>Generación de Residuos Peligrosos per Cápita Semestral</t>
        </is>
      </c>
      <c r="C2224" t="inlineStr">
        <is>
          <t>GESTIÓN AMBIENTAL</t>
        </is>
      </c>
      <c r="D2224" t="inlineStr">
        <is>
          <t>Trimestral</t>
        </is>
      </c>
      <c r="E2224" t="inlineStr">
        <is>
          <t>Negativo</t>
        </is>
      </c>
      <c r="F2224" s="108" t="n">
        <v>46022</v>
      </c>
      <c r="G2224" t="n">
        <v>2025</v>
      </c>
      <c r="H2224" t="inlineStr">
        <is>
          <t>Diciembre</t>
        </is>
      </c>
      <c r="I2224" t="inlineStr">
        <is>
          <t>2025-2</t>
        </is>
      </c>
      <c r="J2224" t="n">
        <v>0.05</v>
      </c>
      <c r="K2224" t="n">
        <v>0.17</v>
      </c>
      <c r="L2224" s="39">
        <f>IFERROR(IF(OR(J2224=0,K2224=""),"",IF(E2224="Positivo",MIN(MAX(K2224/J2224,0),1.3),MIN(MAX(J2224/K2224,0),1.3))),"") </f>
        <v/>
      </c>
      <c r="M2224" s="39">
        <f>IFERROR(IF(OR(J2224=0,K2224=""),"",IF(E2224="Positivo",MAX(K2224/J2224,0),MAX(J2224/K2224,0))),"") </f>
        <v/>
      </c>
      <c r="N2224" t="inlineStr">
        <is>
          <t>DEC</t>
        </is>
      </c>
      <c r="O2224" t="inlineStr">
        <is>
          <t>DEC</t>
        </is>
      </c>
      <c r="P2224" t="n">
        <v>2</v>
      </c>
      <c r="Q2224" t="n">
        <v>2</v>
      </c>
      <c r="R2224" t="inlineStr">
        <is>
          <t>433-2025-12-31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08" t="n">
        <v>44957</v>
      </c>
      <c r="G2225" t="n">
        <v>2023</v>
      </c>
      <c r="H2225" t="inlineStr">
        <is>
          <t>Enero</t>
        </is>
      </c>
      <c r="I2225" t="inlineStr">
        <is>
          <t>2023-1</t>
        </is>
      </c>
      <c r="J2225" t="n">
        <v>200</v>
      </c>
      <c r="K2225" t="n">
        <v>7</v>
      </c>
      <c r="L2225" s="39">
        <f>IFERROR(IF(OR(J2225=0,K2225=""),"",IF(E2225="Positivo",MIN(MAX(K2225/J2225,0),1.3),MIN(MAX(J2225/K2225,0),1.3))),"") </f>
        <v/>
      </c>
      <c r="M2225" s="3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434-2023-01-31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08" t="n">
        <v>44985</v>
      </c>
      <c r="G2226" t="n">
        <v>2023</v>
      </c>
      <c r="H2226" t="inlineStr">
        <is>
          <t>Febrero</t>
        </is>
      </c>
      <c r="I2226" t="inlineStr">
        <is>
          <t>2023-1</t>
        </is>
      </c>
      <c r="J2226" t="n">
        <v>200</v>
      </c>
      <c r="K2226" t="n">
        <v>0</v>
      </c>
      <c r="L2226" s="39">
        <f>IFERROR(IF(OR(J2226=0,K2226=""),"",IF(E2226="Positivo",MIN(MAX(K2226/J2226,0),1.3),MIN(MAX(J2226/K2226,0),1.3))),"") </f>
        <v/>
      </c>
      <c r="M2226" s="3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434-2023-02-28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08" t="n">
        <v>45016</v>
      </c>
      <c r="G2227" t="n">
        <v>2023</v>
      </c>
      <c r="H2227" t="inlineStr">
        <is>
          <t>Marzo</t>
        </is>
      </c>
      <c r="I2227" t="inlineStr">
        <is>
          <t>2023-1</t>
        </is>
      </c>
      <c r="J2227" t="n">
        <v>200</v>
      </c>
      <c r="K2227" t="n">
        <v>1</v>
      </c>
      <c r="L2227" s="39">
        <f>IFERROR(IF(OR(J2227=0,K2227=""),"",IF(E2227="Positivo",MIN(MAX(K2227/J2227,0),1.3),MIN(MAX(J2227/K2227,0),1.3))),"") </f>
        <v/>
      </c>
      <c r="M2227" s="3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434-2023-03-31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08" t="n">
        <v>45046</v>
      </c>
      <c r="G2228" t="n">
        <v>2023</v>
      </c>
      <c r="H2228" t="inlineStr">
        <is>
          <t>Abril</t>
        </is>
      </c>
      <c r="I2228" t="inlineStr">
        <is>
          <t>2023-1</t>
        </is>
      </c>
      <c r="J2228" t="n">
        <v>200</v>
      </c>
      <c r="K2228" t="n">
        <v>0.8</v>
      </c>
      <c r="L2228" s="39">
        <f>IFERROR(IF(OR(J2228=0,K2228=""),"",IF(E2228="Positivo",MIN(MAX(K2228/J2228,0),1.3),MIN(MAX(J2228/K2228,0),1.3))),"") </f>
        <v/>
      </c>
      <c r="M2228" s="3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434-2023-04-30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8" t="n">
        <v>45077</v>
      </c>
      <c r="G2229" t="n">
        <v>2023</v>
      </c>
      <c r="H2229" t="inlineStr">
        <is>
          <t>Mayo</t>
        </is>
      </c>
      <c r="I2229" t="inlineStr">
        <is>
          <t>2023-1</t>
        </is>
      </c>
      <c r="J2229" t="n">
        <v>200</v>
      </c>
      <c r="K2229" t="n">
        <v>4.6</v>
      </c>
      <c r="L2229" s="39">
        <f>IFERROR(IF(OR(J2229=0,K2229=""),"",IF(E2229="Positivo",MIN(MAX(K2229/J2229,0),1.3),MIN(MAX(J2229/K2229,0),1.3))),"") </f>
        <v/>
      </c>
      <c r="M2229" s="3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434-2023-05-31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8" t="n">
        <v>45107</v>
      </c>
      <c r="G2230" t="n">
        <v>2023</v>
      </c>
      <c r="H2230" t="inlineStr">
        <is>
          <t>Junio</t>
        </is>
      </c>
      <c r="I2230" t="inlineStr">
        <is>
          <t>2023-1</t>
        </is>
      </c>
      <c r="J2230" t="n">
        <v>200</v>
      </c>
      <c r="K2230" t="n">
        <v>5.1</v>
      </c>
      <c r="L2230" s="39">
        <f>IFERROR(IF(OR(J2230=0,K2230=""),"",IF(E2230="Positivo",MIN(MAX(K2230/J2230,0),1.3),MIN(MAX(J2230/K2230,0),1.3))),"") </f>
        <v/>
      </c>
      <c r="M2230" s="3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434-2023-06-30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8" t="n">
        <v>45138</v>
      </c>
      <c r="G2231" t="n">
        <v>2023</v>
      </c>
      <c r="H2231" t="inlineStr">
        <is>
          <t>Julio</t>
        </is>
      </c>
      <c r="I2231" t="inlineStr">
        <is>
          <t>2023-2</t>
        </is>
      </c>
      <c r="J2231" t="n">
        <v>200</v>
      </c>
      <c r="K2231" t="n">
        <v>18.9</v>
      </c>
      <c r="L2231" s="39">
        <f>IFERROR(IF(OR(J2231=0,K2231=""),"",IF(E2231="Positivo",MIN(MAX(K2231/J2231,0),1.3),MIN(MAX(J2231/K2231,0),1.3))),"") </f>
        <v/>
      </c>
      <c r="M2231" s="3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434-2023-07-31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8" t="n">
        <v>45169</v>
      </c>
      <c r="G2232" t="n">
        <v>2023</v>
      </c>
      <c r="H2232" t="inlineStr">
        <is>
          <t>Agosto</t>
        </is>
      </c>
      <c r="I2232" t="inlineStr">
        <is>
          <t>2023-2</t>
        </is>
      </c>
      <c r="J2232" t="n">
        <v>200</v>
      </c>
      <c r="K2232" t="n">
        <v>20.9</v>
      </c>
      <c r="L2232" s="39">
        <f>IFERROR(IF(OR(J2232=0,K2232=""),"",IF(E2232="Positivo",MIN(MAX(K2232/J2232,0),1.3),MIN(MAX(J2232/K2232,0),1.3))),"") </f>
        <v/>
      </c>
      <c r="M2232" s="3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434-2023-08-31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8" t="n">
        <v>45199</v>
      </c>
      <c r="G2233" t="n">
        <v>2023</v>
      </c>
      <c r="H2233" t="inlineStr">
        <is>
          <t>Septiembre</t>
        </is>
      </c>
      <c r="I2233" t="inlineStr">
        <is>
          <t>2023-2</t>
        </is>
      </c>
      <c r="J2233" t="n">
        <v>200</v>
      </c>
      <c r="K2233" t="n">
        <v>1803.72</v>
      </c>
      <c r="L2233" s="39">
        <f>IFERROR(IF(OR(J2233=0,K2233=""),"",IF(E2233="Positivo",MIN(MAX(K2233/J2233,0),1.3),MIN(MAX(J2233/K2233,0),1.3))),"") </f>
        <v/>
      </c>
      <c r="M2233" s="3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434-2023-09-30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8" t="n">
        <v>45230</v>
      </c>
      <c r="G2234" t="n">
        <v>2023</v>
      </c>
      <c r="H2234" t="inlineStr">
        <is>
          <t>Octubre</t>
        </is>
      </c>
      <c r="I2234" t="inlineStr">
        <is>
          <t>2023-2</t>
        </is>
      </c>
      <c r="J2234" t="n">
        <v>200</v>
      </c>
      <c r="K2234" t="n">
        <v>2.1</v>
      </c>
      <c r="L2234" s="39">
        <f>IFERROR(IF(OR(J2234=0,K2234=""),"",IF(E2234="Positivo",MIN(MAX(K2234/J2234,0),1.3),MIN(MAX(J2234/K2234,0),1.3))),"") </f>
        <v/>
      </c>
      <c r="M2234" s="3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434-2023-10-31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08" t="n">
        <v>45260</v>
      </c>
      <c r="G2235" t="n">
        <v>2023</v>
      </c>
      <c r="H2235" t="inlineStr">
        <is>
          <t>Noviembre</t>
        </is>
      </c>
      <c r="I2235" t="inlineStr">
        <is>
          <t>2023-2</t>
        </is>
      </c>
      <c r="J2235" t="n">
        <v>200</v>
      </c>
      <c r="K2235" t="n">
        <v>14.31</v>
      </c>
      <c r="L2235" s="39">
        <f>IFERROR(IF(OR(J2235=0,K2235=""),"",IF(E2235="Positivo",MIN(MAX(K2235/J2235,0),1.3),MIN(MAX(J2235/K2235,0),1.3))),"") </f>
        <v/>
      </c>
      <c r="M2235" s="3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434-2023-11-30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08" t="n">
        <v>45291</v>
      </c>
      <c r="G2236" t="n">
        <v>2023</v>
      </c>
      <c r="H2236" t="inlineStr">
        <is>
          <t>Diciembre</t>
        </is>
      </c>
      <c r="I2236" t="inlineStr">
        <is>
          <t>2023-2</t>
        </is>
      </c>
      <c r="J2236" t="n">
        <v>200</v>
      </c>
      <c r="K2236" t="n">
        <v>415.7</v>
      </c>
      <c r="L2236" s="39">
        <f>IFERROR(IF(OR(J2236=0,K2236=""),"",IF(E2236="Positivo",MIN(MAX(K2236/J2236,0),1.3),MIN(MAX(J2236/K2236,0),1.3))),"") </f>
        <v/>
      </c>
      <c r="M2236" s="3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434-2023-12-31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08" t="n">
        <v>45322</v>
      </c>
      <c r="G2237" t="n">
        <v>2024</v>
      </c>
      <c r="H2237" t="inlineStr">
        <is>
          <t>Enero</t>
        </is>
      </c>
      <c r="I2237" t="inlineStr">
        <is>
          <t>2024-1</t>
        </is>
      </c>
      <c r="J2237" t="n">
        <v>200</v>
      </c>
      <c r="K2237" t="n">
        <v>9.65</v>
      </c>
      <c r="L2237" s="39">
        <f>IFERROR(IF(OR(J2237=0,K2237=""),"",IF(E2237="Positivo",MIN(MAX(K2237/J2237,0),1.3),MIN(MAX(J2237/K2237,0),1.3))),"") </f>
        <v/>
      </c>
      <c r="M2237" s="3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434-2024-01-31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08" t="n">
        <v>45351</v>
      </c>
      <c r="G2238" t="n">
        <v>2024</v>
      </c>
      <c r="H2238" t="inlineStr">
        <is>
          <t>Febrero</t>
        </is>
      </c>
      <c r="I2238" t="inlineStr">
        <is>
          <t>2024-1</t>
        </is>
      </c>
      <c r="J2238" t="n">
        <v>200</v>
      </c>
      <c r="K2238" t="n">
        <v>107.7</v>
      </c>
      <c r="L2238" s="39">
        <f>IFERROR(IF(OR(J2238=0,K2238=""),"",IF(E2238="Positivo",MIN(MAX(K2238/J2238,0),1.3),MIN(MAX(J2238/K2238,0),1.3))),"") </f>
        <v/>
      </c>
      <c r="M2238" s="3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434-2024-02-29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08" t="n">
        <v>45382</v>
      </c>
      <c r="G2239" t="n">
        <v>2024</v>
      </c>
      <c r="H2239" t="inlineStr">
        <is>
          <t>Marzo</t>
        </is>
      </c>
      <c r="I2239" t="inlineStr">
        <is>
          <t>2024-1</t>
        </is>
      </c>
      <c r="J2239" t="n">
        <v>200</v>
      </c>
      <c r="K2239" t="n">
        <v>22.02</v>
      </c>
      <c r="L2239" s="39">
        <f>IFERROR(IF(OR(J2239=0,K2239=""),"",IF(E2239="Positivo",MIN(MAX(K2239/J2239,0),1.3),MIN(MAX(J2239/K2239,0),1.3))),"") </f>
        <v/>
      </c>
      <c r="M2239" s="3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434-2024-03-31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08" t="n">
        <v>45412</v>
      </c>
      <c r="G2240" t="n">
        <v>2024</v>
      </c>
      <c r="H2240" t="inlineStr">
        <is>
          <t>Abril</t>
        </is>
      </c>
      <c r="I2240" t="inlineStr">
        <is>
          <t>2024-1</t>
        </is>
      </c>
      <c r="J2240" t="n">
        <v>200</v>
      </c>
      <c r="K2240" t="n">
        <v>89.04000000000001</v>
      </c>
      <c r="L2240" s="39">
        <f>IFERROR(IF(OR(J2240=0,K2240=""),"",IF(E2240="Positivo",MIN(MAX(K2240/J2240,0),1.3),MIN(MAX(J2240/K2240,0),1.3))),"") </f>
        <v/>
      </c>
      <c r="M2240" s="3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434-2024-04-30</t>
        </is>
      </c>
    </row>
    <row r="2241" hidden="1" customFormat="1" s="2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8" t="n">
        <v>45443</v>
      </c>
      <c r="G2241" t="n">
        <v>2024</v>
      </c>
      <c r="H2241" t="inlineStr">
        <is>
          <t>Mayo</t>
        </is>
      </c>
      <c r="I2241" t="inlineStr">
        <is>
          <t>2024-1</t>
        </is>
      </c>
      <c r="J2241" t="n">
        <v>200</v>
      </c>
      <c r="K2241" t="n">
        <v>42</v>
      </c>
      <c r="L2241" s="39">
        <f>IFERROR(IF(OR(J2241=0,K2241=""),"",IF(E2241="Positivo",MIN(MAX(K2241/J2241,0),1.3),MIN(MAX(J2241/K2241,0),1.3))),"") </f>
        <v/>
      </c>
      <c r="M2241" s="39">
        <f>IFERROR(IF(OR(J2241=0,K2241=""),"",IF(E2241="Positivo",MAX(K2241/J2241,0),MAX(J2241/K2241,0))),"") </f>
        <v/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0</v>
      </c>
      <c r="R2241" t="inlineStr">
        <is>
          <t>434-2024-05-31</t>
        </is>
      </c>
    </row>
    <row r="2242" hidden="1" customFormat="1" s="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8" t="n">
        <v>45473</v>
      </c>
      <c r="G2242" t="n">
        <v>2024</v>
      </c>
      <c r="H2242" t="inlineStr">
        <is>
          <t>Junio</t>
        </is>
      </c>
      <c r="I2242" t="inlineStr">
        <is>
          <t>2024-1</t>
        </is>
      </c>
      <c r="J2242" t="n">
        <v>200</v>
      </c>
      <c r="K2242" t="n">
        <v>3219.1</v>
      </c>
      <c r="L2242" s="39">
        <f>IFERROR(IF(OR(J2242=0,K2242=""),"",IF(E2242="Positivo",MIN(MAX(K2242/J2242,0),1.3),MIN(MAX(J2242/K2242,0),1.3))),"") </f>
        <v/>
      </c>
      <c r="M2242" s="39">
        <f>IFERROR(IF(OR(J2242=0,K2242=""),"",IF(E2242="Positivo",MAX(K2242/J2242,0),MAX(J2242/K2242,0))),"") </f>
        <v/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434-2024-06-30</t>
        </is>
      </c>
    </row>
    <row r="2243" hidden="1" customFormat="1" s="2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8" t="n">
        <v>45504</v>
      </c>
      <c r="G2243" t="n">
        <v>2024</v>
      </c>
      <c r="H2243" t="inlineStr">
        <is>
          <t>Julio</t>
        </is>
      </c>
      <c r="I2243" t="inlineStr">
        <is>
          <t>2024-2</t>
        </is>
      </c>
      <c r="J2243" t="n">
        <v>200</v>
      </c>
      <c r="K2243" t="n">
        <v>1689.599975585938</v>
      </c>
      <c r="L2243" s="39">
        <f>IFERROR(IF(OR(J2243=0,K2243=""),"",IF(E2243="Positivo",MIN(MAX(K2243/J2243,0),1.3),MIN(MAX(J2243/K2243,0),1.3))),"") </f>
        <v/>
      </c>
      <c r="M2243" s="39">
        <f>IFERROR(IF(OR(J2243=0,K2243=""),"",IF(E2243="Positivo",MAX(K2243/J2243,0),MAX(J2243/K2243,0))),"") </f>
        <v/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434-2024-07-31</t>
        </is>
      </c>
    </row>
    <row r="2244" hidden="1" customFormat="1" s="2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8" t="n">
        <v>45535</v>
      </c>
      <c r="G2244" t="n">
        <v>2024</v>
      </c>
      <c r="H2244" t="inlineStr">
        <is>
          <t>Agosto</t>
        </is>
      </c>
      <c r="I2244" t="inlineStr">
        <is>
          <t>2024-2</t>
        </is>
      </c>
      <c r="J2244" t="n">
        <v>200</v>
      </c>
      <c r="K2244" t="n">
        <v>855.1</v>
      </c>
      <c r="L2244" s="39">
        <f>IFERROR(IF(OR(J2244=0,K2244=""),"",IF(E2244="Positivo",MIN(MAX(K2244/J2244,0),1.3),MIN(MAX(J2244/K2244,0),1.3))),"") </f>
        <v/>
      </c>
      <c r="M2244" s="39">
        <f>IFERROR(IF(OR(J2244=0,K2244=""),"",IF(E2244="Positivo",MAX(K2244/J2244,0),MAX(J2244/K2244,0))),"") </f>
        <v/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434-2024-08-31</t>
        </is>
      </c>
    </row>
    <row r="2245" hidden="1" customFormat="1" s="2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8" t="n">
        <v>45565</v>
      </c>
      <c r="G2245" t="n">
        <v>2024</v>
      </c>
      <c r="H2245" t="inlineStr">
        <is>
          <t>Septiembre</t>
        </is>
      </c>
      <c r="I2245" t="inlineStr">
        <is>
          <t>2024-2</t>
        </is>
      </c>
      <c r="J2245" t="n">
        <v>200</v>
      </c>
      <c r="K2245" t="n">
        <v>16.37</v>
      </c>
      <c r="L2245" s="39">
        <f>IFERROR(IF(OR(J2245=0,K2245=""),"",IF(E2245="Positivo",MIN(MAX(K2245/J2245,0),1.3),MIN(MAX(J2245/K2245,0),1.3))),"") </f>
        <v/>
      </c>
      <c r="M2245" s="39">
        <f>IFERROR(IF(OR(J2245=0,K2245=""),"",IF(E2245="Positivo",MAX(K2245/J2245,0),MAX(J2245/K2245,0))),"") </f>
        <v/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434-2024-09-30</t>
        </is>
      </c>
    </row>
    <row r="2246" hidden="1" customFormat="1" s="2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8" t="n">
        <v>45596</v>
      </c>
      <c r="G2246" t="n">
        <v>2024</v>
      </c>
      <c r="H2246" t="inlineStr">
        <is>
          <t>Octubre</t>
        </is>
      </c>
      <c r="I2246" t="inlineStr">
        <is>
          <t>2024-2</t>
        </is>
      </c>
      <c r="J2246" t="n">
        <v>200</v>
      </c>
      <c r="K2246" t="n">
        <v>992.38</v>
      </c>
      <c r="L2246" s="39">
        <f>IFERROR(IF(OR(J2246=0,K2246=""),"",IF(E2246="Positivo",MIN(MAX(K2246/J2246,0),1.3),MIN(MAX(J2246/K2246,0),1.3))),"") </f>
        <v/>
      </c>
      <c r="M2246" s="39">
        <f>IFERROR(IF(OR(J2246=0,K2246=""),"",IF(E2246="Positivo",MAX(K2246/J2246,0),MAX(J2246/K2246,0))),"") </f>
        <v/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434-2024-10-31</t>
        </is>
      </c>
    </row>
    <row r="2247" hidden="1" customFormat="1" s="2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08" t="n">
        <v>45626</v>
      </c>
      <c r="G2247" t="n">
        <v>2024</v>
      </c>
      <c r="H2247" t="inlineStr">
        <is>
          <t>Noviembre</t>
        </is>
      </c>
      <c r="I2247" t="inlineStr">
        <is>
          <t>2024-2</t>
        </is>
      </c>
      <c r="J2247" t="n">
        <v>200</v>
      </c>
      <c r="K2247" t="n">
        <v>73.88</v>
      </c>
      <c r="L2247" s="39">
        <f>IFERROR(IF(OR(J2247=0,K2247=""),"",IF(E2247="Positivo",MIN(MAX(K2247/J2247,0),1.3),MIN(MAX(J2247/K2247,0),1.3))),"") </f>
        <v/>
      </c>
      <c r="M2247" s="39">
        <f>IFERROR(IF(OR(J2247=0,K2247=""),"",IF(E2247="Positivo",MAX(K2247/J2247,0),MAX(J2247/K2247,0))),"") </f>
        <v/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434-2024-11-30</t>
        </is>
      </c>
    </row>
    <row r="2248" hidden="1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08" t="n">
        <v>45657</v>
      </c>
      <c r="G2248" t="n">
        <v>2024</v>
      </c>
      <c r="H2248" t="inlineStr">
        <is>
          <t>Diciembre</t>
        </is>
      </c>
      <c r="I2248" t="inlineStr">
        <is>
          <t>2024-2</t>
        </is>
      </c>
      <c r="J2248" t="n">
        <v>200</v>
      </c>
      <c r="K2248" t="n">
        <v>2364.490097716451</v>
      </c>
      <c r="L2248" s="39">
        <f>IFERROR(IF(OR(J2248=0,K2248=""),"",IF(E2248="Positivo",MIN(MAX(K2248/J2248,0),1.3),MIN(MAX(J2248/K2248,0),1.3))),"") </f>
        <v/>
      </c>
      <c r="M2248" s="39">
        <f>IFERROR(IF(OR(J2248=0,K2248=""),"",IF(E2248="Positivo",MAX(K2248/J2248,0),MAX(J2248/K2248,0))),"") </f>
        <v/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434-2024-12-31</t>
        </is>
      </c>
    </row>
    <row r="2249" hidden="1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08" t="n">
        <v>45688</v>
      </c>
      <c r="G2249" t="n">
        <v>2025</v>
      </c>
      <c r="H2249" t="inlineStr">
        <is>
          <t>Enero</t>
        </is>
      </c>
      <c r="I2249" t="inlineStr">
        <is>
          <t>2025-1</t>
        </is>
      </c>
      <c r="J2249" t="n">
        <v>200</v>
      </c>
      <c r="K2249" t="n">
        <v>2072.47</v>
      </c>
      <c r="L2249" s="39">
        <f>IFERROR(IF(OR(J2249=0,K2249=""),"",IF(E2249="Positivo",MIN(MAX(K2249/J2249,0),1.3),MIN(MAX(J2249/K2249,0),1.3))),"") </f>
        <v/>
      </c>
      <c r="M2249" s="39">
        <f>IFERROR(IF(OR(J2249=0,K2249=""),"",IF(E2249="Positivo",MAX(K2249/J2249,0),MAX(J2249/K2249,0))),"") </f>
        <v/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434-2025-01-31</t>
        </is>
      </c>
    </row>
    <row r="2250" hidden="1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08" t="n">
        <v>45716</v>
      </c>
      <c r="G2250" t="n">
        <v>2025</v>
      </c>
      <c r="H2250" t="inlineStr">
        <is>
          <t>Febrero</t>
        </is>
      </c>
      <c r="I2250" t="inlineStr">
        <is>
          <t>2025-1</t>
        </is>
      </c>
      <c r="J2250" t="n">
        <v>200</v>
      </c>
      <c r="K2250" t="n">
        <v>71.68000000000001</v>
      </c>
      <c r="L2250" s="39">
        <f>IFERROR(IF(OR(J2250=0,K2250=""),"",IF(E2250="Positivo",MIN(MAX(K2250/J2250,0),1.3),MIN(MAX(J2250/K2250,0),1.3))),"") </f>
        <v/>
      </c>
      <c r="M2250" s="39">
        <f>IFERROR(IF(OR(J2250=0,K2250=""),"",IF(E2250="Positivo",MAX(K2250/J2250,0),MAX(J2250/K2250,0))),"") </f>
        <v/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434-2025-02-28</t>
        </is>
      </c>
    </row>
    <row r="2251" hidden="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08" t="n">
        <v>45747</v>
      </c>
      <c r="G2251" t="n">
        <v>2025</v>
      </c>
      <c r="H2251" t="inlineStr">
        <is>
          <t>Marzo</t>
        </is>
      </c>
      <c r="I2251" t="inlineStr">
        <is>
          <t>2025-1</t>
        </is>
      </c>
      <c r="J2251" t="n">
        <v>200</v>
      </c>
      <c r="K2251" t="n">
        <v>53.29</v>
      </c>
      <c r="L2251" s="39">
        <f>IFERROR(IF(OR(J2251=0,K2251=""),"",IF(E2251="Positivo",MIN(MAX(K2251/J2251,0),1.3),MIN(MAX(J2251/K2251,0),1.3))),"") </f>
        <v/>
      </c>
      <c r="M2251" s="39">
        <f>IFERROR(IF(OR(J2251=0,K2251=""),"",IF(E2251="Positivo",MAX(K2251/J2251,0),MAX(J2251/K2251,0))),"") </f>
        <v/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434-2025-03-31</t>
        </is>
      </c>
    </row>
    <row r="2252" hidden="1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08" t="n">
        <v>45777</v>
      </c>
      <c r="G2252" t="n">
        <v>2025</v>
      </c>
      <c r="H2252" t="inlineStr">
        <is>
          <t>Abril</t>
        </is>
      </c>
      <c r="I2252" t="inlineStr">
        <is>
          <t>2025-1</t>
        </is>
      </c>
      <c r="J2252" t="n">
        <v>200</v>
      </c>
      <c r="K2252" t="n">
        <v>126.74</v>
      </c>
      <c r="L2252" s="39">
        <f>IFERROR(IF(OR(J2252=0,K2252=""),"",IF(E2252="Positivo",MIN(MAX(K2252/J2252,0),1.3),MIN(MAX(J2252/K2252,0),1.3))),"") </f>
        <v/>
      </c>
      <c r="M2252" s="39">
        <f>IFERROR(IF(OR(J2252=0,K2252=""),"",IF(E2252="Positivo",MAX(K2252/J2252,0),MAX(J2252/K2252,0))),"") </f>
        <v/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434-2025-04-30</t>
        </is>
      </c>
    </row>
    <row r="2253" hidden="1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08" t="n">
        <v>45808</v>
      </c>
      <c r="G2253" t="n">
        <v>2025</v>
      </c>
      <c r="H2253" t="inlineStr">
        <is>
          <t>Mayo</t>
        </is>
      </c>
      <c r="I2253" t="inlineStr">
        <is>
          <t>2025-1</t>
        </is>
      </c>
      <c r="J2253" t="n">
        <v>200</v>
      </c>
      <c r="K2253" t="n">
        <v>12.6</v>
      </c>
      <c r="L2253" s="39">
        <f>IFERROR(IF(OR(J2253=0,K2253=""),"",IF(E2253="Positivo",MIN(MAX(K2253/J2253,0),1.3),MIN(MAX(J2253/K2253,0),1.3))),"") </f>
        <v/>
      </c>
      <c r="M2253" s="39">
        <f>IFERROR(IF(OR(J2253=0,K2253=""),"",IF(E2253="Positivo",MAX(K2253/J2253,0),MAX(J2253/K2253,0))),"") </f>
        <v/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434-2025-05-31</t>
        </is>
      </c>
    </row>
    <row r="2254" hidden="1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08" t="n">
        <v>45838</v>
      </c>
      <c r="G2254" t="n">
        <v>2025</v>
      </c>
      <c r="H2254" t="inlineStr">
        <is>
          <t>Junio</t>
        </is>
      </c>
      <c r="I2254" t="inlineStr">
        <is>
          <t>2025-1</t>
        </is>
      </c>
      <c r="J2254" t="n">
        <v>200</v>
      </c>
      <c r="K2254" t="n">
        <v>130.58</v>
      </c>
      <c r="L2254" s="39">
        <f>IFERROR(IF(OR(J2254=0,K2254=""),"",IF(E2254="Positivo",MIN(MAX(K2254/J2254,0),1.3),MIN(MAX(J2254/K2254,0),1.3))),"") </f>
        <v/>
      </c>
      <c r="M2254" s="39">
        <f>IFERROR(IF(OR(J2254=0,K2254=""),"",IF(E2254="Positivo",MAX(K2254/J2254,0),MAX(J2254/K2254,0))),"") </f>
        <v/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1</v>
      </c>
      <c r="R2254" t="inlineStr">
        <is>
          <t>434-2025-06-30</t>
        </is>
      </c>
    </row>
    <row r="2255" hidden="1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08" t="n">
        <v>45869</v>
      </c>
      <c r="G2255" t="n">
        <v>2025</v>
      </c>
      <c r="H2255" t="inlineStr">
        <is>
          <t>Julio</t>
        </is>
      </c>
      <c r="I2255" t="inlineStr">
        <is>
          <t>2025-2</t>
        </is>
      </c>
      <c r="J2255" t="n">
        <v>200</v>
      </c>
      <c r="K2255" t="n">
        <v>312.11</v>
      </c>
      <c r="L2255" s="39">
        <f>IFERROR(IF(OR(J2255=0,K2255=""),"",IF(E2255="Positivo",MIN(MAX(K2255/J2255,0),1.3),MIN(MAX(J2255/K2255,0),1.3))),"") </f>
        <v/>
      </c>
      <c r="M2255" s="39">
        <f>IFERROR(IF(OR(J2255=0,K2255=""),"",IF(E2255="Positivo",MAX(K2255/J2255,0),MAX(J2255/K2255,0))),"") </f>
        <v/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434-2025-07-31</t>
        </is>
      </c>
    </row>
    <row r="2256" hidden="1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08" t="n">
        <v>45900</v>
      </c>
      <c r="G2256" t="n">
        <v>2025</v>
      </c>
      <c r="H2256" t="inlineStr">
        <is>
          <t>Agosto</t>
        </is>
      </c>
      <c r="I2256" t="inlineStr">
        <is>
          <t>2025-2</t>
        </is>
      </c>
      <c r="J2256" t="n">
        <v>200</v>
      </c>
      <c r="K2256" t="n">
        <v>84.75</v>
      </c>
      <c r="L2256" s="39">
        <f>IFERROR(IF(OR(J2256=0,K2256=""),"",IF(E2256="Positivo",MIN(MAX(K2256/J2256,0),1.3),MIN(MAX(J2256/K2256,0),1.3))),"") </f>
        <v/>
      </c>
      <c r="M2256" s="39">
        <f>IFERROR(IF(OR(J2256=0,K2256=""),"",IF(E2256="Positivo",MAX(K2256/J2256,0),MAX(J2256/K2256,0))),"") </f>
        <v/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434-2025-08-31</t>
        </is>
      </c>
    </row>
    <row r="2257" hidden="1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08" t="n">
        <v>45930</v>
      </c>
      <c r="G2257" t="n">
        <v>2025</v>
      </c>
      <c r="H2257" t="inlineStr">
        <is>
          <t>Septiembre</t>
        </is>
      </c>
      <c r="I2257" t="inlineStr">
        <is>
          <t>2025-2</t>
        </is>
      </c>
      <c r="J2257" t="n">
        <v>200</v>
      </c>
      <c r="K2257" t="n">
        <v>109.73</v>
      </c>
      <c r="L2257" s="39">
        <f>IFERROR(IF(OR(J2257=0,K2257=""),"",IF(E2257="Positivo",MIN(MAX(K2257/J2257,0),1.3),MIN(MAX(J2257/K2257,0),1.3))),"") </f>
        <v/>
      </c>
      <c r="M2257" s="39">
        <f>IFERROR(IF(OR(J2257=0,K2257=""),"",IF(E2257="Positivo",MAX(K2257/J2257,0),MAX(J2257/K2257,0))),"") </f>
        <v/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434-2025-09-30</t>
        </is>
      </c>
    </row>
    <row r="2258" hidden="1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08" t="n">
        <v>45961</v>
      </c>
      <c r="G2258" t="n">
        <v>2025</v>
      </c>
      <c r="H2258" t="inlineStr">
        <is>
          <t>Octubre</t>
        </is>
      </c>
      <c r="I2258" t="inlineStr">
        <is>
          <t>2025-2</t>
        </is>
      </c>
      <c r="J2258" t="n">
        <v>200</v>
      </c>
      <c r="K2258" t="n">
        <v>4524.46</v>
      </c>
      <c r="L2258" s="39">
        <f>IFERROR(IF(OR(J2258=0,K2258=""),"",IF(E2258="Positivo",MIN(MAX(K2258/J2258,0),1.3),MIN(MAX(J2258/K2258,0),1.3))),"") </f>
        <v/>
      </c>
      <c r="M2258" s="39">
        <f>IFERROR(IF(OR(J2258=0,K2258=""),"",IF(E2258="Positivo",MAX(K2258/J2258,0),MAX(J2258/K2258,0))),"") </f>
        <v/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434-2025-10-31</t>
        </is>
      </c>
    </row>
    <row r="2259" hidden="1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08" t="n">
        <v>45991</v>
      </c>
      <c r="G2259" t="n">
        <v>2025</v>
      </c>
      <c r="H2259" t="inlineStr">
        <is>
          <t>Noviembre</t>
        </is>
      </c>
      <c r="I2259" t="inlineStr">
        <is>
          <t>2025-2</t>
        </is>
      </c>
      <c r="J2259" t="n">
        <v>200</v>
      </c>
      <c r="K2259" t="n">
        <v>285.15</v>
      </c>
      <c r="L2259" s="39">
        <f>IFERROR(IF(OR(J2259=0,K2259=""),"",IF(E2259="Positivo",MIN(MAX(K2259/J2259,0),1.3),MIN(MAX(J2259/K2259,0),1.3))),"") </f>
        <v/>
      </c>
      <c r="M2259" s="39">
        <f>IFERROR(IF(OR(J2259=0,K2259=""),"",IF(E2259="Positivo",MAX(K2259/J2259,0),MAX(J2259/K2259,0))),"") </f>
        <v/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434-2025-11-30</t>
        </is>
      </c>
    </row>
    <row r="2260" hidden="1">
      <c r="A2260" t="n">
        <v>434</v>
      </c>
      <c r="B2260" t="inlineStr">
        <is>
          <t>Generación de Residuos Peligrosos Mensual</t>
        </is>
      </c>
      <c r="C2260" t="inlineStr">
        <is>
          <t>GESTIÓN AMBIENTAL</t>
        </is>
      </c>
      <c r="D2260" t="inlineStr">
        <is>
          <t>Mensual</t>
        </is>
      </c>
      <c r="E2260" t="inlineStr">
        <is>
          <t>Negativo</t>
        </is>
      </c>
      <c r="F2260" s="108" t="n">
        <v>46022</v>
      </c>
      <c r="G2260" t="n">
        <v>2025</v>
      </c>
      <c r="H2260" t="inlineStr">
        <is>
          <t>Diciembre</t>
        </is>
      </c>
      <c r="I2260" t="inlineStr">
        <is>
          <t>2025-2</t>
        </is>
      </c>
      <c r="J2260" t="n">
        <v>200</v>
      </c>
      <c r="K2260" t="n">
        <v>150.1299935057759</v>
      </c>
      <c r="L2260" s="39">
        <f>IFERROR(IF(OR(J2260=0,K2260=""),"",IF(E2260="Positivo",MIN(MAX(K2260/J2260,0),1.3),MIN(MAX(J2260/K2260,0),1.3))),"") </f>
        <v/>
      </c>
      <c r="M2260" s="39">
        <f>IFERROR(IF(OR(J2260=0,K2260=""),"",IF(E2260="Positivo",MAX(K2260/J2260,0),MAX(J2260/K2260,0))),"") </f>
        <v/>
      </c>
      <c r="N2260" t="inlineStr">
        <is>
          <t>Kg</t>
        </is>
      </c>
      <c r="O2260" t="inlineStr">
        <is>
          <t>Kg</t>
        </is>
      </c>
      <c r="P2260" t="n">
        <v>0</v>
      </c>
      <c r="Q2260" t="n">
        <v>0</v>
      </c>
      <c r="R2260" t="inlineStr">
        <is>
          <t>434-2025-12-31</t>
        </is>
      </c>
    </row>
    <row r="2261" hidden="1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08" t="n">
        <v>45107</v>
      </c>
      <c r="G2261" t="n">
        <v>2023</v>
      </c>
      <c r="H2261" t="inlineStr">
        <is>
          <t>Junio</t>
        </is>
      </c>
      <c r="I2261" t="inlineStr">
        <is>
          <t>2023-1</t>
        </is>
      </c>
      <c r="J2261" t="n">
        <v>100</v>
      </c>
      <c r="L2261" s="39" t="n"/>
      <c r="M2261" s="39" t="n"/>
      <c r="N2261" t="inlineStr">
        <is>
          <t>%</t>
        </is>
      </c>
      <c r="O2261" t="inlineStr">
        <is>
          <t>No Aplica</t>
        </is>
      </c>
      <c r="P2261" t="n">
        <v>2</v>
      </c>
      <c r="Q2261" t="n">
        <v>2</v>
      </c>
      <c r="R2261" t="inlineStr">
        <is>
          <t>435-2023-06-30</t>
        </is>
      </c>
      <c r="S2261" t="inlineStr">
        <is>
          <t>No Aplica</t>
        </is>
      </c>
    </row>
    <row r="2262" hidden="1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108" t="n">
        <v>45291</v>
      </c>
      <c r="G2262" t="n">
        <v>2023</v>
      </c>
      <c r="H2262" t="inlineStr">
        <is>
          <t>Diciembre</t>
        </is>
      </c>
      <c r="I2262" t="inlineStr">
        <is>
          <t>2023-2</t>
        </is>
      </c>
      <c r="J2262" t="n">
        <v>100</v>
      </c>
      <c r="K2262" t="n">
        <v>-111.57</v>
      </c>
      <c r="L2262" s="39">
        <f>IFERROR(IF(OR(J2262=0,K2262=""),"",IF(E2262="Positivo",MIN(MAX(K2262/J2262,0),1.3),MIN(MAX(J2262/K2262,0),1.3))),"") </f>
        <v/>
      </c>
      <c r="M2262" s="39">
        <f>IFERROR(IF(OR(J2262=0,K2262=""),"",IF(E2262="Positivo",MAX(K2262/J2262,0),MAX(J2262/K2262,0))),"") </f>
        <v/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435-2023-12-31</t>
        </is>
      </c>
    </row>
    <row r="2263" hidden="1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08" t="n">
        <v>45473</v>
      </c>
      <c r="G2263" t="n">
        <v>2024</v>
      </c>
      <c r="H2263" t="inlineStr">
        <is>
          <t>Junio</t>
        </is>
      </c>
      <c r="I2263" t="inlineStr">
        <is>
          <t>2024-1</t>
        </is>
      </c>
      <c r="J2263" t="n">
        <v>100</v>
      </c>
      <c r="K2263" t="n">
        <v>-20.67</v>
      </c>
      <c r="L2263" s="39">
        <f>IFERROR(IF(OR(J2263=0,K2263=""),"",IF(E2263="Positivo",MIN(MAX(K2263/J2263,0),1.3),MIN(MAX(J2263/K2263,0),1.3))),"") </f>
        <v/>
      </c>
      <c r="M2263" s="39">
        <f>IFERROR(IF(OR(J2263=0,K2263=""),"",IF(E2263="Positivo",MAX(K2263/J2263,0),MAX(J2263/K2263,0))),"") </f>
        <v/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435-2024-06-30</t>
        </is>
      </c>
    </row>
    <row r="2264" hidden="1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08" t="n">
        <v>45657</v>
      </c>
      <c r="G2264" t="n">
        <v>2024</v>
      </c>
      <c r="H2264" t="inlineStr">
        <is>
          <t>Diciembre</t>
        </is>
      </c>
      <c r="I2264" t="inlineStr">
        <is>
          <t>2024-2</t>
        </is>
      </c>
      <c r="J2264" t="n">
        <v>100</v>
      </c>
      <c r="K2264" t="n">
        <v>71.09</v>
      </c>
      <c r="L2264" s="39">
        <f>IFERROR(IF(OR(J2264=0,K2264=""),"",IF(E2264="Positivo",MIN(MAX(K2264/J2264,0),1.3),MIN(MAX(J2264/K2264,0),1.3))),"") </f>
        <v/>
      </c>
      <c r="M2264" s="39">
        <f>IFERROR(IF(OR(J2264=0,K2264=""),"",IF(E2264="Positivo",MAX(K2264/J2264,0),MAX(J2264/K2264,0))),"") </f>
        <v/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435-2024-12-31</t>
        </is>
      </c>
    </row>
    <row r="2265" hidden="1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Semestral</t>
        </is>
      </c>
      <c r="E2265" t="inlineStr">
        <is>
          <t>Positivo</t>
        </is>
      </c>
      <c r="F2265" s="108" t="n">
        <v>45838</v>
      </c>
      <c r="G2265" t="n">
        <v>2025</v>
      </c>
      <c r="H2265" t="inlineStr">
        <is>
          <t>Junio</t>
        </is>
      </c>
      <c r="I2265" t="inlineStr">
        <is>
          <t>2025-1</t>
        </is>
      </c>
      <c r="J2265" t="n">
        <v>1</v>
      </c>
      <c r="K2265" t="n">
        <v>96.09</v>
      </c>
      <c r="L2265" s="39">
        <f>IFERROR(IF(OR(J2265=0,K2265=""),"",IF(E2265="Positivo",MIN(MAX(K2265/J2265,0),1.3),MIN(MAX(J2265/K2265,0),1.3))),"") </f>
        <v/>
      </c>
      <c r="M2265" s="39">
        <f>IFERROR(IF(OR(J2265=0,K2265=""),"",IF(E2265="Positivo",MAX(K2265/J2265,0),MAX(J2265/K2265,0))),"") </f>
        <v/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435-2025-06-30</t>
        </is>
      </c>
    </row>
    <row r="2266" hidden="1">
      <c r="A2266" t="n">
        <v>435</v>
      </c>
      <c r="B2266" t="inlineStr">
        <is>
          <t>Disminución de la Generación de Residuos Peligrosos per Cápita</t>
        </is>
      </c>
      <c r="C2266" t="inlineStr">
        <is>
          <t>GESTIÓN AMBIENTAL</t>
        </is>
      </c>
      <c r="D2266" t="inlineStr">
        <is>
          <t>Trimestral</t>
        </is>
      </c>
      <c r="E2266" t="inlineStr">
        <is>
          <t>Positivo</t>
        </is>
      </c>
      <c r="F2266" s="108" t="n">
        <v>46022</v>
      </c>
      <c r="G2266" t="n">
        <v>2025</v>
      </c>
      <c r="H2266" t="inlineStr">
        <is>
          <t>Diciembre</t>
        </is>
      </c>
      <c r="I2266" t="inlineStr">
        <is>
          <t>2025-2</t>
        </is>
      </c>
      <c r="J2266" t="n">
        <v>1</v>
      </c>
      <c r="K2266" t="n">
        <v>-732.08</v>
      </c>
      <c r="L2266" s="39">
        <f>IFERROR(IF(OR(J2266=0,K2266=""),"",IF(E2266="Positivo",MIN(MAX(K2266/J2266,0),1.3),MIN(MAX(J2266/K2266,0),1.3))),"") </f>
        <v/>
      </c>
      <c r="M2266" s="39">
        <f>IFERROR(IF(OR(J2266=0,K2266=""),"",IF(E2266="Positivo",MAX(K2266/J2266,0),MAX(J2266/K2266,0))),"") </f>
        <v/>
      </c>
      <c r="N2266" t="inlineStr">
        <is>
          <t>%</t>
        </is>
      </c>
      <c r="O2266" t="inlineStr">
        <is>
          <t>%</t>
        </is>
      </c>
      <c r="P2266" t="n">
        <v>2</v>
      </c>
      <c r="Q2266" t="n">
        <v>2</v>
      </c>
      <c r="R2266" t="inlineStr">
        <is>
          <t>435-2025-12-31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08" t="n">
        <v>44957</v>
      </c>
      <c r="G2267" t="n">
        <v>2023</v>
      </c>
      <c r="H2267" t="inlineStr">
        <is>
          <t>Enero</t>
        </is>
      </c>
      <c r="I2267" t="inlineStr">
        <is>
          <t>2023-1</t>
        </is>
      </c>
      <c r="J2267" t="n">
        <v>14</v>
      </c>
      <c r="L2267" s="39" t="n"/>
      <c r="M2267" s="3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436-2023-01-31</t>
        </is>
      </c>
      <c r="S2267" t="inlineStr">
        <is>
          <t>No Aplica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08" t="n">
        <v>44985</v>
      </c>
      <c r="G2268" t="n">
        <v>2023</v>
      </c>
      <c r="H2268" t="inlineStr">
        <is>
          <t>Febrero</t>
        </is>
      </c>
      <c r="I2268" t="inlineStr">
        <is>
          <t>2023-1</t>
        </is>
      </c>
      <c r="J2268" t="n">
        <v>14</v>
      </c>
      <c r="L2268" s="39" t="n"/>
      <c r="M2268" s="3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436-2023-02-28</t>
        </is>
      </c>
      <c r="S2268" t="inlineStr">
        <is>
          <t>No Aplica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08" t="n">
        <v>45016</v>
      </c>
      <c r="G2269" t="n">
        <v>2023</v>
      </c>
      <c r="H2269" t="inlineStr">
        <is>
          <t>Marzo</t>
        </is>
      </c>
      <c r="I2269" t="inlineStr">
        <is>
          <t>2023-1</t>
        </is>
      </c>
      <c r="J2269" t="n">
        <v>14</v>
      </c>
      <c r="L2269" s="39" t="n"/>
      <c r="M2269" s="3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436-2023-03-31</t>
        </is>
      </c>
      <c r="S2269" t="inlineStr">
        <is>
          <t>No Aplica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08" t="n">
        <v>45046</v>
      </c>
      <c r="G2270" t="n">
        <v>2023</v>
      </c>
      <c r="H2270" t="inlineStr">
        <is>
          <t>Abril</t>
        </is>
      </c>
      <c r="I2270" t="inlineStr">
        <is>
          <t>2023-1</t>
        </is>
      </c>
      <c r="J2270" t="n">
        <v>14</v>
      </c>
      <c r="L2270" s="39" t="n"/>
      <c r="M2270" s="39" t="n"/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436-2023-04-30</t>
        </is>
      </c>
      <c r="S2270" t="inlineStr">
        <is>
          <t>No Aplica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08" t="n">
        <v>45077</v>
      </c>
      <c r="G2271" t="n">
        <v>2023</v>
      </c>
      <c r="H2271" t="inlineStr">
        <is>
          <t>Mayo</t>
        </is>
      </c>
      <c r="I2271" t="inlineStr">
        <is>
          <t>2023-1</t>
        </is>
      </c>
      <c r="J2271" t="n">
        <v>14</v>
      </c>
      <c r="L2271" s="39" t="n"/>
      <c r="M2271" s="39" t="n"/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436-2023-05-31</t>
        </is>
      </c>
      <c r="S2271" t="inlineStr">
        <is>
          <t>No Aplica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08" t="n">
        <v>45107</v>
      </c>
      <c r="G2272" t="n">
        <v>2023</v>
      </c>
      <c r="H2272" t="inlineStr">
        <is>
          <t>Junio</t>
        </is>
      </c>
      <c r="I2272" t="inlineStr">
        <is>
          <t>2023-1</t>
        </is>
      </c>
      <c r="J2272" t="n">
        <v>14</v>
      </c>
      <c r="N2272" t="inlineStr">
        <is>
          <t>Días</t>
        </is>
      </c>
      <c r="O2272" t="inlineStr">
        <is>
          <t>No Aplica</t>
        </is>
      </c>
      <c r="P2272" t="n">
        <v>0</v>
      </c>
      <c r="Q2272" t="n">
        <v>1</v>
      </c>
      <c r="R2272" t="inlineStr">
        <is>
          <t>436-2023-06-30</t>
        </is>
      </c>
      <c r="S2272" t="inlineStr">
        <is>
          <t>No Aplica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08" t="n">
        <v>45138</v>
      </c>
      <c r="G2273" t="n">
        <v>2023</v>
      </c>
      <c r="H2273" t="inlineStr">
        <is>
          <t>Julio</t>
        </is>
      </c>
      <c r="I2273" t="inlineStr">
        <is>
          <t>2023-2</t>
        </is>
      </c>
      <c r="J2273" t="n">
        <v>21</v>
      </c>
      <c r="K2273" t="n">
        <v>11.7</v>
      </c>
      <c r="L2273" s="39">
        <f>IFERROR(IF(OR(J2273=0,K2273=""),"",IF(E2273="Positivo",MIN(MAX(K2273/J2273,0),1.3),MIN(MAX(J2273/K2273,0),1.3))),"") </f>
        <v/>
      </c>
      <c r="M2273" s="3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436-2023-07-31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08" t="n">
        <v>45169</v>
      </c>
      <c r="G2274" t="n">
        <v>2023</v>
      </c>
      <c r="H2274" t="inlineStr">
        <is>
          <t>Agosto</t>
        </is>
      </c>
      <c r="I2274" t="inlineStr">
        <is>
          <t>2023-2</t>
        </is>
      </c>
      <c r="J2274" t="n">
        <v>21</v>
      </c>
      <c r="K2274" t="n">
        <v>8.699999999999999</v>
      </c>
      <c r="L2274" s="39">
        <f>IFERROR(IF(OR(J2274=0,K2274=""),"",IF(E2274="Positivo",MIN(MAX(K2274/J2274,0),1.3),MIN(MAX(J2274/K2274,0),1.3))),"") </f>
        <v/>
      </c>
      <c r="M2274" s="3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436-2023-08-31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08" t="n">
        <v>45199</v>
      </c>
      <c r="G2275" t="n">
        <v>2023</v>
      </c>
      <c r="H2275" t="inlineStr">
        <is>
          <t>Septiembre</t>
        </is>
      </c>
      <c r="I2275" t="inlineStr">
        <is>
          <t>2023-2</t>
        </is>
      </c>
      <c r="J2275" t="n">
        <v>21</v>
      </c>
      <c r="K2275" t="n">
        <v>17.3</v>
      </c>
      <c r="L2275" s="39">
        <f>IFERROR(IF(OR(J2275=0,K2275=""),"",IF(E2275="Positivo",MIN(MAX(K2275/J2275,0),1.3),MIN(MAX(J2275/K2275,0),1.3))),"") </f>
        <v/>
      </c>
      <c r="M2275" s="3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436-2023-09-30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08" t="n">
        <v>45230</v>
      </c>
      <c r="G2276" t="n">
        <v>2023</v>
      </c>
      <c r="H2276" t="inlineStr">
        <is>
          <t>Octubre</t>
        </is>
      </c>
      <c r="I2276" t="inlineStr">
        <is>
          <t>2023-2</t>
        </is>
      </c>
      <c r="J2276" t="n">
        <v>21</v>
      </c>
      <c r="K2276" t="n">
        <v>5.1</v>
      </c>
      <c r="L2276" s="39">
        <f>IFERROR(IF(OR(J2276=0,K2276=""),"",IF(E2276="Positivo",MIN(MAX(K2276/J2276,0),1.3),MIN(MAX(J2276/K2276,0),1.3))),"") </f>
        <v/>
      </c>
      <c r="M2276" s="3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436-2023-10-31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08" t="n">
        <v>45260</v>
      </c>
      <c r="G2277" t="n">
        <v>2023</v>
      </c>
      <c r="H2277" t="inlineStr">
        <is>
          <t>Noviembre</t>
        </is>
      </c>
      <c r="I2277" t="inlineStr">
        <is>
          <t>2023-2</t>
        </is>
      </c>
      <c r="J2277" t="n">
        <v>21</v>
      </c>
      <c r="K2277" t="n">
        <v>10.91</v>
      </c>
      <c r="L2277" s="39">
        <f>IFERROR(IF(OR(J2277=0,K2277=""),"",IF(E2277="Positivo",MIN(MAX(K2277/J2277,0),1.3),MIN(MAX(J2277/K2277,0),1.3))),"") </f>
        <v/>
      </c>
      <c r="M2277" s="3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436-2023-11-30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08" t="n">
        <v>45291</v>
      </c>
      <c r="G2278" t="n">
        <v>2023</v>
      </c>
      <c r="H2278" t="inlineStr">
        <is>
          <t>Diciembre</t>
        </is>
      </c>
      <c r="I2278" t="inlineStr">
        <is>
          <t>2023-2</t>
        </is>
      </c>
      <c r="J2278" t="n">
        <v>21</v>
      </c>
      <c r="K2278" t="n">
        <v>12.7</v>
      </c>
      <c r="L2278" s="39">
        <f>IFERROR(IF(OR(J2278=0,K2278=""),"",IF(E2278="Positivo",MIN(MAX(K2278/J2278,0),1.3),MIN(MAX(J2278/K2278,0),1.3))),"") </f>
        <v/>
      </c>
      <c r="M2278" s="3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436-2023-12-31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08" t="n">
        <v>45322</v>
      </c>
      <c r="G2279" t="n">
        <v>2024</v>
      </c>
      <c r="H2279" t="inlineStr">
        <is>
          <t>Enero</t>
        </is>
      </c>
      <c r="I2279" t="inlineStr">
        <is>
          <t>2024-1</t>
        </is>
      </c>
      <c r="J2279" t="n">
        <v>14</v>
      </c>
      <c r="K2279" t="n">
        <v>9.699999999999999</v>
      </c>
      <c r="L2279" s="39">
        <f>IFERROR(IF(OR(J2279=0,K2279=""),"",IF(E2279="Positivo",MIN(MAX(K2279/J2279,0),1.3),MIN(MAX(J2279/K2279,0),1.3))),"") </f>
        <v/>
      </c>
      <c r="M2279" s="3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436-2024-01-31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08" t="n">
        <v>45351</v>
      </c>
      <c r="G2280" t="n">
        <v>2024</v>
      </c>
      <c r="H2280" t="inlineStr">
        <is>
          <t>Febrero</t>
        </is>
      </c>
      <c r="I2280" t="inlineStr">
        <is>
          <t>2024-1</t>
        </is>
      </c>
      <c r="J2280" t="n">
        <v>14</v>
      </c>
      <c r="K2280" t="n">
        <v>13.5</v>
      </c>
      <c r="L2280" s="39">
        <f>IFERROR(IF(OR(J2280=0,K2280=""),"",IF(E2280="Positivo",MIN(MAX(K2280/J2280,0),1.3),MIN(MAX(J2280/K2280,0),1.3))),"") </f>
        <v/>
      </c>
      <c r="M2280" s="3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436-2024-02-29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08" t="n">
        <v>45382</v>
      </c>
      <c r="G2281" t="n">
        <v>2024</v>
      </c>
      <c r="H2281" t="inlineStr">
        <is>
          <t>Marzo</t>
        </is>
      </c>
      <c r="I2281" t="inlineStr">
        <is>
          <t>2024-1</t>
        </is>
      </c>
      <c r="J2281" t="n">
        <v>14</v>
      </c>
      <c r="K2281" t="n">
        <v>15.7</v>
      </c>
      <c r="L2281" s="39">
        <f>IFERROR(IF(OR(J2281=0,K2281=""),"",IF(E2281="Positivo",MIN(MAX(K2281/J2281,0),1.3),MIN(MAX(J2281/K2281,0),1.3))),"") </f>
        <v/>
      </c>
      <c r="M2281" s="3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436-2024-03-31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08" t="n">
        <v>45412</v>
      </c>
      <c r="G2282" t="n">
        <v>2024</v>
      </c>
      <c r="H2282" t="inlineStr">
        <is>
          <t>Abril</t>
        </is>
      </c>
      <c r="I2282" t="inlineStr">
        <is>
          <t>2024-1</t>
        </is>
      </c>
      <c r="J2282" t="n">
        <v>14</v>
      </c>
      <c r="K2282" t="n">
        <v>11.1</v>
      </c>
      <c r="L2282" s="39">
        <f>IFERROR(IF(OR(J2282=0,K2282=""),"",IF(E2282="Positivo",MIN(MAX(K2282/J2282,0),1.3),MIN(MAX(J2282/K2282,0),1.3))),"") </f>
        <v/>
      </c>
      <c r="M2282" s="3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436-2024-04-30</t>
        </is>
      </c>
    </row>
    <row r="2283" hidden="1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08" t="n">
        <v>45443</v>
      </c>
      <c r="G2283" t="n">
        <v>2024</v>
      </c>
      <c r="H2283" t="inlineStr">
        <is>
          <t>Mayo</t>
        </is>
      </c>
      <c r="I2283" t="inlineStr">
        <is>
          <t>2024-1</t>
        </is>
      </c>
      <c r="J2283" t="n">
        <v>14</v>
      </c>
      <c r="K2283" t="n">
        <v>10.6</v>
      </c>
      <c r="L2283" s="39">
        <f>IFERROR(IF(OR(J2283=0,K2283=""),"",IF(E2283="Positivo",MIN(MAX(K2283/J2283,0),1.3),MIN(MAX(J2283/K2283,0),1.3))),"") </f>
        <v/>
      </c>
      <c r="M2283" s="39">
        <f>IFERROR(IF(OR(J2283=0,K2283=""),"",IF(E2283="Positivo",MAX(K2283/J2283,0),MAX(J2283/K2283,0))),"") </f>
        <v/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436-2024-05-31</t>
        </is>
      </c>
    </row>
    <row r="2284" hidden="1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08" t="n">
        <v>45473</v>
      </c>
      <c r="G2284" t="n">
        <v>2024</v>
      </c>
      <c r="H2284" t="inlineStr">
        <is>
          <t>Junio</t>
        </is>
      </c>
      <c r="I2284" t="inlineStr">
        <is>
          <t>2024-1</t>
        </is>
      </c>
      <c r="J2284" t="n">
        <v>14</v>
      </c>
      <c r="K2284" t="n">
        <v>8.800000000000001</v>
      </c>
      <c r="L2284" s="39">
        <f>IFERROR(IF(OR(J2284=0,K2284=""),"",IF(E2284="Positivo",MIN(MAX(K2284/J2284,0),1.3),MIN(MAX(J2284/K2284,0),1.3))),"") </f>
        <v/>
      </c>
      <c r="M2284" s="39">
        <f>IFERROR(IF(OR(J2284=0,K2284=""),"",IF(E2284="Positivo",MAX(K2284/J2284,0),MAX(J2284/K2284,0))),"") </f>
        <v/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436-2024-06-30</t>
        </is>
      </c>
    </row>
    <row r="2285" hidden="1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08" t="n">
        <v>45504</v>
      </c>
      <c r="G2285" t="n">
        <v>2024</v>
      </c>
      <c r="H2285" t="inlineStr">
        <is>
          <t>Julio</t>
        </is>
      </c>
      <c r="I2285" t="inlineStr">
        <is>
          <t>2024-2</t>
        </is>
      </c>
      <c r="J2285" t="n">
        <v>14</v>
      </c>
      <c r="K2285" t="n">
        <v>9.4</v>
      </c>
      <c r="L2285" s="39">
        <f>IFERROR(IF(OR(J2285=0,K2285=""),"",IF(E2285="Positivo",MIN(MAX(K2285/J2285,0),1.3),MIN(MAX(J2285/K2285,0),1.3))),"") </f>
        <v/>
      </c>
      <c r="M2285" s="39">
        <f>IFERROR(IF(OR(J2285=0,K2285=""),"",IF(E2285="Positivo",MAX(K2285/J2285,0),MAX(J2285/K2285,0))),"") </f>
        <v/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436-2024-07-31</t>
        </is>
      </c>
    </row>
    <row r="2286" hidden="1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08" t="n">
        <v>45535</v>
      </c>
      <c r="G2286" t="n">
        <v>2024</v>
      </c>
      <c r="H2286" t="inlineStr">
        <is>
          <t>Agosto</t>
        </is>
      </c>
      <c r="I2286" t="inlineStr">
        <is>
          <t>2024-2</t>
        </is>
      </c>
      <c r="J2286" t="n">
        <v>14</v>
      </c>
      <c r="K2286" t="n">
        <v>8.5</v>
      </c>
      <c r="L2286" s="39">
        <f>IFERROR(IF(OR(J2286=0,K2286=""),"",IF(E2286="Positivo",MIN(MAX(K2286/J2286,0),1.3),MIN(MAX(J2286/K2286,0),1.3))),"") </f>
        <v/>
      </c>
      <c r="M2286" s="39">
        <f>IFERROR(IF(OR(J2286=0,K2286=""),"",IF(E2286="Positivo",MAX(K2286/J2286,0),MAX(J2286/K2286,0))),"") </f>
        <v/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436-2024-08-31</t>
        </is>
      </c>
    </row>
    <row r="2287" hidden="1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08" t="n">
        <v>45565</v>
      </c>
      <c r="G2287" t="n">
        <v>2024</v>
      </c>
      <c r="H2287" t="inlineStr">
        <is>
          <t>Septiembre</t>
        </is>
      </c>
      <c r="I2287" t="inlineStr">
        <is>
          <t>2024-2</t>
        </is>
      </c>
      <c r="J2287" t="n">
        <v>14</v>
      </c>
      <c r="K2287" t="n">
        <v>10.5</v>
      </c>
      <c r="L2287" s="39">
        <f>IFERROR(IF(OR(J2287=0,K2287=""),"",IF(E2287="Positivo",MIN(MAX(K2287/J2287,0),1.3),MIN(MAX(J2287/K2287,0),1.3))),"") </f>
        <v/>
      </c>
      <c r="M2287" s="39">
        <f>IFERROR(IF(OR(J2287=0,K2287=""),"",IF(E2287="Positivo",MAX(K2287/J2287,0),MAX(J2287/K2287,0))),"") </f>
        <v/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436-2024-09-30</t>
        </is>
      </c>
    </row>
    <row r="2288" hidden="1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08" t="n">
        <v>45596</v>
      </c>
      <c r="G2288" t="n">
        <v>2024</v>
      </c>
      <c r="H2288" t="inlineStr">
        <is>
          <t>Octubre</t>
        </is>
      </c>
      <c r="I2288" t="inlineStr">
        <is>
          <t>2024-2</t>
        </is>
      </c>
      <c r="J2288" t="n">
        <v>14</v>
      </c>
      <c r="K2288" t="n">
        <v>8</v>
      </c>
      <c r="L2288" s="39">
        <f>IFERROR(IF(OR(J2288=0,K2288=""),"",IF(E2288="Positivo",MIN(MAX(K2288/J2288,0),1.3),MIN(MAX(J2288/K2288,0),1.3))),"") </f>
        <v/>
      </c>
      <c r="M2288" s="39">
        <f>IFERROR(IF(OR(J2288=0,K2288=""),"",IF(E2288="Positivo",MAX(K2288/J2288,0),MAX(J2288/K2288,0))),"") </f>
        <v/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436-2024-10-31</t>
        </is>
      </c>
    </row>
    <row r="2289" hidden="1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08" t="n">
        <v>45626</v>
      </c>
      <c r="G2289" t="n">
        <v>2024</v>
      </c>
      <c r="H2289" t="inlineStr">
        <is>
          <t>Noviembre</t>
        </is>
      </c>
      <c r="I2289" t="inlineStr">
        <is>
          <t>2024-2</t>
        </is>
      </c>
      <c r="J2289" t="n">
        <v>14</v>
      </c>
      <c r="K2289" t="n">
        <v>10</v>
      </c>
      <c r="L2289" s="39">
        <f>IFERROR(IF(OR(J2289=0,K2289=""),"",IF(E2289="Positivo",MIN(MAX(K2289/J2289,0),1.3),MIN(MAX(J2289/K2289,0),1.3))),"") </f>
        <v/>
      </c>
      <c r="M2289" s="39">
        <f>IFERROR(IF(OR(J2289=0,K2289=""),"",IF(E2289="Positivo",MAX(K2289/J2289,0),MAX(J2289/K2289,0))),"") </f>
        <v/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436-2024-11-30</t>
        </is>
      </c>
    </row>
    <row r="2290" hidden="1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08" t="n">
        <v>45657</v>
      </c>
      <c r="G2290" t="n">
        <v>2024</v>
      </c>
      <c r="H2290" t="inlineStr">
        <is>
          <t>Diciembre</t>
        </is>
      </c>
      <c r="I2290" t="inlineStr">
        <is>
          <t>2024-2</t>
        </is>
      </c>
      <c r="J2290" t="n">
        <v>14</v>
      </c>
      <c r="K2290" t="n">
        <v>16.97</v>
      </c>
      <c r="L2290" s="39">
        <f>IFERROR(IF(OR(J2290=0,K2290=""),"",IF(E2290="Positivo",MIN(MAX(K2290/J2290,0),1.3),MIN(MAX(J2290/K2290,0),1.3))),"") </f>
        <v/>
      </c>
      <c r="M2290" s="39">
        <f>IFERROR(IF(OR(J2290=0,K2290=""),"",IF(E2290="Positivo",MAX(K2290/J2290,0),MAX(J2290/K2290,0))),"") </f>
        <v/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436-2024-12-31</t>
        </is>
      </c>
    </row>
    <row r="2291" hidden="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08" t="n">
        <v>45688</v>
      </c>
      <c r="G2291" t="n">
        <v>2025</v>
      </c>
      <c r="H2291" t="inlineStr">
        <is>
          <t>Enero</t>
        </is>
      </c>
      <c r="I2291" t="inlineStr">
        <is>
          <t>2025-1</t>
        </is>
      </c>
      <c r="J2291" t="n">
        <v>14</v>
      </c>
      <c r="K2291" t="n">
        <v>9.199999999999999</v>
      </c>
      <c r="L2291" s="39">
        <f>IFERROR(IF(OR(J2291=0,K2291=""),"",IF(E2291="Positivo",MIN(MAX(K2291/J2291,0),1.3),MIN(MAX(J2291/K2291,0),1.3))),"") </f>
        <v/>
      </c>
      <c r="M2291" s="39">
        <f>IFERROR(IF(OR(J2291=0,K2291=""),"",IF(E2291="Positivo",MAX(K2291/J2291,0),MAX(J2291/K2291,0))),"") </f>
        <v/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436-2025-01-31</t>
        </is>
      </c>
    </row>
    <row r="2292" hidden="1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08" t="n">
        <v>45716</v>
      </c>
      <c r="G2292" t="n">
        <v>2025</v>
      </c>
      <c r="H2292" t="inlineStr">
        <is>
          <t>Febrero</t>
        </is>
      </c>
      <c r="I2292" t="inlineStr">
        <is>
          <t>2025-1</t>
        </is>
      </c>
      <c r="J2292" t="n">
        <v>14</v>
      </c>
      <c r="K2292" t="n">
        <v>3.34</v>
      </c>
      <c r="L2292" s="39">
        <f>IFERROR(IF(OR(J2292=0,K2292=""),"",IF(E2292="Positivo",MIN(MAX(K2292/J2292,0),1.3),MIN(MAX(J2292/K2292,0),1.3))),"") </f>
        <v/>
      </c>
      <c r="M2292" s="39">
        <f>IFERROR(IF(OR(J2292=0,K2292=""),"",IF(E2292="Positivo",MAX(K2292/J2292,0),MAX(J2292/K2292,0))),"") </f>
        <v/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436-2025-02-28</t>
        </is>
      </c>
    </row>
    <row r="2293" hidden="1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08" t="n">
        <v>45747</v>
      </c>
      <c r="G2293" t="n">
        <v>2025</v>
      </c>
      <c r="H2293" t="inlineStr">
        <is>
          <t>Marzo</t>
        </is>
      </c>
      <c r="I2293" t="inlineStr">
        <is>
          <t>2025-1</t>
        </is>
      </c>
      <c r="J2293" t="n">
        <v>14</v>
      </c>
      <c r="K2293" t="n">
        <v>10.6</v>
      </c>
      <c r="L2293" s="39">
        <f>IFERROR(IF(OR(J2293=0,K2293=""),"",IF(E2293="Positivo",MIN(MAX(K2293/J2293,0),1.3),MIN(MAX(J2293/K2293,0),1.3))),"") </f>
        <v/>
      </c>
      <c r="M2293" s="39">
        <f>IFERROR(IF(OR(J2293=0,K2293=""),"",IF(E2293="Positivo",MAX(K2293/J2293,0),MAX(J2293/K2293,0))),"") </f>
        <v/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436-2025-03-31</t>
        </is>
      </c>
    </row>
    <row r="2294" hidden="1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08" t="n">
        <v>45777</v>
      </c>
      <c r="G2294" t="n">
        <v>2025</v>
      </c>
      <c r="H2294" t="inlineStr">
        <is>
          <t>Abril</t>
        </is>
      </c>
      <c r="I2294" t="inlineStr">
        <is>
          <t>2025-1</t>
        </is>
      </c>
      <c r="J2294" t="n">
        <v>14</v>
      </c>
      <c r="K2294" t="n">
        <v>6.4</v>
      </c>
      <c r="L2294" s="39">
        <f>IFERROR(IF(OR(J2294=0,K2294=""),"",IF(E2294="Positivo",MIN(MAX(K2294/J2294,0),1.3),MIN(MAX(J2294/K2294,0),1.3))),"") </f>
        <v/>
      </c>
      <c r="M2294" s="39">
        <f>IFERROR(IF(OR(J2294=0,K2294=""),"",IF(E2294="Positivo",MAX(K2294/J2294,0),MAX(J2294/K2294,0))),"") </f>
        <v/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436-2025-04-30</t>
        </is>
      </c>
    </row>
    <row r="2295" hidden="1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08" t="n">
        <v>45808</v>
      </c>
      <c r="G2295" t="n">
        <v>2025</v>
      </c>
      <c r="H2295" t="inlineStr">
        <is>
          <t>Mayo</t>
        </is>
      </c>
      <c r="I2295" t="inlineStr">
        <is>
          <t>2025-1</t>
        </is>
      </c>
      <c r="J2295" t="n">
        <v>14</v>
      </c>
      <c r="K2295" t="n">
        <v>10.17</v>
      </c>
      <c r="L2295" s="39">
        <f>IFERROR(IF(OR(J2295=0,K2295=""),"",IF(E2295="Positivo",MIN(MAX(K2295/J2295,0),1.3),MIN(MAX(J2295/K2295,0),1.3))),"") </f>
        <v/>
      </c>
      <c r="M2295" s="39">
        <f>IFERROR(IF(OR(J2295=0,K2295=""),"",IF(E2295="Positivo",MAX(K2295/J2295,0),MAX(J2295/K2295,0))),"") </f>
        <v/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436-2025-05-31</t>
        </is>
      </c>
    </row>
    <row r="2296" hidden="1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08" t="n">
        <v>45838</v>
      </c>
      <c r="G2296" t="n">
        <v>2025</v>
      </c>
      <c r="H2296" t="inlineStr">
        <is>
          <t>Junio</t>
        </is>
      </c>
      <c r="I2296" t="inlineStr">
        <is>
          <t>2025-1</t>
        </is>
      </c>
      <c r="J2296" t="n">
        <v>14</v>
      </c>
      <c r="K2296" t="n">
        <v>11.93</v>
      </c>
      <c r="L2296" s="39">
        <f>IFERROR(IF(OR(J2296=0,K2296=""),"",IF(E2296="Positivo",MIN(MAX(K2296/J2296,0),1.3),MIN(MAX(J2296/K2296,0),1.3))),"") </f>
        <v/>
      </c>
      <c r="M2296" s="39">
        <f>IFERROR(IF(OR(J2296=0,K2296=""),"",IF(E2296="Positivo",MAX(K2296/J2296,0),MAX(J2296/K2296,0))),"") </f>
        <v/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436-2025-06-30</t>
        </is>
      </c>
    </row>
    <row r="2297" hidden="1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08" t="n">
        <v>45869</v>
      </c>
      <c r="G2297" t="n">
        <v>2025</v>
      </c>
      <c r="H2297" t="inlineStr">
        <is>
          <t>Julio</t>
        </is>
      </c>
      <c r="I2297" t="inlineStr">
        <is>
          <t>2025-2</t>
        </is>
      </c>
      <c r="J2297" t="n">
        <v>14</v>
      </c>
      <c r="K2297" t="n">
        <v>13.41</v>
      </c>
      <c r="L2297" s="39">
        <f>IFERROR(IF(OR(J2297=0,K2297=""),"",IF(E2297="Positivo",MIN(MAX(K2297/J2297,0),1.3),MIN(MAX(J2297/K2297,0),1.3))),"") </f>
        <v/>
      </c>
      <c r="M2297" s="39">
        <f>IFERROR(IF(OR(J2297=0,K2297=""),"",IF(E2297="Positivo",MAX(K2297/J2297,0),MAX(J2297/K2297,0))),"") </f>
        <v/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436-2025-07-31</t>
        </is>
      </c>
    </row>
    <row r="2298" hidden="1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08" t="n">
        <v>45900</v>
      </c>
      <c r="G2298" t="n">
        <v>2025</v>
      </c>
      <c r="H2298" t="inlineStr">
        <is>
          <t>Agosto</t>
        </is>
      </c>
      <c r="I2298" t="inlineStr">
        <is>
          <t>2025-2</t>
        </is>
      </c>
      <c r="J2298" t="n">
        <v>14</v>
      </c>
      <c r="K2298" t="n">
        <v>14.17</v>
      </c>
      <c r="L2298" s="39">
        <f>IFERROR(IF(OR(J2298=0,K2298=""),"",IF(E2298="Positivo",MIN(MAX(K2298/J2298,0),1.3),MIN(MAX(J2298/K2298,0),1.3))),"") </f>
        <v/>
      </c>
      <c r="M2298" s="39">
        <f>IFERROR(IF(OR(J2298=0,K2298=""),"",IF(E2298="Positivo",MAX(K2298/J2298,0),MAX(J2298/K2298,0))),"") </f>
        <v/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0</v>
      </c>
      <c r="R2298" t="inlineStr">
        <is>
          <t>436-2025-08-31</t>
        </is>
      </c>
    </row>
    <row r="2299" hidden="1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08" t="n">
        <v>45930</v>
      </c>
      <c r="G2299" t="n">
        <v>2025</v>
      </c>
      <c r="H2299" t="inlineStr">
        <is>
          <t>Septiembre</t>
        </is>
      </c>
      <c r="I2299" t="inlineStr">
        <is>
          <t>2025-2</t>
        </is>
      </c>
      <c r="J2299" t="n">
        <v>14</v>
      </c>
      <c r="K2299" t="n">
        <v>7.08</v>
      </c>
      <c r="L2299" s="39">
        <f>IFERROR(IF(OR(J2299=0,K2299=""),"",IF(E2299="Positivo",MIN(MAX(K2299/J2299,0),1.3),MIN(MAX(J2299/K2299,0),1.3))),"") </f>
        <v/>
      </c>
      <c r="M2299" s="39">
        <f>IFERROR(IF(OR(J2299=0,K2299=""),"",IF(E2299="Positivo",MAX(K2299/J2299,0),MAX(J2299/K2299,0))),"") </f>
        <v/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436-2025-09-30</t>
        </is>
      </c>
    </row>
    <row r="2300" hidden="1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08" t="n">
        <v>45961</v>
      </c>
      <c r="G2300" t="n">
        <v>2025</v>
      </c>
      <c r="H2300" t="inlineStr">
        <is>
          <t>Octubre</t>
        </is>
      </c>
      <c r="I2300" t="inlineStr">
        <is>
          <t>2025-2</t>
        </is>
      </c>
      <c r="J2300" t="n">
        <v>14</v>
      </c>
      <c r="K2300" t="n">
        <v>15.49</v>
      </c>
      <c r="L2300" s="39">
        <f>IFERROR(IF(OR(J2300=0,K2300=""),"",IF(E2300="Positivo",MIN(MAX(K2300/J2300,0),1.3),MIN(MAX(J2300/K2300,0),1.3))),"") </f>
        <v/>
      </c>
      <c r="M2300" s="39">
        <f>IFERROR(IF(OR(J2300=0,K2300=""),"",IF(E2300="Positivo",MAX(K2300/J2300,0),MAX(J2300/K2300,0))),"") </f>
        <v/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436-2025-10-31</t>
        </is>
      </c>
    </row>
    <row r="2301" hidden="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08" t="n">
        <v>45991</v>
      </c>
      <c r="G2301" t="n">
        <v>2025</v>
      </c>
      <c r="H2301" t="inlineStr">
        <is>
          <t>Noviembre</t>
        </is>
      </c>
      <c r="I2301" t="inlineStr">
        <is>
          <t>2025-2</t>
        </is>
      </c>
      <c r="J2301" t="n">
        <v>14</v>
      </c>
      <c r="K2301" t="n">
        <v>8.119999999999999</v>
      </c>
      <c r="L2301" s="39">
        <f>IFERROR(IF(OR(J2301=0,K2301=""),"",IF(E2301="Positivo",MIN(MAX(K2301/J2301,0),1.3),MIN(MAX(J2301/K2301,0),1.3))),"") </f>
        <v/>
      </c>
      <c r="M2301" s="39">
        <f>IFERROR(IF(OR(J2301=0,K2301=""),"",IF(E2301="Positivo",MAX(K2301/J2301,0),MAX(J2301/K2301,0))),"") </f>
        <v/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436-2025-11-30</t>
        </is>
      </c>
    </row>
    <row r="2302" hidden="1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08" t="n">
        <v>46022</v>
      </c>
      <c r="G2302" t="n">
        <v>2025</v>
      </c>
      <c r="H2302" t="inlineStr">
        <is>
          <t>Diciembre</t>
        </is>
      </c>
      <c r="I2302" t="inlineStr">
        <is>
          <t>2025-2</t>
        </is>
      </c>
      <c r="J2302" t="n">
        <v>14</v>
      </c>
      <c r="K2302" t="n">
        <v>11.77</v>
      </c>
      <c r="L2302" s="39">
        <f>IFERROR(IF(OR(J2302=0,K2302=""),"",IF(E2302="Positivo",MIN(MAX(K2302/J2302,0),1.3),MIN(MAX(J2302/K2302,0),1.3))),"") </f>
        <v/>
      </c>
      <c r="M2302" s="39">
        <f>IFERROR(IF(OR(J2302=0,K2302=""),"",IF(E2302="Positivo",MAX(K2302/J2302,0),MAX(J2302/K2302,0))),"") </f>
        <v/>
      </c>
      <c r="N2302" t="inlineStr">
        <is>
          <t>Días</t>
        </is>
      </c>
      <c r="O2302" t="inlineStr">
        <is>
          <t>Días</t>
        </is>
      </c>
      <c r="P2302" t="n">
        <v>0</v>
      </c>
      <c r="Q2302" t="n">
        <v>1</v>
      </c>
      <c r="R2302" t="inlineStr">
        <is>
          <t>436-2025-12-31</t>
        </is>
      </c>
    </row>
    <row r="2303" hidden="1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08" t="n">
        <v>46053</v>
      </c>
      <c r="G2303" t="n">
        <v>2026</v>
      </c>
      <c r="H2303" t="inlineStr">
        <is>
          <t>Enero</t>
        </is>
      </c>
      <c r="I2303" t="inlineStr">
        <is>
          <t>2026-1</t>
        </is>
      </c>
      <c r="J2303" t="n">
        <v>14</v>
      </c>
      <c r="L2303" s="39" t="n"/>
      <c r="M2303" s="39" t="n"/>
      <c r="N2303" t="inlineStr">
        <is>
          <t>Días</t>
        </is>
      </c>
      <c r="O2303" t="inlineStr">
        <is>
          <t>No Aplica</t>
        </is>
      </c>
      <c r="P2303" t="n">
        <v>0</v>
      </c>
      <c r="Q2303" t="n">
        <v>1</v>
      </c>
      <c r="R2303" t="inlineStr">
        <is>
          <t>436-2026-01-31</t>
        </is>
      </c>
      <c r="S2303" t="inlineStr">
        <is>
          <t>No Aplica</t>
        </is>
      </c>
    </row>
    <row r="2304" hidden="1">
      <c r="A2304" t="n">
        <v>436</v>
      </c>
      <c r="B2304" t="inlineStr">
        <is>
          <t>ANS documentos operativos</t>
        </is>
      </c>
      <c r="C2304" t="inlineStr">
        <is>
          <t>Gestión de calidad</t>
        </is>
      </c>
      <c r="D2304" t="inlineStr">
        <is>
          <t>Mensual</t>
        </is>
      </c>
      <c r="E2304" t="inlineStr">
        <is>
          <t>Negativo</t>
        </is>
      </c>
      <c r="F2304" s="108" t="n">
        <v>46081</v>
      </c>
      <c r="G2304" t="n">
        <v>2026</v>
      </c>
      <c r="H2304" t="inlineStr">
        <is>
          <t>Febrero</t>
        </is>
      </c>
      <c r="I2304" t="inlineStr">
        <is>
          <t>2026-1</t>
        </is>
      </c>
      <c r="J2304" t="n">
        <v>14</v>
      </c>
      <c r="K2304" t="n">
        <v>9.57</v>
      </c>
      <c r="L2304" s="39">
        <f>IFERROR(IF(OR(J2304=0,K2304=""),"",IF(E2304="Positivo",MIN(MAX(K2304/J2304,0),1.3),MIN(MAX(J2304/K2304,0),1.3))),"") </f>
        <v/>
      </c>
      <c r="M2304" s="39">
        <f>IFERROR(IF(OR(J2304=0,K2304=""),"",IF(E2304="Positivo",MAX(K2304/J2304,0),MAX(J2304/K2304,0))),"") </f>
        <v/>
      </c>
      <c r="N2304" t="inlineStr">
        <is>
          <t>Días</t>
        </is>
      </c>
      <c r="O2304" t="inlineStr">
        <is>
          <t>Días</t>
        </is>
      </c>
      <c r="P2304" t="n">
        <v>0</v>
      </c>
      <c r="Q2304" t="n">
        <v>1</v>
      </c>
      <c r="R2304" t="inlineStr">
        <is>
          <t>436-2026-02-28</t>
        </is>
      </c>
      <c r="S2304" t="inlineStr"/>
    </row>
    <row r="2305" hidden="1">
      <c r="A2305" t="n">
        <v>437</v>
      </c>
      <c r="B2305" t="inlineStr">
        <is>
          <t>Nivel de Satisfacción Servicios Prestados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08" t="n">
        <v>45230</v>
      </c>
      <c r="G2305" t="n">
        <v>2023</v>
      </c>
      <c r="H2305" t="inlineStr">
        <is>
          <t>Octubre</t>
        </is>
      </c>
      <c r="I2305" t="inlineStr">
        <is>
          <t>2023-2</t>
        </is>
      </c>
      <c r="J2305" t="n">
        <v>80</v>
      </c>
      <c r="K2305" t="n">
        <v>96.239806704923</v>
      </c>
      <c r="L2305" s="39">
        <f>IFERROR(IF(OR(J2305=0,K2305=""),"",IF(E2305="Positivo",MIN(MAX(K2305/J2305,0),1.3),MIN(MAX(J2305/K2305,0),1.3))),"") </f>
        <v/>
      </c>
      <c r="M2305" s="3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437-2023-10-31</t>
        </is>
      </c>
    </row>
    <row r="2306" hidden="1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08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80</v>
      </c>
      <c r="K2306" t="n">
        <v>96</v>
      </c>
      <c r="L2306" s="39">
        <f>IFERROR(IF(OR(J2306=0,K2306=""),"",IF(E2306="Positivo",MIN(MAX(K2306/J2306,0),1.3),MIN(MAX(J2306/K2306,0),1.3))),"") </f>
        <v/>
      </c>
      <c r="M2306" s="3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437-2023-12-31</t>
        </is>
      </c>
    </row>
    <row r="2307" hidden="1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08" t="n">
        <v>45657</v>
      </c>
      <c r="G2307" t="n">
        <v>2024</v>
      </c>
      <c r="H2307" t="inlineStr">
        <is>
          <t>Diciembre</t>
        </is>
      </c>
      <c r="I2307" t="inlineStr">
        <is>
          <t>2024-2</t>
        </is>
      </c>
      <c r="J2307" t="n">
        <v>80</v>
      </c>
      <c r="K2307" t="n">
        <v>84</v>
      </c>
      <c r="L2307" s="39">
        <f>IFERROR(IF(OR(J2307=0,K2307=""),"",IF(E2307="Positivo",MIN(MAX(K2307/J2307,0),1.3),MIN(MAX(J2307/K2307,0),1.3))),"") </f>
        <v/>
      </c>
      <c r="M2307" s="3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437-2024-12-31</t>
        </is>
      </c>
    </row>
    <row r="2308" hidden="1">
      <c r="A2308" t="n">
        <v>437</v>
      </c>
      <c r="B2308" t="inlineStr">
        <is>
          <t>Nivel de Satisfacción Servicios Prestados - Riesgos</t>
        </is>
      </c>
      <c r="C2308" t="inlineStr">
        <is>
          <t>GESTIÓN DE RIESGOS</t>
        </is>
      </c>
      <c r="D2308" t="inlineStr">
        <is>
          <t>Anual</t>
        </is>
      </c>
      <c r="E2308" t="inlineStr">
        <is>
          <t>Positivo</t>
        </is>
      </c>
      <c r="F2308" s="108" t="n">
        <v>46022</v>
      </c>
      <c r="G2308" t="n">
        <v>2025</v>
      </c>
      <c r="H2308" t="inlineStr">
        <is>
          <t>Diciembre</t>
        </is>
      </c>
      <c r="I2308" t="inlineStr">
        <is>
          <t>2025-2</t>
        </is>
      </c>
      <c r="J2308" t="n">
        <v>80</v>
      </c>
      <c r="K2308" t="n">
        <v>99</v>
      </c>
      <c r="L2308" s="39">
        <f>IFERROR(IF(OR(J2308=0,K2308=""),"",IF(E2308="Positivo",MIN(MAX(K2308/J2308,0),1.3),MIN(MAX(J2308/K2308,0),1.3))),"") </f>
        <v/>
      </c>
      <c r="M2308" s="3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437-2025-12-31</t>
        </is>
      </c>
    </row>
    <row r="2309" hidden="1">
      <c r="A2309" t="n">
        <v>438</v>
      </c>
      <c r="B2309" t="inlineStr">
        <is>
          <t>Seguimiento de asignación docente a NRC Pregrado-Posgrado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108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39">
        <f>IFERROR(IF(OR(J2309=0,K2309=""),"",IF(E2309="Positivo",MIN(MAX(K2309/J2309,0),1.3),MIN(MAX(J2309/K2309,0),1.3))),"") </f>
        <v/>
      </c>
      <c r="M2309" s="3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438-2023-12-31</t>
        </is>
      </c>
    </row>
    <row r="2310" hidden="1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08" t="n">
        <v>45016</v>
      </c>
      <c r="G2310" t="n">
        <v>2023</v>
      </c>
      <c r="H2310" t="inlineStr">
        <is>
          <t>Marzo</t>
        </is>
      </c>
      <c r="I2310" t="inlineStr">
        <is>
          <t>2023-1</t>
        </is>
      </c>
      <c r="L2310" s="39" t="n"/>
      <c r="M2310" s="39" t="n"/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439-2023-03-31</t>
        </is>
      </c>
      <c r="S2310" t="inlineStr">
        <is>
          <t>No Aplica</t>
        </is>
      </c>
    </row>
    <row r="2311" hidden="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Trimestral</t>
        </is>
      </c>
      <c r="E2311" t="inlineStr">
        <is>
          <t>Positivo</t>
        </is>
      </c>
      <c r="F2311" s="108" t="n">
        <v>45107</v>
      </c>
      <c r="G2311" t="n">
        <v>2023</v>
      </c>
      <c r="H2311" t="inlineStr">
        <is>
          <t>Junio</t>
        </is>
      </c>
      <c r="I2311" t="inlineStr">
        <is>
          <t>2023-1</t>
        </is>
      </c>
      <c r="L2311" s="39" t="n"/>
      <c r="M2311" s="39" t="n"/>
      <c r="N2311" t="inlineStr">
        <is>
          <t>%</t>
        </is>
      </c>
      <c r="O2311" t="inlineStr">
        <is>
          <t>No Aplica</t>
        </is>
      </c>
      <c r="P2311" t="n">
        <v>0</v>
      </c>
      <c r="Q2311" t="n">
        <v>0</v>
      </c>
      <c r="R2311" t="inlineStr">
        <is>
          <t>439-2023-06-30</t>
        </is>
      </c>
      <c r="S2311" t="inlineStr">
        <is>
          <t>No Aplica</t>
        </is>
      </c>
    </row>
    <row r="2312" hidden="1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08" t="n">
        <v>45291</v>
      </c>
      <c r="G2312" t="n">
        <v>2023</v>
      </c>
      <c r="H2312" t="inlineStr">
        <is>
          <t>Diciembre</t>
        </is>
      </c>
      <c r="I2312" t="inlineStr">
        <is>
          <t>2023-2</t>
        </is>
      </c>
      <c r="J2312" t="n">
        <v>100</v>
      </c>
      <c r="K2312" t="n">
        <v>100</v>
      </c>
      <c r="L2312" s="39">
        <f>IFERROR(IF(OR(J2312=0,K2312=""),"",IF(E2312="Positivo",MIN(MAX(K2312/J2312,0),1.3),MIN(MAX(J2312/K2312,0),1.3))),"") </f>
        <v/>
      </c>
      <c r="M2312" s="3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439-2023-12-31</t>
        </is>
      </c>
    </row>
    <row r="2313" hidden="1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08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100</v>
      </c>
      <c r="L2313" s="39">
        <f>IFERROR(IF(OR(J2313=0,K2313=""),"",IF(E2313="Positivo",MIN(MAX(K2313/J2313,0),1.3),MIN(MAX(J2313/K2313,0),1.3))),"") </f>
        <v/>
      </c>
      <c r="M2313" s="3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439-2024-06-30</t>
        </is>
      </c>
    </row>
    <row r="2314" hidden="1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08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100</v>
      </c>
      <c r="L2314" s="39">
        <f>IFERROR(IF(OR(J2314=0,K2314=""),"",IF(E2314="Positivo",MIN(MAX(K2314/J2314,0),1.3),MIN(MAX(J2314/K2314,0),1.3))),"") </f>
        <v/>
      </c>
      <c r="M2314" s="39">
        <f>IFERROR(IF(OR(J2314=0,K2314=""),"",IF(E2314="Positivo",MAX(K2314/J2314,0),MAX(J2314/K2314,0))),"") </f>
        <v/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439-2024-12-31</t>
        </is>
      </c>
    </row>
    <row r="2315" hidden="1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Semestral</t>
        </is>
      </c>
      <c r="E2315" t="inlineStr">
        <is>
          <t>Positivo</t>
        </is>
      </c>
      <c r="F2315" s="108" t="n">
        <v>45838</v>
      </c>
      <c r="G2315" t="n">
        <v>2025</v>
      </c>
      <c r="H2315" t="inlineStr">
        <is>
          <t>Junio</t>
        </is>
      </c>
      <c r="I2315" t="inlineStr">
        <is>
          <t>2025-1</t>
        </is>
      </c>
      <c r="J2315" t="n">
        <v>100</v>
      </c>
      <c r="K2315" t="n">
        <v>100</v>
      </c>
      <c r="L2315" s="39">
        <f>IFERROR(IF(OR(J2315=0,K2315=""),"",IF(E2315="Positivo",MIN(MAX(K2315/J2315,0),1.3),MIN(MAX(J2315/K2315,0),1.3))),"") </f>
        <v/>
      </c>
      <c r="M2315" s="39">
        <f>IFERROR(IF(OR(J2315=0,K2315=""),"",IF(E2315="Positivo",MAX(K2315/J2315,0),MAX(J2315/K2315,0))),"") </f>
        <v/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439-2025-06-30</t>
        </is>
      </c>
    </row>
    <row r="2316" hidden="1">
      <c r="A2316" t="n">
        <v>439</v>
      </c>
      <c r="B2316" t="inlineStr">
        <is>
          <t>Disponibilidad de catálogo de asignaturas pregrado y posgrado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08" t="n">
        <v>46022</v>
      </c>
      <c r="G2316" t="n">
        <v>2025</v>
      </c>
      <c r="H2316" t="inlineStr">
        <is>
          <t>Diciembre</t>
        </is>
      </c>
      <c r="I2316" t="inlineStr">
        <is>
          <t>2025-2</t>
        </is>
      </c>
      <c r="J2316" t="n">
        <v>100</v>
      </c>
      <c r="K2316" t="n">
        <v>100</v>
      </c>
      <c r="L2316" s="39">
        <f>IFERROR(IF(OR(J2316=0,K2316=""),"",IF(E2316="Positivo",MIN(MAX(K2316/J2316,0),1.3),MIN(MAX(J2316/K2316,0),1.3))),"") </f>
        <v/>
      </c>
      <c r="M2316" s="39">
        <f>IFERROR(IF(OR(J2316=0,K2316=""),"",IF(E2316="Positivo",MAX(K2316/J2316,0),MAX(J2316/K2316,0))),"") </f>
        <v/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0</v>
      </c>
      <c r="R2316" t="inlineStr">
        <is>
          <t>439-2025-12-31</t>
        </is>
      </c>
    </row>
    <row r="2317" hidden="1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08" t="n">
        <v>45016</v>
      </c>
      <c r="G2317" t="n">
        <v>2023</v>
      </c>
      <c r="H2317" t="inlineStr">
        <is>
          <t>Marzo</t>
        </is>
      </c>
      <c r="I2317" t="inlineStr">
        <is>
          <t>2023-1</t>
        </is>
      </c>
      <c r="L2317" s="39" t="n"/>
      <c r="M2317" s="3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440-2023-03-31</t>
        </is>
      </c>
      <c r="S2317" t="inlineStr">
        <is>
          <t>No Aplica</t>
        </is>
      </c>
    </row>
    <row r="2318" hidden="1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Trimestral</t>
        </is>
      </c>
      <c r="E2318" t="inlineStr">
        <is>
          <t>Positivo</t>
        </is>
      </c>
      <c r="F2318" s="108" t="n">
        <v>45107</v>
      </c>
      <c r="G2318" t="n">
        <v>2023</v>
      </c>
      <c r="H2318" t="inlineStr">
        <is>
          <t>Junio</t>
        </is>
      </c>
      <c r="I2318" t="inlineStr">
        <is>
          <t>2023-1</t>
        </is>
      </c>
      <c r="L2318" s="39" t="n"/>
      <c r="M2318" s="39" t="n"/>
      <c r="N2318" t="inlineStr">
        <is>
          <t>%</t>
        </is>
      </c>
      <c r="O2318" t="inlineStr">
        <is>
          <t>No Aplica</t>
        </is>
      </c>
      <c r="P2318" t="n">
        <v>0</v>
      </c>
      <c r="Q2318" t="n">
        <v>1</v>
      </c>
      <c r="R2318" t="inlineStr">
        <is>
          <t>440-2023-06-30</t>
        </is>
      </c>
      <c r="S2318" t="inlineStr">
        <is>
          <t>No Aplica</t>
        </is>
      </c>
    </row>
    <row r="2319" hidden="1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08" t="n">
        <v>45291</v>
      </c>
      <c r="G2319" t="n">
        <v>2023</v>
      </c>
      <c r="H2319" t="inlineStr">
        <is>
          <t>Diciembre</t>
        </is>
      </c>
      <c r="I2319" t="inlineStr">
        <is>
          <t>2023-2</t>
        </is>
      </c>
      <c r="J2319" t="n">
        <v>98</v>
      </c>
      <c r="K2319" t="n">
        <v>97.746062537527</v>
      </c>
      <c r="L2319" s="39">
        <f>IFERROR(IF(OR(J2319=0,K2319=""),"",IF(E2319="Positivo",MIN(MAX(K2319/J2319,0),1.3),MIN(MAX(J2319/K2319,0),1.3))),"") </f>
        <v/>
      </c>
      <c r="M2319" s="39">
        <f>IFERROR(IF(OR(J2319=0,K2319=""),"",IF(E2319="Positivo",MAX(K2319/J2319,0),MAX(J2319/K2319,0))),"") </f>
        <v/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440-2023-12-31</t>
        </is>
      </c>
    </row>
    <row r="2320" hidden="1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08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98</v>
      </c>
      <c r="K2320" t="n">
        <v>99.73</v>
      </c>
      <c r="L2320" s="39">
        <f>IFERROR(IF(OR(J2320=0,K2320=""),"",IF(E2320="Positivo",MIN(MAX(K2320/J2320,0),1.3),MIN(MAX(J2320/K2320,0),1.3))),"") </f>
        <v/>
      </c>
      <c r="M2320" s="39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440-2024-06-30</t>
        </is>
      </c>
    </row>
    <row r="2321" hidden="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08" t="n">
        <v>45657</v>
      </c>
      <c r="G2321" t="n">
        <v>2024</v>
      </c>
      <c r="H2321" t="inlineStr">
        <is>
          <t>Diciembre</t>
        </is>
      </c>
      <c r="I2321" t="inlineStr">
        <is>
          <t>2024-2</t>
        </is>
      </c>
      <c r="J2321" t="n">
        <v>98</v>
      </c>
      <c r="K2321" t="n">
        <v>99.23999999999999</v>
      </c>
      <c r="L2321" s="39">
        <f>IFERROR(IF(OR(J2321=0,K2321=""),"",IF(E2321="Positivo",MIN(MAX(K2321/J2321,0),1.3),MIN(MAX(J2321/K2321,0),1.3))),"") </f>
        <v/>
      </c>
      <c r="M2321" s="3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440-2024-12-31</t>
        </is>
      </c>
    </row>
    <row r="2322" hidden="1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Semestral</t>
        </is>
      </c>
      <c r="E2322" t="inlineStr">
        <is>
          <t>Positivo</t>
        </is>
      </c>
      <c r="F2322" s="108" t="n">
        <v>45838</v>
      </c>
      <c r="G2322" t="n">
        <v>2025</v>
      </c>
      <c r="H2322" t="inlineStr">
        <is>
          <t>Junio</t>
        </is>
      </c>
      <c r="I2322" t="inlineStr">
        <is>
          <t>2025-1</t>
        </is>
      </c>
      <c r="J2322" t="n">
        <v>98</v>
      </c>
      <c r="K2322" t="n">
        <v>99.77</v>
      </c>
      <c r="L2322" s="39">
        <f>IFERROR(IF(OR(J2322=0,K2322=""),"",IF(E2322="Positivo",MIN(MAX(K2322/J2322,0),1.3),MIN(MAX(J2322/K2322,0),1.3))),"") </f>
        <v/>
      </c>
      <c r="M2322" s="3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440-2025-06-30</t>
        </is>
      </c>
    </row>
    <row r="2323" hidden="1">
      <c r="A2323" t="n">
        <v>440</v>
      </c>
      <c r="B2323" t="inlineStr">
        <is>
          <t>Aseguramiento de matricula académica virtual</t>
        </is>
      </c>
      <c r="C2323" t="inlineStr">
        <is>
          <t>Operaciones Académicas</t>
        </is>
      </c>
      <c r="D2323" t="inlineStr">
        <is>
          <t>Trimestral</t>
        </is>
      </c>
      <c r="E2323" t="inlineStr">
        <is>
          <t>Positivo</t>
        </is>
      </c>
      <c r="F2323" s="108" t="n">
        <v>46022</v>
      </c>
      <c r="G2323" t="n">
        <v>2025</v>
      </c>
      <c r="H2323" t="inlineStr">
        <is>
          <t>Diciembre</t>
        </is>
      </c>
      <c r="I2323" t="inlineStr">
        <is>
          <t>2025-2</t>
        </is>
      </c>
      <c r="J2323" t="n">
        <v>98</v>
      </c>
      <c r="K2323" t="n">
        <v>99.73999999999999</v>
      </c>
      <c r="L2323" s="39">
        <f>IFERROR(IF(OR(J2323=0,K2323=""),"",IF(E2323="Positivo",MIN(MAX(K2323/J2323,0),1.3),MIN(MAX(J2323/K2323,0),1.3))),"") </f>
        <v/>
      </c>
      <c r="M2323" s="3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440-2025-12-31</t>
        </is>
      </c>
    </row>
    <row r="2324" hidden="1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08" t="n">
        <v>45322</v>
      </c>
      <c r="G2324" t="n">
        <v>2024</v>
      </c>
      <c r="H2324" t="inlineStr">
        <is>
          <t>Enero</t>
        </is>
      </c>
      <c r="I2324" t="inlineStr">
        <is>
          <t>2024-1</t>
        </is>
      </c>
      <c r="J2324" t="n">
        <v>90</v>
      </c>
      <c r="K2324" t="n">
        <v>87.81999999999999</v>
      </c>
      <c r="L2324" s="39">
        <f>IFERROR(IF(OR(J2324=0,K2324=""),"",IF(E2324="Positivo",MIN(MAX(K2324/J2324,0),1.3),MIN(MAX(J2324/K2324,0),1.3))),"") </f>
        <v/>
      </c>
      <c r="M2324" s="3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441-2024-01-31</t>
        </is>
      </c>
    </row>
    <row r="2325" hidden="1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08" t="n">
        <v>45351</v>
      </c>
      <c r="G2325" t="n">
        <v>2024</v>
      </c>
      <c r="H2325" t="inlineStr">
        <is>
          <t>Febrero</t>
        </is>
      </c>
      <c r="I2325" t="inlineStr">
        <is>
          <t>2024-1</t>
        </is>
      </c>
      <c r="J2325" t="n">
        <v>90</v>
      </c>
      <c r="K2325" t="n">
        <v>90.88</v>
      </c>
      <c r="L2325" s="39">
        <f>IFERROR(IF(OR(J2325=0,K2325=""),"",IF(E2325="Positivo",MIN(MAX(K2325/J2325,0),1.3),MIN(MAX(J2325/K2325,0),1.3))),"") </f>
        <v/>
      </c>
      <c r="M2325" s="3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441-2024-02-29</t>
        </is>
      </c>
    </row>
    <row r="2326" hidden="1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08" t="n">
        <v>45382</v>
      </c>
      <c r="G2326" t="n">
        <v>2024</v>
      </c>
      <c r="H2326" t="inlineStr">
        <is>
          <t>Marzo</t>
        </is>
      </c>
      <c r="I2326" t="inlineStr">
        <is>
          <t>2024-1</t>
        </is>
      </c>
      <c r="J2326" t="n">
        <v>90</v>
      </c>
      <c r="K2326" t="n">
        <v>91.52</v>
      </c>
      <c r="L2326" s="39">
        <f>IFERROR(IF(OR(J2326=0,K2326=""),"",IF(E2326="Positivo",MIN(MAX(K2326/J2326,0),1.3),MIN(MAX(J2326/K2326,0),1.3))),"") </f>
        <v/>
      </c>
      <c r="M2326" s="3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441-2024-03-31</t>
        </is>
      </c>
    </row>
    <row r="2327" hidden="1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08" t="n">
        <v>45412</v>
      </c>
      <c r="G2327" t="n">
        <v>2024</v>
      </c>
      <c r="H2327" t="inlineStr">
        <is>
          <t>Abril</t>
        </is>
      </c>
      <c r="I2327" t="inlineStr">
        <is>
          <t>2024-1</t>
        </is>
      </c>
      <c r="J2327" t="n">
        <v>90</v>
      </c>
      <c r="K2327" t="n">
        <v>95.81999999999999</v>
      </c>
      <c r="L2327" s="39">
        <f>IFERROR(IF(OR(J2327=0,K2327=""),"",IF(E2327="Positivo",MIN(MAX(K2327/J2327,0),1.3),MIN(MAX(J2327/K2327,0),1.3))),"") </f>
        <v/>
      </c>
      <c r="M2327" s="3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441-2024-04-30</t>
        </is>
      </c>
    </row>
    <row r="2328" hidden="1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08" t="n">
        <v>45443</v>
      </c>
      <c r="G2328" t="n">
        <v>2024</v>
      </c>
      <c r="H2328" t="inlineStr">
        <is>
          <t>Mayo</t>
        </is>
      </c>
      <c r="I2328" t="inlineStr">
        <is>
          <t>2024-1</t>
        </is>
      </c>
      <c r="J2328" t="n">
        <v>90</v>
      </c>
      <c r="K2328" t="n">
        <v>96.89</v>
      </c>
      <c r="L2328" s="39">
        <f>IFERROR(IF(OR(J2328=0,K2328=""),"",IF(E2328="Positivo",MIN(MAX(K2328/J2328,0),1.3),MIN(MAX(J2328/K2328,0),1.3))),"") </f>
        <v/>
      </c>
      <c r="M2328" s="3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441-2024-05-31</t>
        </is>
      </c>
    </row>
    <row r="2329" hidden="1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08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90</v>
      </c>
      <c r="K2329" t="n">
        <v>101.449275362318</v>
      </c>
      <c r="L2329" s="39">
        <f>IFERROR(IF(OR(J2329=0,K2329=""),"",IF(E2329="Positivo",MIN(MAX(K2329/J2329,0),1.3),MIN(MAX(J2329/K2329,0),1.3))),"") </f>
        <v/>
      </c>
      <c r="M2329" s="3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441-2024-06-30</t>
        </is>
      </c>
    </row>
    <row r="2330" hidden="1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08" t="n">
        <v>45504</v>
      </c>
      <c r="G2330" t="n">
        <v>2024</v>
      </c>
      <c r="H2330" t="inlineStr">
        <is>
          <t>Julio</t>
        </is>
      </c>
      <c r="I2330" t="inlineStr">
        <is>
          <t>2024-2</t>
        </is>
      </c>
      <c r="J2330" t="n">
        <v>90</v>
      </c>
      <c r="K2330" t="n">
        <v>91.2</v>
      </c>
      <c r="L2330" s="39">
        <f>IFERROR(IF(OR(J2330=0,K2330=""),"",IF(E2330="Positivo",MIN(MAX(K2330/J2330,0),1.3),MIN(MAX(J2330/K2330,0),1.3))),"") </f>
        <v/>
      </c>
      <c r="M2330" s="3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441-2024-07-31</t>
        </is>
      </c>
    </row>
    <row r="2331" hidden="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08" t="n">
        <v>45535</v>
      </c>
      <c r="G2331" t="n">
        <v>2024</v>
      </c>
      <c r="H2331" t="inlineStr">
        <is>
          <t>Agosto</t>
        </is>
      </c>
      <c r="I2331" t="inlineStr">
        <is>
          <t>2024-2</t>
        </is>
      </c>
      <c r="J2331" t="n">
        <v>90</v>
      </c>
      <c r="K2331" t="n">
        <v>98.1605351170568</v>
      </c>
      <c r="L2331" s="39">
        <f>IFERROR(IF(OR(J2331=0,K2331=""),"",IF(E2331="Positivo",MIN(MAX(K2331/J2331,0),1.3),MIN(MAX(J2331/K2331,0),1.3))),"") </f>
        <v/>
      </c>
      <c r="M2331" s="3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441-2024-08-31</t>
        </is>
      </c>
    </row>
    <row r="2332" hidden="1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08" t="n">
        <v>45565</v>
      </c>
      <c r="G2332" t="n">
        <v>2024</v>
      </c>
      <c r="H2332" t="inlineStr">
        <is>
          <t>Septiembre</t>
        </is>
      </c>
      <c r="I2332" t="inlineStr">
        <is>
          <t>2024-2</t>
        </is>
      </c>
      <c r="J2332" t="n">
        <v>90</v>
      </c>
      <c r="K2332" t="n">
        <v>97.789566755084</v>
      </c>
      <c r="L2332" s="39">
        <f>IFERROR(IF(OR(J2332=0,K2332=""),"",IF(E2332="Positivo",MIN(MAX(K2332/J2332,0),1.3),MIN(MAX(J2332/K2332,0),1.3))),"") </f>
        <v/>
      </c>
      <c r="M2332" s="3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441-2024-09-30</t>
        </is>
      </c>
    </row>
    <row r="2333" hidden="1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08" t="n">
        <v>45596</v>
      </c>
      <c r="G2333" t="n">
        <v>2024</v>
      </c>
      <c r="H2333" t="inlineStr">
        <is>
          <t>Octubre</t>
        </is>
      </c>
      <c r="I2333" t="inlineStr">
        <is>
          <t>2024-2</t>
        </is>
      </c>
      <c r="J2333" t="n">
        <v>90</v>
      </c>
      <c r="K2333" t="n">
        <v>96.61908339594289</v>
      </c>
      <c r="L2333" s="39">
        <f>IFERROR(IF(OR(J2333=0,K2333=""),"",IF(E2333="Positivo",MIN(MAX(K2333/J2333,0),1.3),MIN(MAX(J2333/K2333,0),1.3))),"") </f>
        <v/>
      </c>
      <c r="M2333" s="39">
        <f>IFERROR(IF(OR(J2333=0,K2333=""),"",IF(E2333="Positivo",MAX(K2333/J2333,0),MAX(J2333/K2333,0))),"") </f>
        <v/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441-2024-10-31</t>
        </is>
      </c>
    </row>
    <row r="2334" hidden="1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08" t="n">
        <v>45626</v>
      </c>
      <c r="G2334" t="n">
        <v>2024</v>
      </c>
      <c r="H2334" t="inlineStr">
        <is>
          <t>Noviembre</t>
        </is>
      </c>
      <c r="I2334" t="inlineStr">
        <is>
          <t>2024-2</t>
        </is>
      </c>
      <c r="J2334" t="n">
        <v>90</v>
      </c>
      <c r="K2334" t="n">
        <v>97.5359342915811</v>
      </c>
      <c r="L2334" s="39">
        <f>IFERROR(IF(OR(J2334=0,K2334=""),"",IF(E2334="Positivo",MIN(MAX(K2334/J2334,0),1.3),MIN(MAX(J2334/K2334,0),1.3))),"") </f>
        <v/>
      </c>
      <c r="M2334" s="39">
        <f>IFERROR(IF(OR(J2334=0,K2334=""),"",IF(E2334="Positivo",MAX(K2334/J2334,0),MAX(J2334/K2334,0))),"") </f>
        <v/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441-2024-11-30</t>
        </is>
      </c>
    </row>
    <row r="2335" hidden="1">
      <c r="A2335" t="n">
        <v>441</v>
      </c>
      <c r="B2335" t="inlineStr">
        <is>
          <t>Cumplimiento a cronograma de proyectos 2024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8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90</v>
      </c>
      <c r="K2335" t="n">
        <v>99.919935948759</v>
      </c>
      <c r="L2335" s="39">
        <f>IFERROR(IF(OR(J2335=0,K2335=""),"",IF(E2335="Positivo",MIN(MAX(K2335/J2335,0),1.3),MIN(MAX(J2335/K2335,0),1.3))),"") </f>
        <v/>
      </c>
      <c r="M2335" s="39">
        <f>IFERROR(IF(OR(J2335=0,K2335=""),"",IF(E2335="Positivo",MAX(K2335/J2335,0),MAX(J2335/K2335,0))),"") </f>
        <v/>
      </c>
      <c r="N2335" t="inlineStr">
        <is>
          <t>%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441-2024-12-31</t>
        </is>
      </c>
    </row>
    <row r="2336" hidden="1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08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100</v>
      </c>
      <c r="K2336" t="n">
        <v>80</v>
      </c>
      <c r="L2336" s="39">
        <f>IFERROR(IF(OR(J2336=0,K2336=""),"",IF(E2336="Positivo",MIN(MAX(K2336/J2336,0),1.3),MIN(MAX(J2336/K2336,0),1.3))),"") </f>
        <v/>
      </c>
      <c r="M2336" s="3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442-2024-06-30</t>
        </is>
      </c>
    </row>
    <row r="2337" hidden="1">
      <c r="A2337" t="n">
        <v>442</v>
      </c>
      <c r="B2337" t="inlineStr">
        <is>
          <t>Participación de docentes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08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100</v>
      </c>
      <c r="K2337" t="n">
        <v>145</v>
      </c>
      <c r="L2337" s="39">
        <f>IFERROR(IF(OR(J2337=0,K2337=""),"",IF(E2337="Positivo",MIN(MAX(K2337/J2337,0),1.3),MIN(MAX(J2337/K2337,0),1.3))),"") </f>
        <v/>
      </c>
      <c r="M2337" s="3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442-2024-12-31</t>
        </is>
      </c>
    </row>
    <row r="2338" hidden="1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08" t="n">
        <v>45473</v>
      </c>
      <c r="G2338" t="n">
        <v>2024</v>
      </c>
      <c r="H2338" t="inlineStr">
        <is>
          <t>Junio</t>
        </is>
      </c>
      <c r="I2338" t="inlineStr">
        <is>
          <t>2024-1</t>
        </is>
      </c>
      <c r="J2338" t="n">
        <v>100</v>
      </c>
      <c r="K2338" t="n">
        <v>114.33</v>
      </c>
      <c r="L2338" s="39">
        <f>IFERROR(IF(OR(J2338=0,K2338=""),"",IF(E2338="Positivo",MIN(MAX(K2338/J2338,0),1.3),MIN(MAX(J2338/K2338,0),1.3))),"") </f>
        <v/>
      </c>
      <c r="M2338" s="3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443-2024-06-30</t>
        </is>
      </c>
    </row>
    <row r="2339" hidden="1">
      <c r="A2339" t="n">
        <v>443</v>
      </c>
      <c r="B2339" t="inlineStr">
        <is>
          <t>Participación de estudiantes invitados en eventos académicos virtuales en Poli</t>
        </is>
      </c>
      <c r="C2339" t="inlineStr">
        <is>
          <t>VISIBILIDAD NACIONAL E INTERNACIONAL</t>
        </is>
      </c>
      <c r="D2339" t="inlineStr">
        <is>
          <t>Semestral</t>
        </is>
      </c>
      <c r="E2339" t="inlineStr">
        <is>
          <t>Positivo</t>
        </is>
      </c>
      <c r="F2339" s="108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J2339" t="n">
        <v>100</v>
      </c>
      <c r="K2339" t="n">
        <v>209</v>
      </c>
      <c r="L2339" s="39">
        <f>IFERROR(IF(OR(J2339=0,K2339=""),"",IF(E2339="Positivo",MIN(MAX(K2339/J2339,0),1.3),MIN(MAX(J2339/K2339,0),1.3))),"") </f>
        <v/>
      </c>
      <c r="M2339" s="39">
        <f>IFERROR(IF(OR(J2339=0,K2339=""),"",IF(E2339="Positivo",MAX(K2339/J2339,0),MAX(J2339/K2339,0))),"") </f>
        <v/>
      </c>
      <c r="P2339" t="n">
        <v>0</v>
      </c>
      <c r="Q2339" t="n">
        <v>0</v>
      </c>
      <c r="R2339" t="inlineStr">
        <is>
          <t>443-2024-12-31</t>
        </is>
      </c>
    </row>
    <row r="2340" hidden="1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08" t="n">
        <v>45657</v>
      </c>
      <c r="G2340" t="n">
        <v>2024</v>
      </c>
      <c r="H2340" t="inlineStr">
        <is>
          <t>Diciembre</t>
        </is>
      </c>
      <c r="I2340" t="inlineStr">
        <is>
          <t>2024-2</t>
        </is>
      </c>
      <c r="K2340" t="n">
        <v>2.1</v>
      </c>
      <c r="L2340" s="39" t="n"/>
      <c r="M2340" s="39" t="n"/>
      <c r="N2340" t="inlineStr">
        <is>
          <t>Linea Base</t>
        </is>
      </c>
      <c r="P2340" t="n">
        <v>0</v>
      </c>
      <c r="Q2340" t="n">
        <v>1</v>
      </c>
      <c r="R2340" t="inlineStr">
        <is>
          <t>444-2024-12-31</t>
        </is>
      </c>
    </row>
    <row r="2341" hidden="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Negativo</t>
        </is>
      </c>
      <c r="F2341" s="108" t="n">
        <v>45838</v>
      </c>
      <c r="G2341" t="n">
        <v>2025</v>
      </c>
      <c r="H2341" t="inlineStr">
        <is>
          <t>Junio</t>
        </is>
      </c>
      <c r="I2341" t="inlineStr">
        <is>
          <t>2025-1</t>
        </is>
      </c>
      <c r="J2341" t="n">
        <v>3</v>
      </c>
      <c r="K2341" t="n">
        <v>1.6</v>
      </c>
      <c r="L2341" s="39">
        <f>IFERROR(IF(OR(J2341=0,K2341=""),"",IF(E2341="Positivo",MIN(MAX(K2341/J2341,0),1.3),MIN(MAX(J2341/K2341,0),1.3))),"") </f>
        <v/>
      </c>
      <c r="M2341" s="39">
        <f>IFERROR(IF(OR(J2341=0,K2341=""),"",IF(E2341="Positivo",MAX(K2341/J2341,0),MAX(J2341/K2341,0))),"") </f>
        <v/>
      </c>
      <c r="N2341" t="inlineStr">
        <is>
          <t>DEC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444-2025-06-30</t>
        </is>
      </c>
    </row>
    <row r="2342" hidden="1">
      <c r="A2342" t="n">
        <v>444</v>
      </c>
      <c r="B2342" t="inlineStr">
        <is>
          <t>CES Proceso de grados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Negativo</t>
        </is>
      </c>
      <c r="F2342" s="108" t="n">
        <v>46022</v>
      </c>
      <c r="G2342" t="n">
        <v>2025</v>
      </c>
      <c r="H2342" t="inlineStr">
        <is>
          <t>Diciembre</t>
        </is>
      </c>
      <c r="I2342" t="inlineStr">
        <is>
          <t>2025-2</t>
        </is>
      </c>
      <c r="J2342" t="n">
        <v>3</v>
      </c>
      <c r="K2342" t="n">
        <v>1.7</v>
      </c>
      <c r="L2342" s="39">
        <f>IFERROR(IF(OR(J2342=0,K2342=""),"",IF(E2342="Positivo",MIN(MAX(K2342/J2342,0),1.3),MIN(MAX(J2342/K2342,0),1.3))),"") </f>
        <v/>
      </c>
      <c r="M2342" s="39">
        <f>IFERROR(IF(OR(J2342=0,K2342=""),"",IF(E2342="Positivo",MAX(K2342/J2342,0),MAX(J2342/K2342,0))),"") </f>
        <v/>
      </c>
      <c r="N2342" t="inlineStr">
        <is>
          <t>ENT</t>
        </is>
      </c>
      <c r="O2342" t="inlineStr">
        <is>
          <t>DEC</t>
        </is>
      </c>
      <c r="P2342" t="n">
        <v>0</v>
      </c>
      <c r="Q2342" t="n">
        <v>1</v>
      </c>
      <c r="R2342" t="inlineStr">
        <is>
          <t>444-2025-12-31</t>
        </is>
      </c>
    </row>
    <row r="2343" hidden="1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08" t="n">
        <v>45473</v>
      </c>
      <c r="G2343" t="n">
        <v>2024</v>
      </c>
      <c r="H2343" t="inlineStr">
        <is>
          <t>Junio</t>
        </is>
      </c>
      <c r="I2343" t="inlineStr">
        <is>
          <t>2024-1</t>
        </is>
      </c>
      <c r="J2343" t="n">
        <v>67.5</v>
      </c>
      <c r="K2343" t="n">
        <v>55.2</v>
      </c>
      <c r="L2343" s="39">
        <f>IFERROR(IF(OR(J2343=0,K2343=""),"",IF(E2343="Positivo",MIN(MAX(K2343/J2343,0),1.3),MIN(MAX(J2343/K2343,0),1.3))),"") </f>
        <v/>
      </c>
      <c r="M2343" s="3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445-2024-06-30</t>
        </is>
      </c>
    </row>
    <row r="2344" hidden="1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Semestral</t>
        </is>
      </c>
      <c r="E2344" t="inlineStr">
        <is>
          <t>Positivo</t>
        </is>
      </c>
      <c r="F2344" s="108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67.5</v>
      </c>
      <c r="K2344" t="n">
        <v>86.5</v>
      </c>
      <c r="L2344" s="39">
        <f>IFERROR(IF(OR(J2344=0,K2344=""),"",IF(E2344="Positivo",MIN(MAX(K2344/J2344,0),1.3),MIN(MAX(J2344/K2344,0),1.3))),"") </f>
        <v/>
      </c>
      <c r="M2344" s="39">
        <f>IFERROR(IF(OR(J2344=0,K2344=""),"",IF(E2344="Positivo",MAX(K2344/J2344,0),MAX(J2344/K2344,0))),"") </f>
        <v/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445-2024-12-31</t>
        </is>
      </c>
    </row>
    <row r="2345" hidden="1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08" t="n">
        <v>45838</v>
      </c>
      <c r="G2345" t="n">
        <v>2025</v>
      </c>
      <c r="H2345" t="inlineStr">
        <is>
          <t>Junio</t>
        </is>
      </c>
      <c r="I2345" t="inlineStr">
        <is>
          <t>2025-1</t>
        </is>
      </c>
      <c r="J2345" t="n">
        <v>70</v>
      </c>
      <c r="K2345" t="n">
        <v>75.7</v>
      </c>
      <c r="L2345" s="39">
        <f>IFERROR(IF(OR(J2345=0,K2345=""),"",IF(E2345="Positivo",MIN(MAX(K2345/J2345,0),1.3),MIN(MAX(J2345/K2345,0),1.3))),"") </f>
        <v/>
      </c>
      <c r="M2345" s="39">
        <f>IFERROR(IF(OR(J2345=0,K2345=""),"",IF(E2345="Positivo",MAX(K2345/J2345,0),MAX(J2345/K2345,0))),"") </f>
        <v/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445-2025-06-30</t>
        </is>
      </c>
    </row>
    <row r="2346" hidden="1">
      <c r="A2346" t="n">
        <v>445</v>
      </c>
      <c r="B2346" t="inlineStr">
        <is>
          <t>Satisfacción del proceso de grados virtual</t>
        </is>
      </c>
      <c r="C2346" t="inlineStr">
        <is>
          <t>Registro y Control</t>
        </is>
      </c>
      <c r="D2346" t="inlineStr">
        <is>
          <t>Trimestral</t>
        </is>
      </c>
      <c r="E2346" t="inlineStr">
        <is>
          <t>Positivo</t>
        </is>
      </c>
      <c r="F2346" s="108" t="n">
        <v>46022</v>
      </c>
      <c r="G2346" t="n">
        <v>2025</v>
      </c>
      <c r="H2346" t="inlineStr">
        <is>
          <t>Diciembre</t>
        </is>
      </c>
      <c r="I2346" t="inlineStr">
        <is>
          <t>2025-2</t>
        </is>
      </c>
      <c r="J2346" t="n">
        <v>70</v>
      </c>
      <c r="K2346" t="n">
        <v>85.3</v>
      </c>
      <c r="L2346" s="39">
        <f>IFERROR(IF(OR(J2346=0,K2346=""),"",IF(E2346="Positivo",MIN(MAX(K2346/J2346,0),1.3),MIN(MAX(J2346/K2346,0),1.3))),"") </f>
        <v/>
      </c>
      <c r="M2346" s="39">
        <f>IFERROR(IF(OR(J2346=0,K2346=""),"",IF(E2346="Positivo",MAX(K2346/J2346,0),MAX(J2346/K2346,0))),"") </f>
        <v/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445-2025-12-31</t>
        </is>
      </c>
    </row>
    <row r="2347" hidden="1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08" t="n">
        <v>45473</v>
      </c>
      <c r="G2347" t="n">
        <v>2024</v>
      </c>
      <c r="H2347" t="inlineStr">
        <is>
          <t>Junio</t>
        </is>
      </c>
      <c r="I2347" t="inlineStr">
        <is>
          <t>2024-1</t>
        </is>
      </c>
      <c r="J2347" t="n">
        <v>15</v>
      </c>
      <c r="K2347" t="n">
        <v>31.04</v>
      </c>
      <c r="L2347" s="39">
        <f>IFERROR(IF(OR(J2347=0,K2347=""),"",IF(E2347="Positivo",MIN(MAX(K2347/J2347,0),1.3),MIN(MAX(J2347/K2347,0),1.3))),"") </f>
        <v/>
      </c>
      <c r="M2347" s="39">
        <f>IFERROR(IF(OR(J2347=0,K2347=""),"",IF(E2347="Positivo",MAX(K2347/J2347,0),MAX(J2347/K2347,0))),"") </f>
        <v/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447-2024-06-30</t>
        </is>
      </c>
    </row>
    <row r="2348" hidden="1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08" t="n">
        <v>45657</v>
      </c>
      <c r="G2348" t="n">
        <v>2024</v>
      </c>
      <c r="H2348" t="inlineStr">
        <is>
          <t>Diciembre</t>
        </is>
      </c>
      <c r="I2348" t="inlineStr">
        <is>
          <t>2024-2</t>
        </is>
      </c>
      <c r="J2348" t="n">
        <v>15</v>
      </c>
      <c r="K2348" t="n">
        <v>16.16</v>
      </c>
      <c r="L2348" s="39">
        <f>IFERROR(IF(OR(J2348=0,K2348=""),"",IF(E2348="Positivo",MIN(MAX(K2348/J2348,0),1.3),MIN(MAX(J2348/K2348,0),1.3))),"") </f>
        <v/>
      </c>
      <c r="M2348" s="39">
        <f>IFERROR(IF(OR(J2348=0,K2348=""),"",IF(E2348="Positivo",MAX(K2348/J2348,0),MAX(J2348/K2348,0))),"") </f>
        <v/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447-2024-12-31</t>
        </is>
      </c>
    </row>
    <row r="2349" hidden="1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108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15</v>
      </c>
      <c r="K2349" t="n">
        <v>16.54</v>
      </c>
      <c r="L2349" s="39">
        <f>IFERROR(IF(OR(J2349=0,K2349=""),"",IF(E2349="Positivo",MIN(MAX(K2349/J2349,0),1.3),MIN(MAX(J2349/K2349,0),1.3))),"") </f>
        <v/>
      </c>
      <c r="M2349" s="39">
        <f>IFERROR(IF(OR(J2349=0,K2349=""),"",IF(E2349="Positivo",MAX(K2349/J2349,0),MAX(J2349/K2349,0))),"") </f>
        <v/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447-2025-06-30</t>
        </is>
      </c>
    </row>
    <row r="2350" hidden="1">
      <c r="A2350" t="n">
        <v>447</v>
      </c>
      <c r="B2350" t="inlineStr">
        <is>
          <t>Participación en actividades culturales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108" t="n">
        <v>46022</v>
      </c>
      <c r="G2350" t="n">
        <v>2025</v>
      </c>
      <c r="H2350" t="inlineStr">
        <is>
          <t>Diciembre</t>
        </is>
      </c>
      <c r="I2350" t="inlineStr">
        <is>
          <t>2025-2</t>
        </is>
      </c>
      <c r="J2350" t="n">
        <v>15</v>
      </c>
      <c r="K2350" t="n">
        <v>15.01</v>
      </c>
      <c r="L2350" s="39">
        <f>IFERROR(IF(OR(J2350=0,K2350=""),"",IF(E2350="Positivo",MIN(MAX(K2350/J2350,0),1.3),MIN(MAX(J2350/K2350,0),1.3))),"") </f>
        <v/>
      </c>
      <c r="M2350" s="39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447-2025-12-31</t>
        </is>
      </c>
    </row>
    <row r="2351" hidden="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08" t="n">
        <v>45473</v>
      </c>
      <c r="G2351" t="n">
        <v>2024</v>
      </c>
      <c r="H2351" t="inlineStr">
        <is>
          <t>Junio</t>
        </is>
      </c>
      <c r="I2351" t="inlineStr">
        <is>
          <t>2024-1</t>
        </is>
      </c>
      <c r="J2351" t="n">
        <v>9</v>
      </c>
      <c r="K2351" t="n">
        <v>18.93</v>
      </c>
      <c r="L2351" s="39">
        <f>IFERROR(IF(OR(J2351=0,K2351=""),"",IF(E2351="Positivo",MIN(MAX(K2351/J2351,0),1.3),MIN(MAX(J2351/K2351,0),1.3))),"") </f>
        <v/>
      </c>
      <c r="M2351" s="39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448-2024-06-30</t>
        </is>
      </c>
    </row>
    <row r="2352" hidden="1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08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</v>
      </c>
      <c r="K2352" t="n">
        <v>9.32</v>
      </c>
      <c r="L2352" s="39">
        <f>IFERROR(IF(OR(J2352=0,K2352=""),"",IF(E2352="Positivo",MIN(MAX(K2352/J2352,0),1.3),MIN(MAX(J2352/K2352,0),1.3))),"") </f>
        <v/>
      </c>
      <c r="M2352" s="39">
        <f>IFERROR(IF(OR(J2352=0,K2352=""),"",IF(E2352="Positivo",MAX(K2352/J2352,0),MAX(J2352/K2352,0))),"") </f>
        <v/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448-2024-12-31</t>
        </is>
      </c>
    </row>
    <row r="2353" hidden="1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Semestral</t>
        </is>
      </c>
      <c r="E2353" t="inlineStr">
        <is>
          <t>Positivo</t>
        </is>
      </c>
      <c r="F2353" s="108" t="n">
        <v>45838</v>
      </c>
      <c r="G2353" t="n">
        <v>2025</v>
      </c>
      <c r="H2353" t="inlineStr">
        <is>
          <t>Junio</t>
        </is>
      </c>
      <c r="I2353" t="inlineStr">
        <is>
          <t>2025-1</t>
        </is>
      </c>
      <c r="J2353" t="n">
        <v>17</v>
      </c>
      <c r="K2353" t="n">
        <v>39.62</v>
      </c>
      <c r="L2353" s="39">
        <f>IFERROR(IF(OR(J2353=0,K2353=""),"",IF(E2353="Positivo",MIN(MAX(K2353/J2353,0),1.3),MIN(MAX(J2353/K2353,0),1.3))),"") </f>
        <v/>
      </c>
      <c r="M2353" s="39">
        <f>IFERROR(IF(OR(J2353=0,K2353=""),"",IF(E2353="Positivo",MAX(K2353/J2353,0),MAX(J2353/K2353,0))),"") </f>
        <v/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448-2025-06-30</t>
        </is>
      </c>
    </row>
    <row r="2354" hidden="1">
      <c r="A2354" t="n">
        <v>448</v>
      </c>
      <c r="B2354" t="inlineStr">
        <is>
          <t>Participación en actividades de formación</t>
        </is>
      </c>
      <c r="C2354" t="inlineStr">
        <is>
          <t>Biblioteca Institucional</t>
        </is>
      </c>
      <c r="D2354" t="inlineStr">
        <is>
          <t>Trimestral</t>
        </is>
      </c>
      <c r="E2354" t="inlineStr">
        <is>
          <t>Positivo</t>
        </is>
      </c>
      <c r="F2354" s="108" t="n">
        <v>46022</v>
      </c>
      <c r="G2354" t="n">
        <v>2025</v>
      </c>
      <c r="H2354" t="inlineStr">
        <is>
          <t>Diciembre</t>
        </is>
      </c>
      <c r="I2354" t="inlineStr">
        <is>
          <t>2025-2</t>
        </is>
      </c>
      <c r="J2354" t="n">
        <v>17</v>
      </c>
      <c r="K2354" t="n">
        <v>59.36</v>
      </c>
      <c r="L2354" s="39">
        <f>IFERROR(IF(OR(J2354=0,K2354=""),"",IF(E2354="Positivo",MIN(MAX(K2354/J2354,0),1.3),MIN(MAX(J2354/K2354,0),1.3))),"") </f>
        <v/>
      </c>
      <c r="M2354" s="3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1</v>
      </c>
      <c r="R2354" t="inlineStr">
        <is>
          <t>448-2025-12-31</t>
        </is>
      </c>
    </row>
    <row r="2355" hidden="1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08" t="n">
        <v>45382</v>
      </c>
      <c r="G2355" t="n">
        <v>2024</v>
      </c>
      <c r="H2355" t="inlineStr">
        <is>
          <t>Marzo</t>
        </is>
      </c>
      <c r="I2355" t="inlineStr">
        <is>
          <t>2024-1</t>
        </is>
      </c>
      <c r="J2355" t="n">
        <v>20</v>
      </c>
      <c r="K2355" t="n">
        <v>51.28</v>
      </c>
      <c r="L2355" s="39">
        <f>IFERROR(IF(OR(J2355=0,K2355=""),"",IF(E2355="Positivo",MIN(MAX(K2355/J2355,0),1.3),MIN(MAX(J2355/K2355,0),1.3))),"") </f>
        <v/>
      </c>
      <c r="M2355" s="39">
        <f>IFERROR(IF(OR(J2355=0,K2355=""),"",IF(E2355="Positivo",MAX(K2355/J2355,0),MAX(J2355/K2355,0))),"") </f>
        <v/>
      </c>
      <c r="P2355" t="n">
        <v>0</v>
      </c>
      <c r="Q2355" t="n">
        <v>0</v>
      </c>
      <c r="R2355" t="inlineStr">
        <is>
          <t>449-2024-03-31</t>
        </is>
      </c>
    </row>
    <row r="2356" hidden="1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08" t="n">
        <v>45565</v>
      </c>
      <c r="G2356" t="n">
        <v>2024</v>
      </c>
      <c r="H2356" t="inlineStr">
        <is>
          <t>Septiembre</t>
        </is>
      </c>
      <c r="I2356" t="inlineStr">
        <is>
          <t>2024-2</t>
        </is>
      </c>
      <c r="J2356" t="n">
        <v>70</v>
      </c>
      <c r="K2356" t="n">
        <v>84.6153846153846</v>
      </c>
      <c r="L2356" s="39">
        <f>IFERROR(IF(OR(J2356=0,K2356=""),"",IF(E2356="Positivo",MIN(MAX(K2356/J2356,0),1.3),MIN(MAX(J2356/K2356,0),1.3))),"") </f>
        <v/>
      </c>
      <c r="M2356" s="39">
        <f>IFERROR(IF(OR(J2356=0,K2356=""),"",IF(E2356="Positivo",MAX(K2356/J2356,0),MAX(J2356/K2356,0))),"") </f>
        <v/>
      </c>
      <c r="P2356" t="n">
        <v>0</v>
      </c>
      <c r="Q2356" t="n">
        <v>0</v>
      </c>
      <c r="R2356" t="inlineStr">
        <is>
          <t>449-2024-09-30</t>
        </is>
      </c>
    </row>
    <row r="2357" hidden="1">
      <c r="A2357" t="n">
        <v>449</v>
      </c>
      <c r="B2357" t="inlineStr">
        <is>
          <t>Cumplimiento en la supervisión y monitoreo a los planes de tratamiento de los riesgos institucionales en nivel alto y extremo</t>
        </is>
      </c>
      <c r="C2357" t="inlineStr">
        <is>
          <t>GESTIÓN DE RIESGOS</t>
        </is>
      </c>
      <c r="D2357" t="inlineStr">
        <is>
          <t>Trimestral</t>
        </is>
      </c>
      <c r="E2357" t="inlineStr">
        <is>
          <t>Positivo</t>
        </is>
      </c>
      <c r="F2357" s="108" t="n">
        <v>45657</v>
      </c>
      <c r="G2357" t="n">
        <v>2024</v>
      </c>
      <c r="H2357" t="inlineStr">
        <is>
          <t>Diciembre</t>
        </is>
      </c>
      <c r="I2357" t="inlineStr">
        <is>
          <t>2024-2</t>
        </is>
      </c>
      <c r="J2357" t="n">
        <v>100</v>
      </c>
      <c r="K2357" t="n">
        <v>100</v>
      </c>
      <c r="L2357" s="39">
        <f>IFERROR(IF(OR(J2357=0,K2357=""),"",IF(E2357="Positivo",MIN(MAX(K2357/J2357,0),1.3),MIN(MAX(J2357/K2357,0),1.3))),"") </f>
        <v/>
      </c>
      <c r="M2357" s="39">
        <f>IFERROR(IF(OR(J2357=0,K2357=""),"",IF(E2357="Positivo",MAX(K2357/J2357,0),MAX(J2357/K2357,0))),"") </f>
        <v/>
      </c>
      <c r="P2357" t="n">
        <v>0</v>
      </c>
      <c r="Q2357" t="n">
        <v>0</v>
      </c>
      <c r="R2357" t="inlineStr">
        <is>
          <t>449-2024-12-31</t>
        </is>
      </c>
    </row>
    <row r="2358" hidden="1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08" t="n">
        <v>45473</v>
      </c>
      <c r="G2358" t="n">
        <v>2024</v>
      </c>
      <c r="H2358" t="inlineStr">
        <is>
          <t>Junio</t>
        </is>
      </c>
      <c r="I2358" t="inlineStr">
        <is>
          <t>2024-1</t>
        </is>
      </c>
      <c r="J2358" t="n">
        <v>0</v>
      </c>
      <c r="K2358" t="n">
        <v>34.9</v>
      </c>
      <c r="L2358" s="39">
        <f>IFERROR(IF(OR(J2358=0,K2358=""),"",IF(E2358="Positivo",MIN(MAX(K2358/J2358,0),1.3),MIN(MAX(J2358/K2358,0),1.3))),"") </f>
        <v/>
      </c>
      <c r="M2358" s="39">
        <f>IFERROR(IF(OR(J2358=0,K2358=""),"",IF(E2358="Positivo",MAX(K2358/J2358,0),MAX(J2358/K2358,0))),"") </f>
        <v/>
      </c>
      <c r="P2358" t="n">
        <v>0</v>
      </c>
      <c r="Q2358" t="n">
        <v>0</v>
      </c>
      <c r="R2358" t="inlineStr">
        <is>
          <t>451-2024-06-30</t>
        </is>
      </c>
    </row>
    <row r="2359" hidden="1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08" t="n">
        <v>45657</v>
      </c>
      <c r="G2359" t="n">
        <v>2024</v>
      </c>
      <c r="H2359" t="inlineStr">
        <is>
          <t>Diciembre</t>
        </is>
      </c>
      <c r="I2359" t="inlineStr">
        <is>
          <t>2024-2</t>
        </is>
      </c>
      <c r="J2359" t="n">
        <v>0</v>
      </c>
      <c r="K2359" t="n">
        <v>42.7</v>
      </c>
      <c r="L2359" s="39">
        <f>IFERROR(IF(OR(J2359=0,K2359=""),"",IF(E2359="Positivo",MIN(MAX(K2359/J2359,0),1.3),MIN(MAX(J2359/K2359,0),1.3))),"") </f>
        <v/>
      </c>
      <c r="M2359" s="39">
        <f>IFERROR(IF(OR(J2359=0,K2359=""),"",IF(E2359="Positivo",MAX(K2359/J2359,0),MAX(J2359/K2359,0))),"") </f>
        <v/>
      </c>
      <c r="P2359" t="n">
        <v>0</v>
      </c>
      <c r="Q2359" t="n">
        <v>0</v>
      </c>
      <c r="R2359" t="inlineStr">
        <is>
          <t>451-2024-12-31</t>
        </is>
      </c>
    </row>
    <row r="2360" hidden="1">
      <c r="A2360" t="n">
        <v>451</v>
      </c>
      <c r="B2360" t="inlineStr">
        <is>
          <t>% Participación de publicaciones positiva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108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119.5</v>
      </c>
      <c r="L2360" s="39">
        <f>IFERROR(IF(OR(J2360=0,K2360=""),"",IF(E2360="Positivo",MIN(MAX(K2360/J2360,0),1.3),MIN(MAX(J2360/K2360,0),1.3))),"") </f>
        <v/>
      </c>
      <c r="M2360" s="39">
        <f>IFERROR(IF(OR(J2360=0,K2360=""),"",IF(E2360="Positivo",MAX(K2360/J2360,0),MAX(J2360/K2360,0))),"") </f>
        <v/>
      </c>
      <c r="P2360" t="n">
        <v>0</v>
      </c>
      <c r="Q2360" t="n">
        <v>0</v>
      </c>
      <c r="R2360" t="inlineStr">
        <is>
          <t>451-2025-06-30</t>
        </is>
      </c>
    </row>
    <row r="2361" hidden="1">
      <c r="A2361" t="n">
        <v>451</v>
      </c>
      <c r="B2361" t="inlineStr">
        <is>
          <t>% de publicaciones con sentimiento positivo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08" t="n">
        <v>46022</v>
      </c>
      <c r="G2361" t="n">
        <v>2025</v>
      </c>
      <c r="H2361" t="inlineStr">
        <is>
          <t>Diciembre</t>
        </is>
      </c>
      <c r="I2361" t="inlineStr">
        <is>
          <t>2025-2</t>
        </is>
      </c>
      <c r="J2361" t="n">
        <v>100</v>
      </c>
      <c r="K2361" t="n">
        <v>130.8</v>
      </c>
      <c r="L2361" s="39">
        <f>IFERROR(IF(OR(J2361=0,K2361=""),"",IF(E2361="Positivo",MIN(MAX(K2361/J2361,0),1.3),MIN(MAX(J2361/K2361,0),1.3))),"") </f>
        <v/>
      </c>
      <c r="M2361" s="3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451-2025-12-31</t>
        </is>
      </c>
    </row>
    <row r="2362" hidden="1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108" t="n">
        <v>45473</v>
      </c>
      <c r="G2362" t="n">
        <v>2024</v>
      </c>
      <c r="H2362" t="inlineStr">
        <is>
          <t>Junio</t>
        </is>
      </c>
      <c r="I2362" t="inlineStr">
        <is>
          <t>2024-1</t>
        </is>
      </c>
      <c r="J2362" t="n">
        <v>100</v>
      </c>
      <c r="K2362" t="n">
        <v>100</v>
      </c>
      <c r="L2362" s="39">
        <f>IFERROR(IF(OR(J2362=0,K2362=""),"",IF(E2362="Positivo",MIN(MAX(K2362/J2362,0),1.3),MIN(MAX(J2362/K2362,0),1.3))),"") </f>
        <v/>
      </c>
      <c r="M2362" s="3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452-2024-06-30</t>
        </is>
      </c>
    </row>
    <row r="2363" hidden="1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Semestral</t>
        </is>
      </c>
      <c r="E2363" t="inlineStr">
        <is>
          <t>Positivo</t>
        </is>
      </c>
      <c r="F2363" s="108" t="n">
        <v>45657</v>
      </c>
      <c r="G2363" t="n">
        <v>2024</v>
      </c>
      <c r="H2363" t="inlineStr">
        <is>
          <t>Diciembre</t>
        </is>
      </c>
      <c r="I2363" t="inlineStr">
        <is>
          <t>2024-2</t>
        </is>
      </c>
      <c r="J2363" t="n">
        <v>100</v>
      </c>
      <c r="K2363" t="n">
        <v>160</v>
      </c>
      <c r="L2363" s="39">
        <f>IFERROR(IF(OR(J2363=0,K2363=""),"",IF(E2363="Positivo",MIN(MAX(K2363/J2363,0),1.3),MIN(MAX(J2363/K2363,0),1.3))),"") </f>
        <v/>
      </c>
      <c r="M2363" s="39">
        <f>IFERROR(IF(OR(J2363=0,K2363=""),"",IF(E2363="Positivo",MAX(K2363/J2363,0),MAX(J2363/K2363,0))),"") </f>
        <v/>
      </c>
      <c r="P2363" t="n">
        <v>0</v>
      </c>
      <c r="Q2363" t="n">
        <v>0</v>
      </c>
      <c r="R2363" t="inlineStr">
        <is>
          <t>452-2024-12-31</t>
        </is>
      </c>
    </row>
    <row r="2364" hidden="1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08" t="n">
        <v>45838</v>
      </c>
      <c r="G2364" t="n">
        <v>2025</v>
      </c>
      <c r="H2364" t="inlineStr">
        <is>
          <t>Junio</t>
        </is>
      </c>
      <c r="I2364" t="inlineStr">
        <is>
          <t>2025-1</t>
        </is>
      </c>
      <c r="J2364" t="n">
        <v>100</v>
      </c>
      <c r="K2364" t="n">
        <v>102.27</v>
      </c>
      <c r="L2364" s="39">
        <f>IFERROR(IF(OR(J2364=0,K2364=""),"",IF(E2364="Positivo",MIN(MAX(K2364/J2364,0),1.3),MIN(MAX(J2364/K2364,0),1.3))),"") </f>
        <v/>
      </c>
      <c r="M2364" s="3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452-2025-06-30</t>
        </is>
      </c>
    </row>
    <row r="2365" hidden="1">
      <c r="A2365" t="n">
        <v>452</v>
      </c>
      <c r="B2365" t="inlineStr">
        <is>
          <t>Seguimiento a eventos internos y externos institucionales</t>
        </is>
      </c>
      <c r="C2365" t="inlineStr">
        <is>
          <t>Comunicaciones Externas</t>
        </is>
      </c>
      <c r="D2365" t="inlineStr">
        <is>
          <t>Trimestral</t>
        </is>
      </c>
      <c r="E2365" t="inlineStr">
        <is>
          <t>Positivo</t>
        </is>
      </c>
      <c r="F2365" s="108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200</v>
      </c>
      <c r="L2365" s="39">
        <f>IFERROR(IF(OR(J2365=0,K2365=""),"",IF(E2365="Positivo",MIN(MAX(K2365/J2365,0),1.3),MIN(MAX(J2365/K2365,0),1.3))),"") </f>
        <v/>
      </c>
      <c r="M2365" s="3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452-2025-12-31</t>
        </is>
      </c>
    </row>
    <row r="2366" hidden="1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08" t="n">
        <v>45382</v>
      </c>
      <c r="G2366" t="n">
        <v>2024</v>
      </c>
      <c r="H2366" t="inlineStr">
        <is>
          <t>Marzo</t>
        </is>
      </c>
      <c r="I2366" t="inlineStr">
        <is>
          <t>2024-1</t>
        </is>
      </c>
      <c r="K2366" t="n">
        <v>52</v>
      </c>
      <c r="L2366" s="39" t="n"/>
      <c r="M2366" s="39" t="n"/>
      <c r="P2366" t="n">
        <v>0</v>
      </c>
      <c r="Q2366" t="n">
        <v>0</v>
      </c>
      <c r="R2366" t="inlineStr">
        <is>
          <t>453-2024-03-31</t>
        </is>
      </c>
    </row>
    <row r="2367" hidden="1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08" t="n">
        <v>45473</v>
      </c>
      <c r="G2367" t="n">
        <v>2024</v>
      </c>
      <c r="H2367" t="inlineStr">
        <is>
          <t>Junio</t>
        </is>
      </c>
      <c r="I2367" t="inlineStr">
        <is>
          <t>2024-1</t>
        </is>
      </c>
      <c r="J2367" t="n">
        <v>100</v>
      </c>
      <c r="K2367" t="n">
        <v>140</v>
      </c>
      <c r="L2367" s="39">
        <f>IFERROR(IF(OR(J2367=0,K2367=""),"",IF(E2367="Positivo",MIN(MAX(K2367/J2367,0),1.3),MIN(MAX(J2367/K2367,0),1.3))),"") </f>
        <v/>
      </c>
      <c r="M2367" s="39">
        <f>IFERROR(IF(OR(J2367=0,K2367=""),"",IF(E2367="Positivo",MAX(K2367/J2367,0),MAX(J2367/K2367,0))),"") </f>
        <v/>
      </c>
      <c r="P2367" t="n">
        <v>0</v>
      </c>
      <c r="Q2367" t="n">
        <v>0</v>
      </c>
      <c r="R2367" t="inlineStr">
        <is>
          <t>453-2024-06-30</t>
        </is>
      </c>
    </row>
    <row r="2368" hidden="1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08" t="n">
        <v>45565</v>
      </c>
      <c r="G2368" t="n">
        <v>2024</v>
      </c>
      <c r="H2368" t="inlineStr">
        <is>
          <t>Septiembre</t>
        </is>
      </c>
      <c r="I2368" t="inlineStr">
        <is>
          <t>2024-2</t>
        </is>
      </c>
      <c r="J2368" t="n">
        <v>100</v>
      </c>
      <c r="K2368" t="n">
        <v>300</v>
      </c>
      <c r="L2368" s="39">
        <f>IFERROR(IF(OR(J2368=0,K2368=""),"",IF(E2368="Positivo",MIN(MAX(K2368/J2368,0),1.3),MIN(MAX(J2368/K2368,0),1.3))),"") </f>
        <v/>
      </c>
      <c r="M2368" s="39">
        <f>IFERROR(IF(OR(J2368=0,K2368=""),"",IF(E2368="Positivo",MAX(K2368/J2368,0),MAX(J2368/K2368,0))),"") </f>
        <v/>
      </c>
      <c r="P2368" t="n">
        <v>0</v>
      </c>
      <c r="Q2368" t="n">
        <v>0</v>
      </c>
      <c r="R2368" t="inlineStr">
        <is>
          <t>453-2024-09-30</t>
        </is>
      </c>
    </row>
    <row r="2369" hidden="1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08" t="n">
        <v>45657</v>
      </c>
      <c r="G2369" t="n">
        <v>2024</v>
      </c>
      <c r="H2369" t="inlineStr">
        <is>
          <t>Diciembre</t>
        </is>
      </c>
      <c r="I2369" t="inlineStr">
        <is>
          <t>2024-2</t>
        </is>
      </c>
      <c r="J2369" t="n">
        <v>100</v>
      </c>
      <c r="K2369" t="n">
        <v>148</v>
      </c>
      <c r="L2369" s="39">
        <f>IFERROR(IF(OR(J2369=0,K2369=""),"",IF(E2369="Positivo",MIN(MAX(K2369/J2369,0),1.3),MIN(MAX(J2369/K2369,0),1.3))),"") </f>
        <v/>
      </c>
      <c r="M2369" s="39">
        <f>IFERROR(IF(OR(J2369=0,K2369=""),"",IF(E2369="Positivo",MAX(K2369/J2369,0),MAX(J2369/K2369,0))),"") </f>
        <v/>
      </c>
      <c r="P2369" t="n">
        <v>0</v>
      </c>
      <c r="Q2369" t="n">
        <v>0</v>
      </c>
      <c r="R2369" t="inlineStr">
        <is>
          <t>453-2024-12-31</t>
        </is>
      </c>
    </row>
    <row r="2370" hidden="1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08" t="n">
        <v>45747</v>
      </c>
      <c r="G2370" t="n">
        <v>2025</v>
      </c>
      <c r="H2370" t="inlineStr">
        <is>
          <t>Marzo</t>
        </is>
      </c>
      <c r="I2370" t="inlineStr">
        <is>
          <t>2025-1</t>
        </is>
      </c>
      <c r="J2370" t="n">
        <v>100</v>
      </c>
      <c r="K2370" t="n">
        <v>48</v>
      </c>
      <c r="L2370" s="39">
        <f>IFERROR(IF(OR(J2370=0,K2370=""),"",IF(E2370="Positivo",MIN(MAX(K2370/J2370,0),1.3),MIN(MAX(J2370/K2370,0),1.3))),"") </f>
        <v/>
      </c>
      <c r="M2370" s="39">
        <f>IFERROR(IF(OR(J2370=0,K2370=""),"",IF(E2370="Positivo",MAX(K2370/J2370,0),MAX(J2370/K2370,0))),"") </f>
        <v/>
      </c>
      <c r="P2370" t="n">
        <v>0</v>
      </c>
      <c r="Q2370" t="n">
        <v>0</v>
      </c>
      <c r="R2370" t="inlineStr">
        <is>
          <t>453-2025-03-31</t>
        </is>
      </c>
    </row>
    <row r="2371" hidden="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108" t="n">
        <v>45838</v>
      </c>
      <c r="G2371" t="n">
        <v>2025</v>
      </c>
      <c r="H2371" t="inlineStr">
        <is>
          <t>Junio</t>
        </is>
      </c>
      <c r="I2371" t="inlineStr">
        <is>
          <t>2025-1</t>
        </is>
      </c>
      <c r="J2371" t="n">
        <v>100</v>
      </c>
      <c r="K2371" t="n">
        <v>100</v>
      </c>
      <c r="L2371" s="39">
        <f>IFERROR(IF(OR(J2371=0,K2371=""),"",IF(E2371="Positivo",MIN(MAX(K2371/J2371,0),1.3),MIN(MAX(J2371/K2371,0),1.3))),"") </f>
        <v/>
      </c>
      <c r="M2371" s="39">
        <f>IFERROR(IF(OR(J2371=0,K2371=""),"",IF(E2371="Positivo",MAX(K2371/J2371,0),MAX(J2371/K2371,0))),"") </f>
        <v/>
      </c>
      <c r="P2371" t="n">
        <v>0</v>
      </c>
      <c r="Q2371" t="n">
        <v>0</v>
      </c>
      <c r="R2371" t="inlineStr">
        <is>
          <t>453-2025-06-30</t>
        </is>
      </c>
    </row>
    <row r="2372" hidden="1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08" t="n">
        <v>45930</v>
      </c>
      <c r="G2372" t="n">
        <v>2025</v>
      </c>
      <c r="H2372" t="inlineStr">
        <is>
          <t>Septiembre</t>
        </is>
      </c>
      <c r="I2372" t="inlineStr">
        <is>
          <t>2025-2</t>
        </is>
      </c>
      <c r="J2372" t="n">
        <v>100</v>
      </c>
      <c r="K2372" t="n">
        <v>100</v>
      </c>
      <c r="L2372" s="39">
        <f>IFERROR(IF(OR(J2372=0,K2372=""),"",IF(E2372="Positivo",MIN(MAX(K2372/J2372,0),1.3),MIN(MAX(J2372/K2372,0),1.3))),"") </f>
        <v/>
      </c>
      <c r="M2372" s="39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453-2025-09-30</t>
        </is>
      </c>
    </row>
    <row r="2373" hidden="1">
      <c r="A2373" t="n">
        <v>453</v>
      </c>
      <c r="B2373" t="inlineStr">
        <is>
          <t>Número de cursos diseñados</t>
        </is>
      </c>
      <c r="C2373" t="inlineStr">
        <is>
          <t>Diseño de Contenido Virtual</t>
        </is>
      </c>
      <c r="D2373" t="inlineStr">
        <is>
          <t>Semestral</t>
        </is>
      </c>
      <c r="E2373" t="inlineStr">
        <is>
          <t>Positivo</t>
        </is>
      </c>
      <c r="F2373" s="108" t="n">
        <v>46022</v>
      </c>
      <c r="G2373" t="n">
        <v>2025</v>
      </c>
      <c r="H2373" t="inlineStr">
        <is>
          <t>Diciembre</t>
        </is>
      </c>
      <c r="I2373" t="inlineStr">
        <is>
          <t>2025-2</t>
        </is>
      </c>
      <c r="J2373" t="n">
        <v>100</v>
      </c>
      <c r="K2373" t="n">
        <v>100</v>
      </c>
      <c r="L2373" s="39">
        <f>IFERROR(IF(OR(J2373=0,K2373=""),"",IF(E2373="Positivo",MIN(MAX(K2373/J2373,0),1.3),MIN(MAX(J2373/K2373,0),1.3))),"") </f>
        <v/>
      </c>
      <c r="M2373" s="3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453-2025-12-31</t>
        </is>
      </c>
    </row>
    <row r="2374" hidden="1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08" t="n">
        <v>45565</v>
      </c>
      <c r="G2374" t="n">
        <v>2024</v>
      </c>
      <c r="H2374" t="inlineStr">
        <is>
          <t>Septiembre</t>
        </is>
      </c>
      <c r="I2374" t="inlineStr">
        <is>
          <t>2024-2</t>
        </is>
      </c>
      <c r="J2374" t="n">
        <v>0</v>
      </c>
      <c r="K2374" t="n">
        <v>88</v>
      </c>
      <c r="L2374" s="39">
        <f>IFERROR(IF(OR(J2374=0,K2374=""),"",IF(E2374="Positivo",MIN(MAX(K2374/J2374,0),1.3),MIN(MAX(J2374/K2374,0),1.3))),"") </f>
        <v/>
      </c>
      <c r="M2374" s="3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454-2024-09-30</t>
        </is>
      </c>
    </row>
    <row r="2375" hidden="1">
      <c r="A2375" t="n">
        <v>454</v>
      </c>
      <c r="B2375" t="inlineStr">
        <is>
          <t>Satisfacción de la calidad del contenido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08" t="n">
        <v>45657</v>
      </c>
      <c r="G2375" t="n">
        <v>2024</v>
      </c>
      <c r="H2375" t="inlineStr">
        <is>
          <t>Diciembre</t>
        </is>
      </c>
      <c r="I2375" t="inlineStr">
        <is>
          <t>2024-2</t>
        </is>
      </c>
      <c r="J2375" t="n">
        <v>0</v>
      </c>
      <c r="K2375" t="n">
        <v>88</v>
      </c>
      <c r="L2375" s="39">
        <f>IFERROR(IF(OR(J2375=0,K2375=""),"",IF(E2375="Positivo",MIN(MAX(K2375/J2375,0),1.3),MIN(MAX(J2375/K2375,0),1.3))),"") </f>
        <v/>
      </c>
      <c r="M2375" s="39">
        <f>IFERROR(IF(OR(J2375=0,K2375=""),"",IF(E2375="Positivo",MAX(K2375/J2375,0),MAX(J2375/K2375,0))),"") </f>
        <v/>
      </c>
      <c r="P2375" t="n">
        <v>0</v>
      </c>
      <c r="Q2375" t="n">
        <v>0</v>
      </c>
      <c r="R2375" t="inlineStr">
        <is>
          <t>454-2024-12-31</t>
        </is>
      </c>
    </row>
    <row r="2376" hidden="1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08" t="n">
        <v>45565</v>
      </c>
      <c r="G2376" t="n">
        <v>2024</v>
      </c>
      <c r="H2376" t="inlineStr">
        <is>
          <t>Septiembre</t>
        </is>
      </c>
      <c r="I2376" t="inlineStr">
        <is>
          <t>2024-2</t>
        </is>
      </c>
      <c r="J2376" t="n">
        <v>90</v>
      </c>
      <c r="K2376" t="n">
        <v>100</v>
      </c>
      <c r="L2376" s="39">
        <f>IFERROR(IF(OR(J2376=0,K2376=""),"",IF(E2376="Positivo",MIN(MAX(K2376/J2376,0),1.3),MIN(MAX(J2376/K2376,0),1.3))),"") </f>
        <v/>
      </c>
      <c r="M2376" s="39">
        <f>IFERROR(IF(OR(J2376=0,K2376=""),"",IF(E2376="Positivo",MAX(K2376/J2376,0),MAX(J2376/K2376,0))),"") </f>
        <v/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455-2024-09-30</t>
        </is>
      </c>
    </row>
    <row r="2377" hidden="1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Trimestral</t>
        </is>
      </c>
      <c r="E2377" t="inlineStr">
        <is>
          <t>Positivo</t>
        </is>
      </c>
      <c r="F2377" s="108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90</v>
      </c>
      <c r="K2377" t="n">
        <v>100</v>
      </c>
      <c r="L2377" s="39">
        <f>IFERROR(IF(OR(J2377=0,K2377=""),"",IF(E2377="Positivo",MIN(MAX(K2377/J2377,0),1.3),MIN(MAX(J2377/K2377,0),1.3))),"") </f>
        <v/>
      </c>
      <c r="M2377" s="39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455-2024-12-31</t>
        </is>
      </c>
    </row>
    <row r="2378" hidden="1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108" t="n">
        <v>45747</v>
      </c>
      <c r="G2378" t="n">
        <v>2025</v>
      </c>
      <c r="H2378" t="inlineStr">
        <is>
          <t>Marzo</t>
        </is>
      </c>
      <c r="I2378" t="inlineStr">
        <is>
          <t>2025-1</t>
        </is>
      </c>
      <c r="J2378" t="n">
        <v>100</v>
      </c>
      <c r="K2378" t="n">
        <v>100</v>
      </c>
      <c r="L2378" s="39">
        <f>IFERROR(IF(OR(J2378=0,K2378=""),"",IF(E2378="Positivo",MIN(MAX(K2378/J2378,0),1.3),MIN(MAX(J2378/K2378,0),1.3))),"") </f>
        <v/>
      </c>
      <c r="M2378" s="3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455-2025-03-31</t>
        </is>
      </c>
    </row>
    <row r="2379" hidden="1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Trimestral</t>
        </is>
      </c>
      <c r="E2379" t="inlineStr">
        <is>
          <t>Positivo</t>
        </is>
      </c>
      <c r="F2379" s="108" t="n">
        <v>45838</v>
      </c>
      <c r="G2379" t="n">
        <v>2025</v>
      </c>
      <c r="H2379" t="inlineStr">
        <is>
          <t>Junio</t>
        </is>
      </c>
      <c r="I2379" t="inlineStr">
        <is>
          <t>2025-1</t>
        </is>
      </c>
      <c r="J2379" t="n">
        <v>100</v>
      </c>
      <c r="K2379" t="n">
        <v>100</v>
      </c>
      <c r="L2379" s="39">
        <f>IFERROR(IF(OR(J2379=0,K2379=""),"",IF(E2379="Positivo",MIN(MAX(K2379/J2379,0),1.3),MIN(MAX(J2379/K2379,0),1.3))),"") </f>
        <v/>
      </c>
      <c r="M2379" s="3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455-2025-06-30</t>
        </is>
      </c>
    </row>
    <row r="2380" hidden="1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08" t="n">
        <v>45930</v>
      </c>
      <c r="G2380" t="n">
        <v>2025</v>
      </c>
      <c r="H2380" t="inlineStr">
        <is>
          <t>Septiembre</t>
        </is>
      </c>
      <c r="I2380" t="inlineStr">
        <is>
          <t>2025-2</t>
        </is>
      </c>
      <c r="J2380" t="n">
        <v>100</v>
      </c>
      <c r="K2380" t="n">
        <v>100</v>
      </c>
      <c r="L2380" s="39">
        <f>IFERROR(IF(OR(J2380=0,K2380=""),"",IF(E2380="Positivo",MIN(MAX(K2380/J2380,0),1.3),MIN(MAX(J2380/K2380,0),1.3))),"") </f>
        <v/>
      </c>
      <c r="M2380" s="3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455-2025-09-30</t>
        </is>
      </c>
    </row>
    <row r="2381" hidden="1">
      <c r="A2381" t="n">
        <v>455</v>
      </c>
      <c r="B2381" t="inlineStr">
        <is>
          <t>ANS Diseño de contenidos virtuales</t>
        </is>
      </c>
      <c r="C2381" t="inlineStr">
        <is>
          <t>Diseño de Contenido Virtual</t>
        </is>
      </c>
      <c r="D2381" t="inlineStr">
        <is>
          <t>Semestral</t>
        </is>
      </c>
      <c r="E2381" t="inlineStr">
        <is>
          <t>Positivo</t>
        </is>
      </c>
      <c r="F2381" s="108" t="n">
        <v>46022</v>
      </c>
      <c r="G2381" t="n">
        <v>2025</v>
      </c>
      <c r="H2381" t="inlineStr">
        <is>
          <t>Diciembre</t>
        </is>
      </c>
      <c r="I2381" t="inlineStr">
        <is>
          <t>2025-2</t>
        </is>
      </c>
      <c r="J2381" t="n">
        <v>100</v>
      </c>
      <c r="K2381" t="n">
        <v>100</v>
      </c>
      <c r="L2381" s="39">
        <f>IFERROR(IF(OR(J2381=0,K2381=""),"",IF(E2381="Positivo",MIN(MAX(K2381/J2381,0),1.3),MIN(MAX(J2381/K2381,0),1.3))),"") </f>
        <v/>
      </c>
      <c r="M2381" s="39">
        <f>IFERROR(IF(OR(J2381=0,K2381=""),"",IF(E2381="Positivo",MAX(K2381/J2381,0),MAX(J2381/K2381,0))),"") </f>
        <v/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455-2025-12-31</t>
        </is>
      </c>
    </row>
    <row r="2382" hidden="1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08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100</v>
      </c>
      <c r="L2382" s="39">
        <f>IFERROR(IF(OR(J2382=0,K2382=""),"",IF(E2382="Positivo",MIN(MAX(K2382/J2382,0),1.3),MIN(MAX(J2382/K2382,0),1.3))),"") </f>
        <v/>
      </c>
      <c r="M2382" s="39">
        <f>IFERROR(IF(OR(J2382=0,K2382=""),"",IF(E2382="Positivo",MAX(K2382/J2382,0),MAX(J2382/K2382,0))),"") </f>
        <v/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456-2024-06-30</t>
        </is>
      </c>
    </row>
    <row r="2383" hidden="1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08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94.69</v>
      </c>
      <c r="L2383" s="39">
        <f>IFERROR(IF(OR(J2383=0,K2383=""),"",IF(E2383="Positivo",MIN(MAX(K2383/J2383,0),1.3),MIN(MAX(J2383/K2383,0),1.3))),"") </f>
        <v/>
      </c>
      <c r="M2383" s="39">
        <f>IFERROR(IF(OR(J2383=0,K2383=""),"",IF(E2383="Positivo",MAX(K2383/J2383,0),MAX(J2383/K2383,0))),"") </f>
        <v/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456-2024-12-31</t>
        </is>
      </c>
    </row>
    <row r="2384" hidden="1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08" t="n">
        <v>45747</v>
      </c>
      <c r="G2384" t="n">
        <v>2025</v>
      </c>
      <c r="H2384" t="inlineStr">
        <is>
          <t>Marzo</t>
        </is>
      </c>
      <c r="I2384" t="inlineStr">
        <is>
          <t>2025-1</t>
        </is>
      </c>
      <c r="J2384" t="n">
        <v>100</v>
      </c>
      <c r="K2384" t="n">
        <v>106.25</v>
      </c>
      <c r="L2384" s="39">
        <f>IFERROR(IF(OR(J2384=0,K2384=""),"",IF(E2384="Positivo",MIN(MAX(K2384/J2384,0),1.3),MIN(MAX(J2384/K2384,0),1.3))),"") </f>
        <v/>
      </c>
      <c r="M2384" s="39">
        <f>IFERROR(IF(OR(J2384=0,K2384=""),"",IF(E2384="Positivo",MAX(K2384/J2384,0),MAX(J2384/K2384,0))),"") </f>
        <v/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456-2025-03-31</t>
        </is>
      </c>
    </row>
    <row r="2385" hidden="1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08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104.12</v>
      </c>
      <c r="L2385" s="39">
        <f>IFERROR(IF(OR(J2385=0,K2385=""),"",IF(E2385="Positivo",MIN(MAX(K2385/J2385,0),1.3),MIN(MAX(J2385/K2385,0),1.3))),"") </f>
        <v/>
      </c>
      <c r="M2385" s="39">
        <f>IFERROR(IF(OR(J2385=0,K2385=""),"",IF(E2385="Positivo",MAX(K2385/J2385,0),MAX(J2385/K2385,0))),"") </f>
        <v/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456-2025-06-30</t>
        </is>
      </c>
    </row>
    <row r="2386" hidden="1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08" t="n">
        <v>45930</v>
      </c>
      <c r="G2386" t="n">
        <v>2025</v>
      </c>
      <c r="H2386" t="inlineStr">
        <is>
          <t>Septiembre</t>
        </is>
      </c>
      <c r="I2386" t="inlineStr">
        <is>
          <t>2025-2</t>
        </is>
      </c>
      <c r="J2386" t="n">
        <v>100</v>
      </c>
      <c r="K2386" t="n">
        <v>121.57</v>
      </c>
      <c r="L2386" s="39">
        <f>IFERROR(IF(OR(J2386=0,K2386=""),"",IF(E2386="Positivo",MIN(MAX(K2386/J2386,0),1.3),MIN(MAX(J2386/K2386,0),1.3))),"") </f>
        <v/>
      </c>
      <c r="M2386" s="39">
        <f>IFERROR(IF(OR(J2386=0,K2386=""),"",IF(E2386="Positivo",MAX(K2386/J2386,0),MAX(J2386/K2386,0))),"") </f>
        <v/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456-2025-09-30</t>
        </is>
      </c>
    </row>
    <row r="2387" hidden="1">
      <c r="A2387" t="n">
        <v>456</v>
      </c>
      <c r="B2387" t="inlineStr">
        <is>
          <t>Impacto de campañas de Mailing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08" t="n">
        <v>46022</v>
      </c>
      <c r="G2387" t="n">
        <v>2025</v>
      </c>
      <c r="H2387" t="inlineStr">
        <is>
          <t>Diciembre</t>
        </is>
      </c>
      <c r="I2387" t="inlineStr">
        <is>
          <t>2025-2</t>
        </is>
      </c>
      <c r="J2387" t="n">
        <v>100</v>
      </c>
      <c r="K2387" t="n">
        <v>114.43</v>
      </c>
      <c r="L2387" s="39">
        <f>IFERROR(IF(OR(J2387=0,K2387=""),"",IF(E2387="Positivo",MIN(MAX(K2387/J2387,0),1.3),MIN(MAX(J2387/K2387,0),1.3))),"") </f>
        <v/>
      </c>
      <c r="M2387" s="39">
        <f>IFERROR(IF(OR(J2387=0,K2387=""),"",IF(E2387="Positivo",MAX(K2387/J2387,0),MAX(J2387/K2387,0))),"") </f>
        <v/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456-2025-12-31</t>
        </is>
      </c>
    </row>
    <row r="2388" hidden="1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08" t="n">
        <v>45473</v>
      </c>
      <c r="G2388" t="n">
        <v>2024</v>
      </c>
      <c r="H2388" t="inlineStr">
        <is>
          <t>Junio</t>
        </is>
      </c>
      <c r="I2388" t="inlineStr">
        <is>
          <t>2024-1</t>
        </is>
      </c>
      <c r="J2388" t="n">
        <v>100</v>
      </c>
      <c r="K2388" t="n">
        <v>90</v>
      </c>
      <c r="L2388" s="39">
        <f>IFERROR(IF(OR(J2388=0,K2388=""),"",IF(E2388="Positivo",MIN(MAX(K2388/J2388,0),1.3),MIN(MAX(J2388/K2388,0),1.3))),"") </f>
        <v/>
      </c>
      <c r="M2388" s="39">
        <f>IFERROR(IF(OR(J2388=0,K2388=""),"",IF(E2388="Positivo",MAX(K2388/J2388,0),MAX(J2388/K2388,0))),"") </f>
        <v/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457-2024-06-30</t>
        </is>
      </c>
    </row>
    <row r="2389" hidden="1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08" t="n">
        <v>45657</v>
      </c>
      <c r="G2389" t="n">
        <v>2024</v>
      </c>
      <c r="H2389" t="inlineStr">
        <is>
          <t>Diciembre</t>
        </is>
      </c>
      <c r="I2389" t="inlineStr">
        <is>
          <t>2024-2</t>
        </is>
      </c>
      <c r="J2389" t="n">
        <v>100</v>
      </c>
      <c r="K2389" t="n">
        <v>70</v>
      </c>
      <c r="L2389" s="39">
        <f>IFERROR(IF(OR(J2389=0,K2389=""),"",IF(E2389="Positivo",MIN(MAX(K2389/J2389,0),1.3),MIN(MAX(J2389/K2389,0),1.3))),"") </f>
        <v/>
      </c>
      <c r="M2389" s="39">
        <f>IFERROR(IF(OR(J2389=0,K2389=""),"",IF(E2389="Positivo",MAX(K2389/J2389,0),MAX(J2389/K2389,0))),"") </f>
        <v/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457-2024-12-31</t>
        </is>
      </c>
    </row>
    <row r="2390" hidden="1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08" t="n">
        <v>45747</v>
      </c>
      <c r="G2390" t="n">
        <v>2025</v>
      </c>
      <c r="H2390" t="inlineStr">
        <is>
          <t>Marzo</t>
        </is>
      </c>
      <c r="I2390" t="inlineStr">
        <is>
          <t>2025-1</t>
        </is>
      </c>
      <c r="J2390" t="n">
        <v>100</v>
      </c>
      <c r="K2390" t="n">
        <v>200</v>
      </c>
      <c r="L2390" s="39">
        <f>IFERROR(IF(OR(J2390=0,K2390=""),"",IF(E2390="Positivo",MIN(MAX(K2390/J2390,0),1.3),MIN(MAX(J2390/K2390,0),1.3))),"") </f>
        <v/>
      </c>
      <c r="M2390" s="39">
        <f>IFERROR(IF(OR(J2390=0,K2390=""),"",IF(E2390="Positivo",MAX(K2390/J2390,0),MAX(J2390/K2390,0))),"") </f>
        <v/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457-2025-03-31</t>
        </is>
      </c>
    </row>
    <row r="2391" hidden="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08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100</v>
      </c>
      <c r="K2391" t="n">
        <v>83.33</v>
      </c>
      <c r="L2391" s="39">
        <f>IFERROR(IF(OR(J2391=0,K2391=""),"",IF(E2391="Positivo",MIN(MAX(K2391/J2391,0),1.3),MIN(MAX(J2391/K2391,0),1.3))),"") </f>
        <v/>
      </c>
      <c r="M2391" s="39">
        <f>IFERROR(IF(OR(J2391=0,K2391=""),"",IF(E2391="Positivo",MAX(K2391/J2391,0),MAX(J2391/K2391,0))),"") </f>
        <v/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457-2025-06-30</t>
        </is>
      </c>
    </row>
    <row r="2392" hidden="1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08" t="n">
        <v>45930</v>
      </c>
      <c r="G2392" t="n">
        <v>2025</v>
      </c>
      <c r="H2392" t="inlineStr">
        <is>
          <t>Septiembre</t>
        </is>
      </c>
      <c r="I2392" t="inlineStr">
        <is>
          <t>2025-2</t>
        </is>
      </c>
      <c r="J2392" t="n">
        <v>100</v>
      </c>
      <c r="K2392" t="n">
        <v>85.70999999999999</v>
      </c>
      <c r="L2392" s="39">
        <f>IFERROR(IF(OR(J2392=0,K2392=""),"",IF(E2392="Positivo",MIN(MAX(K2392/J2392,0),1.3),MIN(MAX(J2392/K2392,0),1.3))),"") </f>
        <v/>
      </c>
      <c r="M2392" s="39">
        <f>IFERROR(IF(OR(J2392=0,K2392=""),"",IF(E2392="Positivo",MAX(K2392/J2392,0),MAX(J2392/K2392,0))),"") </f>
        <v/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457-2025-09-30</t>
        </is>
      </c>
    </row>
    <row r="2393" hidden="1">
      <c r="A2393" t="n">
        <v>457</v>
      </c>
      <c r="B2393" t="inlineStr">
        <is>
          <t>Apertura de enlaces en mensajes de texto</t>
        </is>
      </c>
      <c r="C2393" t="inlineStr">
        <is>
          <t>Comunicaciones Internas</t>
        </is>
      </c>
      <c r="D2393" t="inlineStr">
        <is>
          <t>Semestral</t>
        </is>
      </c>
      <c r="E2393" t="inlineStr">
        <is>
          <t>Positivo</t>
        </is>
      </c>
      <c r="F2393" s="108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100</v>
      </c>
      <c r="K2393" t="n">
        <v>83.33</v>
      </c>
      <c r="L2393" s="39">
        <f>IFERROR(IF(OR(J2393=0,K2393=""),"",IF(E2393="Positivo",MIN(MAX(K2393/J2393,0),1.3),MIN(MAX(J2393/K2393,0),1.3))),"") </f>
        <v/>
      </c>
      <c r="M2393" s="39">
        <f>IFERROR(IF(OR(J2393=0,K2393=""),"",IF(E2393="Positivo",MAX(K2393/J2393,0),MAX(J2393/K2393,0))),"") </f>
        <v/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457-2025-12-31</t>
        </is>
      </c>
    </row>
    <row r="2394" hidden="1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08" t="n">
        <v>45473</v>
      </c>
      <c r="G2394" t="n">
        <v>2024</v>
      </c>
      <c r="H2394" t="inlineStr">
        <is>
          <t>Junio</t>
        </is>
      </c>
      <c r="I2394" t="inlineStr">
        <is>
          <t>2024-1</t>
        </is>
      </c>
      <c r="J2394" t="n">
        <v>100</v>
      </c>
      <c r="K2394" t="n">
        <v>130.43</v>
      </c>
      <c r="L2394" s="39">
        <f>IFERROR(IF(OR(J2394=0,K2394=""),"",IF(E2394="Positivo",MIN(MAX(K2394/J2394,0),1.3),MIN(MAX(J2394/K2394,0),1.3))),"") </f>
        <v/>
      </c>
      <c r="M2394" s="39">
        <f>IFERROR(IF(OR(J2394=0,K2394=""),"",IF(E2394="Positivo",MAX(K2394/J2394,0),MAX(J2394/K2394,0))),"") </f>
        <v/>
      </c>
      <c r="P2394" t="n">
        <v>0</v>
      </c>
      <c r="Q2394" t="n">
        <v>0</v>
      </c>
      <c r="R2394" t="inlineStr">
        <is>
          <t>459-2024-06-30</t>
        </is>
      </c>
    </row>
    <row r="2395" hidden="1">
      <c r="A2395" t="n">
        <v>459</v>
      </c>
      <c r="B2395" t="inlineStr">
        <is>
          <t>Número de publicaciones e historias</t>
        </is>
      </c>
      <c r="C2395" t="inlineStr">
        <is>
          <t>Comunicaciones Externas</t>
        </is>
      </c>
      <c r="D2395" t="inlineStr">
        <is>
          <t>Trimestral</t>
        </is>
      </c>
      <c r="E2395" t="inlineStr">
        <is>
          <t>Positivo</t>
        </is>
      </c>
      <c r="F2395" s="108" t="n">
        <v>45565</v>
      </c>
      <c r="G2395" t="n">
        <v>2024</v>
      </c>
      <c r="H2395" t="inlineStr">
        <is>
          <t>Septiembre</t>
        </is>
      </c>
      <c r="I2395" t="inlineStr">
        <is>
          <t>2024-2</t>
        </is>
      </c>
      <c r="J2395" t="n">
        <v>100</v>
      </c>
      <c r="K2395" t="n">
        <v>147.83</v>
      </c>
      <c r="L2395" s="39">
        <f>IFERROR(IF(OR(J2395=0,K2395=""),"",IF(E2395="Positivo",MIN(MAX(K2395/J2395,0),1.3),MIN(MAX(J2395/K2395,0),1.3))),"") </f>
        <v/>
      </c>
      <c r="M2395" s="39">
        <f>IFERROR(IF(OR(J2395=0,K2395=""),"",IF(E2395="Positivo",MAX(K2395/J2395,0),MAX(J2395/K2395,0))),"") </f>
        <v/>
      </c>
      <c r="P2395" t="n">
        <v>0</v>
      </c>
      <c r="Q2395" t="n">
        <v>0</v>
      </c>
      <c r="R2395" t="inlineStr">
        <is>
          <t>459-2024-09-30</t>
        </is>
      </c>
    </row>
    <row r="2396" hidden="1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08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80</v>
      </c>
      <c r="K2396" t="n">
        <v>91.43968871595332</v>
      </c>
      <c r="L2396" s="39">
        <f>IFERROR(IF(OR(J2396=0,K2396=""),"",IF(E2396="Positivo",MIN(MAX(K2396/J2396,0),1.3),MIN(MAX(J2396/K2396,0),1.3))),"") </f>
        <v/>
      </c>
      <c r="M2396" s="39">
        <f>IFERROR(IF(OR(J2396=0,K2396=""),"",IF(E2396="Positivo",MAX(K2396/J2396,0),MAX(J2396/K2396,0))),"") </f>
        <v/>
      </c>
      <c r="P2396" t="n">
        <v>0</v>
      </c>
      <c r="Q2396" t="n">
        <v>0</v>
      </c>
      <c r="R2396" t="inlineStr">
        <is>
          <t>460-2024-12-31</t>
        </is>
      </c>
    </row>
    <row r="2397" hidden="1">
      <c r="A2397" t="n">
        <v>460</v>
      </c>
      <c r="B2397" t="inlineStr">
        <is>
          <t>% de profesores (Contrato Indefinido- Fijo) impactados plan de desarrollo docente</t>
        </is>
      </c>
      <c r="C2397" t="inlineStr">
        <is>
          <t>GESTIÓN Y DESARROLLO DEL TALENTO HUMANO</t>
        </is>
      </c>
      <c r="D2397" t="inlineStr">
        <is>
          <t>Anual</t>
        </is>
      </c>
      <c r="E2397" t="inlineStr">
        <is>
          <t>Positivo</t>
        </is>
      </c>
      <c r="F2397" s="108" t="n">
        <v>46022</v>
      </c>
      <c r="G2397" t="n">
        <v>2025</v>
      </c>
      <c r="H2397" t="inlineStr">
        <is>
          <t>Diciembre</t>
        </is>
      </c>
      <c r="I2397" t="inlineStr">
        <is>
          <t>2025-2</t>
        </is>
      </c>
      <c r="J2397" t="n">
        <v>80</v>
      </c>
      <c r="K2397" t="n">
        <v>84.18000000000001</v>
      </c>
      <c r="L2397" s="39">
        <f>IFERROR(IF(OR(J2397=0,K2397=""),"",IF(E2397="Positivo",MIN(MAX(K2397/J2397,0),1.3),MIN(MAX(J2397/K2397,0),1.3))),"") </f>
        <v/>
      </c>
      <c r="M2397" s="3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1</v>
      </c>
      <c r="R2397" t="inlineStr">
        <is>
          <t>460-2025-12-31</t>
        </is>
      </c>
    </row>
    <row r="2398" hidden="1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08" t="n">
        <v>45473</v>
      </c>
      <c r="G2398" t="n">
        <v>2024</v>
      </c>
      <c r="H2398" t="inlineStr">
        <is>
          <t>Junio</t>
        </is>
      </c>
      <c r="I2398" t="inlineStr">
        <is>
          <t>2024-1</t>
        </is>
      </c>
      <c r="J2398" t="n">
        <v>85</v>
      </c>
      <c r="K2398" t="n">
        <v>100</v>
      </c>
      <c r="L2398" s="39">
        <f>IFERROR(IF(OR(J2398=0,K2398=""),"",IF(E2398="Positivo",MIN(MAX(K2398/J2398,0),1.3),MIN(MAX(J2398/K2398,0),1.3))),"") </f>
        <v/>
      </c>
      <c r="M2398" s="39">
        <f>IFERROR(IF(OR(J2398=0,K2398=""),"",IF(E2398="Positivo",MAX(K2398/J2398,0),MAX(J2398/K2398,0))),"") </f>
        <v/>
      </c>
      <c r="P2398" t="n">
        <v>0</v>
      </c>
      <c r="Q2398" t="n">
        <v>0</v>
      </c>
      <c r="R2398" t="inlineStr">
        <is>
          <t>462-2024-06-30</t>
        </is>
      </c>
    </row>
    <row r="2399" hidden="1">
      <c r="A2399" t="n">
        <v>462</v>
      </c>
      <c r="B2399" t="inlineStr">
        <is>
          <t>Nivel Esfuerzo Editorial</t>
        </is>
      </c>
      <c r="C2399" t="inlineStr">
        <is>
          <t>Editorial y Publicaciones</t>
        </is>
      </c>
      <c r="D2399" t="inlineStr">
        <is>
          <t>Semestral</t>
        </is>
      </c>
      <c r="E2399" t="inlineStr">
        <is>
          <t>Positivo</t>
        </is>
      </c>
      <c r="F2399" s="108" t="n">
        <v>45657</v>
      </c>
      <c r="G2399" t="n">
        <v>2024</v>
      </c>
      <c r="H2399" t="inlineStr">
        <is>
          <t>Diciembre</t>
        </is>
      </c>
      <c r="I2399" t="inlineStr">
        <is>
          <t>2024-2</t>
        </is>
      </c>
      <c r="J2399" t="n">
        <v>85</v>
      </c>
      <c r="K2399" t="n">
        <v>100</v>
      </c>
      <c r="L2399" s="39">
        <f>IFERROR(IF(OR(J2399=0,K2399=""),"",IF(E2399="Positivo",MIN(MAX(K2399/J2399,0),1.3),MIN(MAX(J2399/K2399,0),1.3))),"") </f>
        <v/>
      </c>
      <c r="M2399" s="39">
        <f>IFERROR(IF(OR(J2399=0,K2399=""),"",IF(E2399="Positivo",MAX(K2399/J2399,0),MAX(J2399/K2399,0))),"") </f>
        <v/>
      </c>
      <c r="P2399" t="n">
        <v>0</v>
      </c>
      <c r="Q2399" t="n">
        <v>0</v>
      </c>
      <c r="R2399" t="inlineStr">
        <is>
          <t>462-2024-12-31</t>
        </is>
      </c>
    </row>
    <row r="2400" hidden="1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08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95</v>
      </c>
      <c r="L2400" s="39">
        <f>IFERROR(IF(OR(J2400=0,K2400=""),"",IF(E2400="Positivo",MIN(MAX(K2400/J2400,0),1.0),MIN(MAX(J2400/K2400,0),1.0))),"") </f>
        <v/>
      </c>
      <c r="M2400" s="3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463-2024-06-30</t>
        </is>
      </c>
    </row>
    <row r="2401" hidden="1">
      <c r="A2401" t="n">
        <v>463</v>
      </c>
      <c r="B2401" t="inlineStr">
        <is>
          <t>Cumplimiento de las acciones del Plan de mejoramiento GPW</t>
        </is>
      </c>
      <c r="C2401" t="inlineStr">
        <is>
          <t>GESTIÓN Y DESARROLLO DEL TALENTO HUMANO</t>
        </is>
      </c>
      <c r="D2401" t="inlineStr">
        <is>
          <t>Semestral</t>
        </is>
      </c>
      <c r="E2401" t="inlineStr">
        <is>
          <t>Positivo</t>
        </is>
      </c>
      <c r="F2401" s="108" t="n">
        <v>45657</v>
      </c>
      <c r="G2401" t="n">
        <v>2024</v>
      </c>
      <c r="H2401" t="inlineStr">
        <is>
          <t>Diciembre</t>
        </is>
      </c>
      <c r="I2401" t="inlineStr">
        <is>
          <t>2024-2</t>
        </is>
      </c>
      <c r="J2401" t="n">
        <v>100</v>
      </c>
      <c r="K2401" t="n">
        <v>100</v>
      </c>
      <c r="L2401" s="39">
        <f>IFERROR(IF(OR(J2401=0,K2401=""),"",IF(E2401="Positivo",MIN(MAX(K2401/J2401,0),1.0),MIN(MAX(J2401/K2401,0),1.0))),"") </f>
        <v/>
      </c>
      <c r="M2401" s="3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463-2024-12-31</t>
        </is>
      </c>
    </row>
    <row r="2402" hidden="1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08" t="n">
        <v>45473</v>
      </c>
      <c r="G2402" t="n">
        <v>2024</v>
      </c>
      <c r="H2402" t="inlineStr">
        <is>
          <t>Junio</t>
        </is>
      </c>
      <c r="I2402" t="inlineStr">
        <is>
          <t>2024-1</t>
        </is>
      </c>
      <c r="J2402" t="n">
        <v>75</v>
      </c>
      <c r="K2402" t="n">
        <v>57.86</v>
      </c>
      <c r="L2402" s="39">
        <f>IFERROR(IF(OR(J2402=0,K2402=""),"",IF(E2402="Positivo",MIN(MAX(K2402/J2402,0),1.3),MIN(MAX(J2402/K2402,0),1.3))),"") </f>
        <v/>
      </c>
      <c r="M2402" s="3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465-2024-06-30</t>
        </is>
      </c>
    </row>
    <row r="2403" hidden="1">
      <c r="A2403" t="n">
        <v>465</v>
      </c>
      <c r="B2403" t="inlineStr">
        <is>
          <t>% de depuración histórico  SNIES</t>
        </is>
      </c>
      <c r="C2403" t="inlineStr">
        <is>
          <t>DATOS Y ANALÍTICA</t>
        </is>
      </c>
      <c r="D2403" t="inlineStr">
        <is>
          <t>Semestral</t>
        </is>
      </c>
      <c r="E2403" t="inlineStr">
        <is>
          <t>Positivo</t>
        </is>
      </c>
      <c r="F2403" s="108" t="n">
        <v>45657</v>
      </c>
      <c r="G2403" t="n">
        <v>2024</v>
      </c>
      <c r="H2403" t="inlineStr">
        <is>
          <t>Diciembre</t>
        </is>
      </c>
      <c r="I2403" t="inlineStr">
        <is>
          <t>2024-2</t>
        </is>
      </c>
      <c r="J2403" t="n">
        <v>100</v>
      </c>
      <c r="K2403" t="n">
        <v>56.83</v>
      </c>
      <c r="L2403" s="39">
        <f>IFERROR(IF(OR(J2403=0,K2403=""),"",IF(E2403="Positivo",MIN(MAX(K2403/J2403,0),1.3),MIN(MAX(J2403/K2403,0),1.3))),"") </f>
        <v/>
      </c>
      <c r="M2403" s="39">
        <f>IFERROR(IF(OR(J2403=0,K2403=""),"",IF(E2403="Positivo",MAX(K2403/J2403,0),MAX(J2403/K2403,0))),"") </f>
        <v/>
      </c>
      <c r="P2403" t="n">
        <v>0</v>
      </c>
      <c r="Q2403" t="n">
        <v>0</v>
      </c>
      <c r="R2403" t="inlineStr">
        <is>
          <t>465-2024-12-31</t>
        </is>
      </c>
    </row>
    <row r="2404" hidden="1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08" t="n">
        <v>45473</v>
      </c>
      <c r="G2404" t="n">
        <v>2024</v>
      </c>
      <c r="H2404" t="inlineStr">
        <is>
          <t>Junio</t>
        </is>
      </c>
      <c r="I2404" t="inlineStr">
        <is>
          <t>2024-1</t>
        </is>
      </c>
      <c r="J2404" t="n">
        <v>100</v>
      </c>
      <c r="K2404" t="n">
        <v>119.2</v>
      </c>
      <c r="L2404" s="39">
        <f>IFERROR(IF(OR(J2404=0,K2404=""),"",IF(E2404="Positivo",MIN(MAX(K2404/J2404,0),1.3),MIN(MAX(J2404/K2404,0),1.3))),"") </f>
        <v/>
      </c>
      <c r="M2404" s="39">
        <f>IFERROR(IF(OR(J2404=0,K2404=""),"",IF(E2404="Positivo",MAX(K2404/J2404,0),MAX(J2404/K2404,0))),"") </f>
        <v/>
      </c>
      <c r="N2404" t="inlineStr">
        <is>
          <t>ENT</t>
        </is>
      </c>
      <c r="O2404" t="inlineStr">
        <is>
          <t>ENT</t>
        </is>
      </c>
      <c r="P2404" t="n">
        <v>0</v>
      </c>
      <c r="Q2404" t="n">
        <v>1</v>
      </c>
      <c r="R2404" t="inlineStr">
        <is>
          <t>466-2024-06-30</t>
        </is>
      </c>
    </row>
    <row r="2405" hidden="1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08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107.6</v>
      </c>
      <c r="L2405" s="39">
        <f>IFERROR(IF(OR(J2405=0,K2405=""),"",IF(E2405="Positivo",MIN(MAX(K2405/J2405,0),1.3),MIN(MAX(J2405/K2405,0),1.3))),"") </f>
        <v/>
      </c>
      <c r="M2405" s="39">
        <f>IFERROR(IF(OR(J2405=0,K2405=""),"",IF(E2405="Positivo",MAX(K2405/J2405,0),MAX(J2405/K2405,0))),"") </f>
        <v/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466-2024-12-31</t>
        </is>
      </c>
    </row>
    <row r="2406" hidden="1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108" t="n">
        <v>45838</v>
      </c>
      <c r="G2406" t="n">
        <v>2025</v>
      </c>
      <c r="H2406" t="inlineStr">
        <is>
          <t>Junio</t>
        </is>
      </c>
      <c r="I2406" t="inlineStr">
        <is>
          <t>2025-1</t>
        </is>
      </c>
      <c r="J2406" t="n">
        <v>100</v>
      </c>
      <c r="L2406" s="39" t="n"/>
      <c r="M2406" s="39" t="n"/>
      <c r="N2406" t="inlineStr">
        <is>
          <t>ENT</t>
        </is>
      </c>
      <c r="O2406" t="inlineStr">
        <is>
          <t>ENT</t>
        </is>
      </c>
      <c r="P2406" t="n">
        <v>0</v>
      </c>
      <c r="Q2406" t="n">
        <v>0</v>
      </c>
      <c r="R2406" t="inlineStr">
        <is>
          <t>466-2025-06-30</t>
        </is>
      </c>
      <c r="S2406" t="inlineStr">
        <is>
          <t>No Aplica</t>
        </is>
      </c>
    </row>
    <row r="2407" hidden="1">
      <c r="A2407" t="n">
        <v>466</v>
      </c>
      <c r="B2407" t="inlineStr">
        <is>
          <t>NPS Estudiantes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108" t="n">
        <v>46022</v>
      </c>
      <c r="G2407" t="n">
        <v>2025</v>
      </c>
      <c r="H2407" t="inlineStr">
        <is>
          <t>Diciembre</t>
        </is>
      </c>
      <c r="I2407" t="inlineStr">
        <is>
          <t>2025-2</t>
        </is>
      </c>
      <c r="J2407" t="n">
        <v>100</v>
      </c>
      <c r="K2407" t="n">
        <v>106.55</v>
      </c>
      <c r="L2407" s="39">
        <f>IFERROR(IF(OR(J2407=0,K2407=""),"",IF(E2407="Positivo",MIN(MAX(K2407/J2407,0),1.3),MIN(MAX(J2407/K2407,0),1.3))),"") </f>
        <v/>
      </c>
      <c r="M2407" s="39">
        <f>IFERROR(IF(OR(J2407=0,K2407=""),"",IF(E2407="Positivo",MAX(K2407/J2407,0),MAX(J2407/K2407,0))),"") </f>
        <v/>
      </c>
      <c r="N2407" t="inlineStr">
        <is>
          <t>ENT</t>
        </is>
      </c>
      <c r="O2407" t="inlineStr">
        <is>
          <t>DEC</t>
        </is>
      </c>
      <c r="P2407" t="n">
        <v>1</v>
      </c>
      <c r="Q2407" t="n">
        <v>1</v>
      </c>
      <c r="R2407" t="inlineStr">
        <is>
          <t>466-2025-12-31</t>
        </is>
      </c>
    </row>
    <row r="2408" hidden="1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08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121.25</v>
      </c>
      <c r="L2408" s="39">
        <f>IFERROR(IF(OR(J2408=0,K2408=""),"",IF(E2408="Positivo",MIN(MAX(K2408/J2408,0),1.3),MIN(MAX(J2408/K2408,0),1.3))),"") </f>
        <v/>
      </c>
      <c r="M2408" s="39">
        <f>IFERROR(IF(OR(J2408=0,K2408=""),"",IF(E2408="Positivo",MAX(K2408/J2408,0),MAX(J2408/K2408,0))),"") </f>
        <v/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467-2024-06-30</t>
        </is>
      </c>
    </row>
    <row r="2409" hidden="1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08" t="n">
        <v>45657</v>
      </c>
      <c r="G2409" t="n">
        <v>2024</v>
      </c>
      <c r="H2409" t="inlineStr">
        <is>
          <t>Diciembre</t>
        </is>
      </c>
      <c r="I2409" t="inlineStr">
        <is>
          <t>2024-2</t>
        </is>
      </c>
      <c r="J2409" t="n">
        <v>100</v>
      </c>
      <c r="K2409" t="n">
        <v>121.83</v>
      </c>
      <c r="L2409" s="39">
        <f>IFERROR(IF(OR(J2409=0,K2409=""),"",IF(E2409="Positivo",MIN(MAX(K2409/J2409,0),1.3),MIN(MAX(J2409/K2409,0),1.3))),"") </f>
        <v/>
      </c>
      <c r="M2409" s="39">
        <f>IFERROR(IF(OR(J2409=0,K2409=""),"",IF(E2409="Positivo",MAX(K2409/J2409,0),MAX(J2409/K2409,0))),"") </f>
        <v/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467-2024-12-31</t>
        </is>
      </c>
    </row>
    <row r="2410" hidden="1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Positivo</t>
        </is>
      </c>
      <c r="F2410" s="108" t="n">
        <v>45838</v>
      </c>
      <c r="G2410" t="n">
        <v>2025</v>
      </c>
      <c r="H2410" t="inlineStr">
        <is>
          <t>Junio</t>
        </is>
      </c>
      <c r="I2410" t="inlineStr">
        <is>
          <t>2025-1</t>
        </is>
      </c>
      <c r="J2410" t="n">
        <v>100</v>
      </c>
      <c r="K2410" t="n">
        <v>118</v>
      </c>
      <c r="L2410" s="39">
        <f>IFERROR(IF(OR(J2410=0,K2410=""),"",IF(E2410="Positivo",MIN(MAX(K2410/J2410,0),1.3),MIN(MAX(J2410/K2410,0),1.3))),"") </f>
        <v/>
      </c>
      <c r="M2410" s="39">
        <f>IFERROR(IF(OR(J2410=0,K2410=""),"",IF(E2410="Positivo",MAX(K2410/J2410,0),MAX(J2410/K2410,0))),"") </f>
        <v/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467-2025-06-30</t>
        </is>
      </c>
    </row>
    <row r="2411" hidden="1">
      <c r="A2411" t="n">
        <v>467</v>
      </c>
      <c r="B2411" t="inlineStr">
        <is>
          <t>NPS Graduados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Positivo</t>
        </is>
      </c>
      <c r="F2411" s="108" t="n">
        <v>46022</v>
      </c>
      <c r="G2411" t="n">
        <v>2025</v>
      </c>
      <c r="H2411" t="inlineStr">
        <is>
          <t>Diciembre</t>
        </is>
      </c>
      <c r="I2411" t="inlineStr">
        <is>
          <t>2025-2</t>
        </is>
      </c>
      <c r="J2411" t="n">
        <v>100</v>
      </c>
      <c r="K2411" t="n">
        <v>99.5</v>
      </c>
      <c r="L2411" s="39">
        <f>IFERROR(IF(OR(J2411=0,K2411=""),"",IF(E2411="Positivo",MIN(MAX(K2411/J2411,0),1.3),MIN(MAX(J2411/K2411,0),1.3))),"") </f>
        <v/>
      </c>
      <c r="M2411" s="39">
        <f>IFERROR(IF(OR(J2411=0,K2411=""),"",IF(E2411="Positivo",MAX(K2411/J2411,0),MAX(J2411/K2411,0))),"") </f>
        <v/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467-2025-12-31</t>
        </is>
      </c>
    </row>
    <row r="2412" hidden="1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08" t="n">
        <v>45473</v>
      </c>
      <c r="G2412" t="n">
        <v>2024</v>
      </c>
      <c r="H2412" t="inlineStr">
        <is>
          <t>Junio</t>
        </is>
      </c>
      <c r="I2412" t="inlineStr">
        <is>
          <t>2024-1</t>
        </is>
      </c>
      <c r="J2412" t="n">
        <v>3</v>
      </c>
      <c r="K2412" t="n">
        <v>2.85</v>
      </c>
      <c r="L2412" s="39">
        <f>IFERROR(IF(OR(J2412=0,K2412=""),"",IF(E2412="Positivo",MIN(MAX(K2412/J2412,0),1.3),MIN(MAX(J2412/K2412,0),1.3))),"") </f>
        <v/>
      </c>
      <c r="M2412" s="39">
        <f>IFERROR(IF(OR(J2412=0,K2412=""),"",IF(E2412="Positivo",MAX(K2412/J2412,0),MAX(J2412/K2412,0))),"") </f>
        <v/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468-2024-06-30</t>
        </is>
      </c>
    </row>
    <row r="2413" hidden="1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08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3</v>
      </c>
      <c r="K2413" t="n">
        <v>2.6</v>
      </c>
      <c r="L2413" s="39">
        <f>IFERROR(IF(OR(J2413=0,K2413=""),"",IF(E2413="Positivo",MIN(MAX(K2413/J2413,0),1.3),MIN(MAX(J2413/K2413,0),1.3))),"") </f>
        <v/>
      </c>
      <c r="M2413" s="39">
        <f>IFERROR(IF(OR(J2413=0,K2413=""),"",IF(E2413="Positivo",MAX(K2413/J2413,0),MAX(J2413/K2413,0))),"") </f>
        <v/>
      </c>
      <c r="N2413" t="inlineStr">
        <is>
          <t>ENT</t>
        </is>
      </c>
      <c r="O2413" t="inlineStr">
        <is>
          <t>DEC</t>
        </is>
      </c>
      <c r="P2413" t="n">
        <v>0</v>
      </c>
      <c r="Q2413" t="n">
        <v>1</v>
      </c>
      <c r="R2413" t="inlineStr">
        <is>
          <t>468-2024-12-31</t>
        </is>
      </c>
    </row>
    <row r="2414" hidden="1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Semestral</t>
        </is>
      </c>
      <c r="E2414" t="inlineStr">
        <is>
          <t>Negativo</t>
        </is>
      </c>
      <c r="F2414" s="108" t="n">
        <v>45838</v>
      </c>
      <c r="G2414" t="n">
        <v>2025</v>
      </c>
      <c r="H2414" t="inlineStr">
        <is>
          <t>Junio</t>
        </is>
      </c>
      <c r="I2414" t="inlineStr">
        <is>
          <t>2025-1</t>
        </is>
      </c>
      <c r="J2414" t="n">
        <v>2.5</v>
      </c>
      <c r="K2414" t="n">
        <v>2.4</v>
      </c>
      <c r="L2414" s="39">
        <f>IFERROR(IF(OR(J2414=0,K2414=""),"",IF(E2414="Positivo",MIN(MAX(K2414/J2414,0),1.3),MIN(MAX(J2414/K2414,0),1.3))),"") </f>
        <v/>
      </c>
      <c r="M2414" s="39">
        <f>IFERROR(IF(OR(J2414=0,K2414=""),"",IF(E2414="Positivo",MAX(K2414/J2414,0),MAX(J2414/K2414,0))),"") </f>
        <v/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468-2025-06-30</t>
        </is>
      </c>
    </row>
    <row r="2415" hidden="1">
      <c r="A2415" t="n">
        <v>468</v>
      </c>
      <c r="B2415" t="inlineStr">
        <is>
          <t>CES General</t>
        </is>
      </c>
      <c r="C2415" t="inlineStr">
        <is>
          <t>EXPERIENCIA INSTITUCIONAL</t>
        </is>
      </c>
      <c r="D2415" t="inlineStr">
        <is>
          <t>Trimestral</t>
        </is>
      </c>
      <c r="E2415" t="inlineStr">
        <is>
          <t>Negativo</t>
        </is>
      </c>
      <c r="F2415" s="108" t="n">
        <v>46022</v>
      </c>
      <c r="G2415" t="n">
        <v>2025</v>
      </c>
      <c r="H2415" t="inlineStr">
        <is>
          <t>Diciembre</t>
        </is>
      </c>
      <c r="I2415" t="inlineStr">
        <is>
          <t>2025-2</t>
        </is>
      </c>
      <c r="J2415" t="n">
        <v>2.5</v>
      </c>
      <c r="K2415" t="n">
        <v>2.1</v>
      </c>
      <c r="L2415" s="39">
        <f>IFERROR(IF(OR(J2415=0,K2415=""),"",IF(E2415="Positivo",MIN(MAX(K2415/J2415,0),1.3),MIN(MAX(J2415/K2415,0),1.3))),"") </f>
        <v/>
      </c>
      <c r="M2415" s="39">
        <f>IFERROR(IF(OR(J2415=0,K2415=""),"",IF(E2415="Positivo",MAX(K2415/J2415,0),MAX(J2415/K2415,0))),"") </f>
        <v/>
      </c>
      <c r="N2415" t="inlineStr">
        <is>
          <t>DEC</t>
        </is>
      </c>
      <c r="O2415" t="inlineStr">
        <is>
          <t>DEC</t>
        </is>
      </c>
      <c r="P2415" t="n">
        <v>1</v>
      </c>
      <c r="Q2415" t="n">
        <v>1</v>
      </c>
      <c r="R2415" t="inlineStr">
        <is>
          <t>468-2025-12-31</t>
        </is>
      </c>
    </row>
    <row r="2416" hidden="1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108" t="n">
        <v>45382</v>
      </c>
      <c r="G2416" t="n">
        <v>2024</v>
      </c>
      <c r="H2416" t="inlineStr">
        <is>
          <t>Marzo</t>
        </is>
      </c>
      <c r="I2416" t="inlineStr">
        <is>
          <t>2024-1</t>
        </is>
      </c>
      <c r="J2416" t="n">
        <v>100</v>
      </c>
      <c r="K2416" t="n">
        <v>195.07</v>
      </c>
      <c r="L2416" s="39">
        <f>IFERROR(IF(OR(J2416=0,K2416=""),"",IF(E2416="Positivo",MIN(MAX(K2416/J2416,0),1.3),MIN(MAX(J2416/K2416,0),1.3))),"") </f>
        <v/>
      </c>
      <c r="M2416" s="3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1</v>
      </c>
      <c r="Q2416" t="n">
        <v>1</v>
      </c>
      <c r="R2416" t="inlineStr">
        <is>
          <t>469-2024-03-31</t>
        </is>
      </c>
    </row>
    <row r="2417" hidden="1">
      <c r="A2417" t="n">
        <v>469</v>
      </c>
      <c r="B2417" t="inlineStr">
        <is>
          <t>Cumplimiento Plan Anual Áreas sede Medellín</t>
        </is>
      </c>
      <c r="C2417" t="inlineStr">
        <is>
          <t>Sede Medellín</t>
        </is>
      </c>
      <c r="D2417" t="inlineStr">
        <is>
          <t>Trimestral</t>
        </is>
      </c>
      <c r="E2417" t="inlineStr">
        <is>
          <t>Positivo</t>
        </is>
      </c>
      <c r="F2417" s="108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114.33</v>
      </c>
      <c r="L2417" s="39">
        <f>IFERROR(IF(OR(J2417=0,K2417=""),"",IF(E2417="Positivo",MIN(MAX(K2417/J2417,0),1.3),MIN(MAX(J2417/K2417,0),1.3))),"") </f>
        <v/>
      </c>
      <c r="M2417" s="3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469-2024-06-30</t>
        </is>
      </c>
    </row>
    <row r="2418" hidden="1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08" t="n">
        <v>45565</v>
      </c>
      <c r="G2418" t="n">
        <v>2024</v>
      </c>
      <c r="H2418" t="inlineStr">
        <is>
          <t>Septiembre</t>
        </is>
      </c>
      <c r="I2418" t="inlineStr">
        <is>
          <t>2024-2</t>
        </is>
      </c>
      <c r="J2418" t="n">
        <v>100</v>
      </c>
      <c r="K2418" t="n">
        <v>94.86</v>
      </c>
      <c r="L2418" s="39">
        <f>IFERROR(IF(OR(J2418=0,K2418=""),"",IF(E2418="Positivo",MIN(MAX(K2418/J2418,0),1.3),MIN(MAX(J2418/K2418,0),1.3))),"") </f>
        <v/>
      </c>
      <c r="M2418" s="3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469-2024-09-30</t>
        </is>
      </c>
    </row>
    <row r="2419" hidden="1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Trimestral</t>
        </is>
      </c>
      <c r="E2419" t="inlineStr">
        <is>
          <t>Positivo</t>
        </is>
      </c>
      <c r="F2419" s="108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99.7</v>
      </c>
      <c r="L2419" s="39">
        <f>IFERROR(IF(OR(J2419=0,K2419=""),"",IF(E2419="Positivo",MIN(MAX(K2419/J2419,0),1.3),MIN(MAX(J2419/K2419,0),1.3))),"") </f>
        <v/>
      </c>
      <c r="M2419" s="3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469-2024-12-31</t>
        </is>
      </c>
    </row>
    <row r="2420" hidden="1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08" t="n">
        <v>45747</v>
      </c>
      <c r="G2420" t="n">
        <v>2025</v>
      </c>
      <c r="H2420" t="inlineStr">
        <is>
          <t>Marzo</t>
        </is>
      </c>
      <c r="I2420" t="inlineStr">
        <is>
          <t>2025-1</t>
        </is>
      </c>
      <c r="J2420" t="n">
        <v>100</v>
      </c>
      <c r="K2420" t="n">
        <v>118.03</v>
      </c>
      <c r="L2420" s="39">
        <f>IFERROR(IF(OR(J2420=0,K2420=""),"",IF(E2420="Positivo",MIN(MAX(K2420/J2420,0),1.3),MIN(MAX(J2420/K2420,0),1.3))),"") </f>
        <v/>
      </c>
      <c r="M2420" s="39">
        <f>IFERROR(IF(OR(J2420=0,K2420=""),"",IF(E2420="Positivo",MAX(K2420/J2420,0),MAX(J2420/K2420,0))),"") </f>
        <v/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469-2025-03-31</t>
        </is>
      </c>
    </row>
    <row r="2421" hidden="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08" t="n">
        <v>45838</v>
      </c>
      <c r="G2421" t="n">
        <v>2025</v>
      </c>
      <c r="H2421" t="inlineStr">
        <is>
          <t>Junio</t>
        </is>
      </c>
      <c r="I2421" t="inlineStr">
        <is>
          <t>2025-1</t>
        </is>
      </c>
      <c r="J2421" t="n">
        <v>100</v>
      </c>
      <c r="K2421" t="n">
        <v>103.52</v>
      </c>
      <c r="L2421" s="39">
        <f>IFERROR(IF(OR(J2421=0,K2421=""),"",IF(E2421="Positivo",MIN(MAX(K2421/J2421,0),1.3),MIN(MAX(J2421/K2421,0),1.3))),"") </f>
        <v/>
      </c>
      <c r="M2421" s="39">
        <f>IFERROR(IF(OR(J2421=0,K2421=""),"",IF(E2421="Positivo",MAX(K2421/J2421,0),MAX(J2421/K2421,0))),"") </f>
        <v/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469-2025-06-30</t>
        </is>
      </c>
    </row>
    <row r="2422" hidden="1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08" t="n">
        <v>45930</v>
      </c>
      <c r="G2422" t="n">
        <v>2025</v>
      </c>
      <c r="H2422" t="inlineStr">
        <is>
          <t>Septiembre</t>
        </is>
      </c>
      <c r="I2422" t="inlineStr">
        <is>
          <t>2025-2</t>
        </is>
      </c>
      <c r="J2422" t="n">
        <v>100</v>
      </c>
      <c r="K2422" t="n">
        <v>92.65000000000001</v>
      </c>
      <c r="L2422" s="39">
        <f>IFERROR(IF(OR(J2422=0,K2422=""),"",IF(E2422="Positivo",MIN(MAX(K2422/J2422,0),1.3),MIN(MAX(J2422/K2422,0),1.3))),"") </f>
        <v/>
      </c>
      <c r="M2422" s="39">
        <f>IFERROR(IF(OR(J2422=0,K2422=""),"",IF(E2422="Positivo",MAX(K2422/J2422,0),MAX(J2422/K2422,0))),"") </f>
        <v/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469-2025-09-30</t>
        </is>
      </c>
    </row>
    <row r="2423" hidden="1">
      <c r="A2423" t="n">
        <v>469</v>
      </c>
      <c r="B2423" t="inlineStr">
        <is>
          <t>Cumplimiento Plan Anual Áreas sede Medellín</t>
        </is>
      </c>
      <c r="C2423" t="inlineStr">
        <is>
          <t>Planeación Estratégica</t>
        </is>
      </c>
      <c r="D2423" t="inlineStr">
        <is>
          <t>Semestral</t>
        </is>
      </c>
      <c r="E2423" t="inlineStr">
        <is>
          <t>Positivo</t>
        </is>
      </c>
      <c r="F2423" s="108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J2423" t="n">
        <v>100</v>
      </c>
      <c r="K2423" t="n">
        <v>99.13</v>
      </c>
      <c r="L2423" s="39">
        <f>IFERROR(IF(OR(J2423=0,K2423=""),"",IF(E2423="Positivo",MIN(MAX(K2423/J2423,0),1.3),MIN(MAX(J2423/K2423,0),1.3))),"") </f>
        <v/>
      </c>
      <c r="M2423" s="39">
        <f>IFERROR(IF(OR(J2423=0,K2423=""),"",IF(E2423="Positivo",MAX(K2423/J2423,0),MAX(J2423/K2423,0))),"") </f>
        <v/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469-2025-12-31</t>
        </is>
      </c>
    </row>
    <row r="2424" hidden="1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08" t="n">
        <v>45382</v>
      </c>
      <c r="G2424" t="n">
        <v>2024</v>
      </c>
      <c r="H2424" t="inlineStr">
        <is>
          <t>Marzo</t>
        </is>
      </c>
      <c r="I2424" t="inlineStr">
        <is>
          <t>2024-1</t>
        </is>
      </c>
      <c r="J2424" t="n">
        <v>100</v>
      </c>
      <c r="K2424" t="n">
        <v>79.59999999999999</v>
      </c>
      <c r="L2424" s="39">
        <f>IFERROR(IF(OR(J2424=0,K2424=""),"",IF(E2424="Positivo",MIN(MAX(K2424/J2424,0),1.3),MIN(MAX(J2424/K2424,0),1.3))),"") </f>
        <v/>
      </c>
      <c r="M2424" s="39">
        <f>IFERROR(IF(OR(J2424=0,K2424=""),"",IF(E2424="Positivo",MAX(K2424/J2424,0),MAX(J2424/K2424,0))),"") </f>
        <v/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470-2024-03-31</t>
        </is>
      </c>
    </row>
    <row r="2425" hidden="1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08" t="n">
        <v>45473</v>
      </c>
      <c r="G2425" t="n">
        <v>2024</v>
      </c>
      <c r="H2425" t="inlineStr">
        <is>
          <t>Junio</t>
        </is>
      </c>
      <c r="I2425" t="inlineStr">
        <is>
          <t>2024-1</t>
        </is>
      </c>
      <c r="J2425" t="n">
        <v>100</v>
      </c>
      <c r="K2425" t="n">
        <v>118.1</v>
      </c>
      <c r="L2425" s="39">
        <f>IFERROR(IF(OR(J2425=0,K2425=""),"",IF(E2425="Positivo",MIN(MAX(K2425/J2425,0),1.3),MIN(MAX(J2425/K2425,0),1.3))),"") </f>
        <v/>
      </c>
      <c r="M2425" s="39">
        <f>IFERROR(IF(OR(J2425=0,K2425=""),"",IF(E2425="Positivo",MAX(K2425/J2425,0),MAX(J2425/K2425,0))),"") </f>
        <v/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470-2024-06-30</t>
        </is>
      </c>
    </row>
    <row r="2426" hidden="1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08" t="n">
        <v>45565</v>
      </c>
      <c r="G2426" t="n">
        <v>2024</v>
      </c>
      <c r="H2426" t="inlineStr">
        <is>
          <t>Septiembre</t>
        </is>
      </c>
      <c r="I2426" t="inlineStr">
        <is>
          <t>2024-2</t>
        </is>
      </c>
      <c r="J2426" t="n">
        <v>100</v>
      </c>
      <c r="K2426" t="n">
        <v>104.86</v>
      </c>
      <c r="L2426" s="39">
        <f>IFERROR(IF(OR(J2426=0,K2426=""),"",IF(E2426="Positivo",MIN(MAX(K2426/J2426,0),1.3),MIN(MAX(J2426/K2426,0),1.3))),"") </f>
        <v/>
      </c>
      <c r="M2426" s="39">
        <f>IFERROR(IF(OR(J2426=0,K2426=""),"",IF(E2426="Positivo",MAX(K2426/J2426,0),MAX(J2426/K2426,0))),"") </f>
        <v/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470-2024-09-30</t>
        </is>
      </c>
    </row>
    <row r="2427" hidden="1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Trimestral</t>
        </is>
      </c>
      <c r="E2427" t="inlineStr">
        <is>
          <t>Positivo</t>
        </is>
      </c>
      <c r="F2427" s="108" t="n">
        <v>45657</v>
      </c>
      <c r="G2427" t="n">
        <v>2024</v>
      </c>
      <c r="H2427" t="inlineStr">
        <is>
          <t>Diciembre</t>
        </is>
      </c>
      <c r="I2427" t="inlineStr">
        <is>
          <t>2024-2</t>
        </is>
      </c>
      <c r="J2427" t="n">
        <v>100</v>
      </c>
      <c r="K2427" t="n">
        <v>100</v>
      </c>
      <c r="L2427" s="39">
        <f>IFERROR(IF(OR(J2427=0,K2427=""),"",IF(E2427="Positivo",MIN(MAX(K2427/J2427,0),1.3),MIN(MAX(J2427/K2427,0),1.3))),"") </f>
        <v/>
      </c>
      <c r="M2427" s="39">
        <f>IFERROR(IF(OR(J2427=0,K2427=""),"",IF(E2427="Positivo",MAX(K2427/J2427,0),MAX(J2427/K2427,0))),"") </f>
        <v/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470-2024-12-31</t>
        </is>
      </c>
    </row>
    <row r="2428" hidden="1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08" t="n">
        <v>45747</v>
      </c>
      <c r="G2428" t="n">
        <v>2025</v>
      </c>
      <c r="H2428" t="inlineStr">
        <is>
          <t>Marzo</t>
        </is>
      </c>
      <c r="I2428" t="inlineStr">
        <is>
          <t>2025-1</t>
        </is>
      </c>
      <c r="J2428" t="n">
        <v>100</v>
      </c>
      <c r="K2428" t="n">
        <v>352.81</v>
      </c>
      <c r="L2428" s="39">
        <f>IFERROR(IF(OR(J2428=0,K2428=""),"",IF(E2428="Positivo",MIN(MAX(K2428/J2428,0),1.3),MIN(MAX(J2428/K2428,0),1.3))),"") </f>
        <v/>
      </c>
      <c r="M2428" s="39">
        <f>IFERROR(IF(OR(J2428=0,K2428=""),"",IF(E2428="Positivo",MAX(K2428/J2428,0),MAX(J2428/K2428,0))),"") </f>
        <v/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470-2025-03-31</t>
        </is>
      </c>
    </row>
    <row r="2429" hidden="1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08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148.38</v>
      </c>
      <c r="L2429" s="39">
        <f>IFERROR(IF(OR(J2429=0,K2429=""),"",IF(E2429="Positivo",MIN(MAX(K2429/J2429,0),1.3),MIN(MAX(J2429/K2429,0),1.3))),"") </f>
        <v/>
      </c>
      <c r="M2429" s="39">
        <f>IFERROR(IF(OR(J2429=0,K2429=""),"",IF(E2429="Positivo",MAX(K2429/J2429,0),MAX(J2429/K2429,0))),"") </f>
        <v/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470-2025-06-30</t>
        </is>
      </c>
    </row>
    <row r="2430" hidden="1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08" t="n">
        <v>45930</v>
      </c>
      <c r="G2430" t="n">
        <v>2025</v>
      </c>
      <c r="H2430" t="inlineStr">
        <is>
          <t>Septiembre</t>
        </is>
      </c>
      <c r="I2430" t="inlineStr">
        <is>
          <t>2025-2</t>
        </is>
      </c>
      <c r="J2430" t="n">
        <v>100</v>
      </c>
      <c r="K2430" t="n">
        <v>105.6</v>
      </c>
      <c r="L2430" s="39">
        <f>IFERROR(IF(OR(J2430=0,K2430=""),"",IF(E2430="Positivo",MIN(MAX(K2430/J2430,0),1.3),MIN(MAX(J2430/K2430,0),1.3))),"") </f>
        <v/>
      </c>
      <c r="M2430" s="39">
        <f>IFERROR(IF(OR(J2430=0,K2430=""),"",IF(E2430="Positivo",MAX(K2430/J2430,0),MAX(J2430/K2430,0))),"") </f>
        <v/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470-2025-09-30</t>
        </is>
      </c>
    </row>
    <row r="2431" hidden="1">
      <c r="A2431" t="n">
        <v>470</v>
      </c>
      <c r="B2431" t="inlineStr">
        <is>
          <t>Cumplimiento plan anual Secretaria académica y de extensión</t>
        </is>
      </c>
      <c r="C2431" t="inlineStr">
        <is>
          <t>Planeación Estratégica</t>
        </is>
      </c>
      <c r="D2431" t="inlineStr">
        <is>
          <t>Semestral</t>
        </is>
      </c>
      <c r="E2431" t="inlineStr">
        <is>
          <t>Positivo</t>
        </is>
      </c>
      <c r="F2431" s="108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39">
        <f>IFERROR(IF(OR(J2431=0,K2431=""),"",IF(E2431="Positivo",MIN(MAX(K2431/J2431,0),1.3),MIN(MAX(J2431/K2431,0),1.3))),"") </f>
        <v/>
      </c>
      <c r="M2431" s="39">
        <f>IFERROR(IF(OR(J2431=0,K2431=""),"",IF(E2431="Positivo",MAX(K2431/J2431,0),MAX(J2431/K2431,0))),"") </f>
        <v/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470-2025-12-31</t>
        </is>
      </c>
    </row>
    <row r="2432" hidden="1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108" t="n">
        <v>45382</v>
      </c>
      <c r="G2432" t="n">
        <v>2024</v>
      </c>
      <c r="H2432" t="inlineStr">
        <is>
          <t>Marzo</t>
        </is>
      </c>
      <c r="I2432" t="inlineStr">
        <is>
          <t>2024-1</t>
        </is>
      </c>
      <c r="J2432" t="n">
        <v>100</v>
      </c>
      <c r="K2432" t="n">
        <v>108.48</v>
      </c>
      <c r="L2432" s="39">
        <f>IFERROR(IF(OR(J2432=0,K2432=""),"",IF(E2432="Positivo",MIN(MAX(K2432/J2432,0),1.3),MIN(MAX(J2432/K2432,0),1.3))),"") </f>
        <v/>
      </c>
      <c r="M2432" s="39">
        <f>IFERROR(IF(OR(J2432=0,K2432=""),"",IF(E2432="Positivo",MAX(K2432/J2432,0),MAX(J2432/K2432,0))),"") </f>
        <v/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471-2024-03-31</t>
        </is>
      </c>
    </row>
    <row r="2433" hidden="1">
      <c r="A2433" t="n">
        <v>471</v>
      </c>
      <c r="B2433" t="inlineStr">
        <is>
          <t>Cumplimiento plan anual Gerencia de Talento Humano</t>
        </is>
      </c>
      <c r="C2433" t="inlineStr">
        <is>
          <t>GESTIÓN Y DESARROLLO DEL TALENTO HUMANO</t>
        </is>
      </c>
      <c r="D2433" t="inlineStr">
        <is>
          <t>Trimestral</t>
        </is>
      </c>
      <c r="E2433" t="inlineStr">
        <is>
          <t>Positivo</t>
        </is>
      </c>
      <c r="F2433" s="108" t="n">
        <v>45473</v>
      </c>
      <c r="G2433" t="n">
        <v>2024</v>
      </c>
      <c r="H2433" t="inlineStr">
        <is>
          <t>Junio</t>
        </is>
      </c>
      <c r="I2433" t="inlineStr">
        <is>
          <t>2024-1</t>
        </is>
      </c>
      <c r="J2433" t="n">
        <v>100</v>
      </c>
      <c r="K2433" t="n">
        <v>105.56</v>
      </c>
      <c r="L2433" s="39">
        <f>IFERROR(IF(OR(J2433=0,K2433=""),"",IF(E2433="Positivo",MIN(MAX(K2433/J2433,0),1.3),MIN(MAX(J2433/K2433,0),1.3))),"") </f>
        <v/>
      </c>
      <c r="M2433" s="39">
        <f>IFERROR(IF(OR(J2433=0,K2433=""),"",IF(E2433="Positivo",MAX(K2433/J2433,0),MAX(J2433/K2433,0))),"") </f>
        <v/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471-2024-06-30</t>
        </is>
      </c>
    </row>
    <row r="2434" hidden="1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08" t="n">
        <v>45565</v>
      </c>
      <c r="G2434" t="n">
        <v>2024</v>
      </c>
      <c r="H2434" t="inlineStr">
        <is>
          <t>Septiembre</t>
        </is>
      </c>
      <c r="I2434" t="inlineStr">
        <is>
          <t>2024-2</t>
        </is>
      </c>
      <c r="J2434" t="n">
        <v>100</v>
      </c>
      <c r="K2434" t="n">
        <v>91.06999999999999</v>
      </c>
      <c r="L2434" s="39">
        <f>IFERROR(IF(OR(J2434=0,K2434=""),"",IF(E2434="Positivo",MIN(MAX(K2434/J2434,0),1.3),MIN(MAX(J2434/K2434,0),1.3))),"") </f>
        <v/>
      </c>
      <c r="M2434" s="39">
        <f>IFERROR(IF(OR(J2434=0,K2434=""),"",IF(E2434="Positivo",MAX(K2434/J2434,0),MAX(J2434/K2434,0))),"") </f>
        <v/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471-2024-09-30</t>
        </is>
      </c>
    </row>
    <row r="2435" hidden="1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Trimestral</t>
        </is>
      </c>
      <c r="E2435" t="inlineStr">
        <is>
          <t>Positivo</t>
        </is>
      </c>
      <c r="F2435" s="108" t="n">
        <v>45657</v>
      </c>
      <c r="G2435" t="n">
        <v>2024</v>
      </c>
      <c r="H2435" t="inlineStr">
        <is>
          <t>Diciembre</t>
        </is>
      </c>
      <c r="I2435" t="inlineStr">
        <is>
          <t>2024-2</t>
        </is>
      </c>
      <c r="J2435" t="n">
        <v>100</v>
      </c>
      <c r="K2435" t="n">
        <v>99</v>
      </c>
      <c r="L2435" s="39">
        <f>IFERROR(IF(OR(J2435=0,K2435=""),"",IF(E2435="Positivo",MIN(MAX(K2435/J2435,0),1.3),MIN(MAX(J2435/K2435,0),1.3))),"") </f>
        <v/>
      </c>
      <c r="M2435" s="39">
        <f>IFERROR(IF(OR(J2435=0,K2435=""),"",IF(E2435="Positivo",MAX(K2435/J2435,0),MAX(J2435/K2435,0))),"") </f>
        <v/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471-2024-12-31</t>
        </is>
      </c>
    </row>
    <row r="2436" hidden="1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08" t="n">
        <v>45747</v>
      </c>
      <c r="G2436" t="n">
        <v>2025</v>
      </c>
      <c r="H2436" t="inlineStr">
        <is>
          <t>Marzo</t>
        </is>
      </c>
      <c r="I2436" t="inlineStr">
        <is>
          <t>2025-1</t>
        </is>
      </c>
      <c r="J2436" t="n">
        <v>100</v>
      </c>
      <c r="K2436" t="n">
        <v>103.51</v>
      </c>
      <c r="L2436" s="39">
        <f>IFERROR(IF(OR(J2436=0,K2436=""),"",IF(E2436="Positivo",MIN(MAX(K2436/J2436,0),1.3),MIN(MAX(J2436/K2436,0),1.3))),"") </f>
        <v/>
      </c>
      <c r="M2436" s="39">
        <f>IFERROR(IF(OR(J2436=0,K2436=""),"",IF(E2436="Positivo",MAX(K2436/J2436,0),MAX(J2436/K2436,0))),"") </f>
        <v/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471-2025-03-31</t>
        </is>
      </c>
    </row>
    <row r="2437" hidden="1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8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J2437" t="n">
        <v>100</v>
      </c>
      <c r="K2437" t="n">
        <v>94.02</v>
      </c>
      <c r="L2437" s="39">
        <f>IFERROR(IF(OR(J2437=0,K2437=""),"",IF(E2437="Positivo",MIN(MAX(K2437/J2437,0),1.3),MIN(MAX(J2437/K2437,0),1.3))),"") </f>
        <v/>
      </c>
      <c r="M2437" s="39">
        <f>IFERROR(IF(OR(J2437=0,K2437=""),"",IF(E2437="Positivo",MAX(K2437/J2437,0),MAX(J2437/K2437,0))),"") </f>
        <v/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471-2025-06-30</t>
        </is>
      </c>
    </row>
    <row r="2438" hidden="1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8" t="n">
        <v>45930</v>
      </c>
      <c r="G2438" t="n">
        <v>2025</v>
      </c>
      <c r="H2438" t="inlineStr">
        <is>
          <t>Septiembre</t>
        </is>
      </c>
      <c r="I2438" t="inlineStr">
        <is>
          <t>2025-2</t>
        </is>
      </c>
      <c r="J2438" t="n">
        <v>100</v>
      </c>
      <c r="K2438" t="n">
        <v>98.93000000000001</v>
      </c>
      <c r="L2438" s="39">
        <f>IFERROR(IF(OR(J2438=0,K2438=""),"",IF(E2438="Positivo",MIN(MAX(K2438/J2438,0),1.3),MIN(MAX(J2438/K2438,0),1.3))),"") </f>
        <v/>
      </c>
      <c r="M2438" s="39">
        <f>IFERROR(IF(OR(J2438=0,K2438=""),"",IF(E2438="Positivo",MAX(K2438/J2438,0),MAX(J2438/K2438,0))),"") </f>
        <v/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471-2025-09-30</t>
        </is>
      </c>
    </row>
    <row r="2439" hidden="1">
      <c r="A2439" t="n">
        <v>471</v>
      </c>
      <c r="B2439" t="inlineStr">
        <is>
          <t>Cumplimiento plan anual Gerencia de Talento Humano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8" t="n">
        <v>46022</v>
      </c>
      <c r="G2439" t="n">
        <v>2025</v>
      </c>
      <c r="H2439" t="inlineStr">
        <is>
          <t>Diciembre</t>
        </is>
      </c>
      <c r="I2439" t="inlineStr">
        <is>
          <t>2025-2</t>
        </is>
      </c>
      <c r="J2439" t="n">
        <v>100</v>
      </c>
      <c r="K2439" t="n">
        <v>99.86</v>
      </c>
      <c r="L2439" s="39">
        <f>IFERROR(IF(OR(J2439=0,K2439=""),"",IF(E2439="Positivo",MIN(MAX(K2439/J2439,0),1.3),MIN(MAX(J2439/K2439,0),1.3))),"") </f>
        <v/>
      </c>
      <c r="M2439" s="39">
        <f>IFERROR(IF(OR(J2439=0,K2439=""),"",IF(E2439="Positivo",MAX(K2439/J2439,0),MAX(J2439/K2439,0))),"") </f>
        <v/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471-2025-12-31</t>
        </is>
      </c>
    </row>
    <row r="2440" hidden="1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08" t="n">
        <v>45473</v>
      </c>
      <c r="G2440" t="n">
        <v>2024</v>
      </c>
      <c r="H2440" t="inlineStr">
        <is>
          <t>Junio</t>
        </is>
      </c>
      <c r="I2440" t="inlineStr">
        <is>
          <t>2024-1</t>
        </is>
      </c>
      <c r="J2440" t="n">
        <v>100</v>
      </c>
      <c r="K2440" t="n">
        <v>82.09999999999999</v>
      </c>
      <c r="L2440" s="39">
        <f>IFERROR(IF(OR(J2440=0,K2440=""),"",IF(E2440="Positivo",MIN(MAX(K2440/J2440,0),1.3),MIN(MAX(J2440/K2440,0),1.3))),"") </f>
        <v/>
      </c>
      <c r="M2440" s="39">
        <f>IFERROR(IF(OR(J2440=0,K2440=""),"",IF(E2440="Positivo",MAX(K2440/J2440,0),MAX(J2440/K2440,0))),"") </f>
        <v/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472-2024-06-30</t>
        </is>
      </c>
    </row>
    <row r="2441" hidden="1">
      <c r="A2441" t="n">
        <v>472</v>
      </c>
      <c r="B2441" t="inlineStr">
        <is>
          <t>Cobertura de Recolección de Variables ADA (Arquitectura de datos para la analitica)</t>
        </is>
      </c>
      <c r="C2441" t="inlineStr">
        <is>
          <t>DATOS Y ANALÍTICA</t>
        </is>
      </c>
      <c r="D2441" t="inlineStr">
        <is>
          <t>Semestral</t>
        </is>
      </c>
      <c r="E2441" t="inlineStr">
        <is>
          <t>Positivo</t>
        </is>
      </c>
      <c r="F2441" s="108" t="n">
        <v>45657</v>
      </c>
      <c r="G2441" t="n">
        <v>2024</v>
      </c>
      <c r="H2441" t="inlineStr">
        <is>
          <t>Diciembre</t>
        </is>
      </c>
      <c r="I2441" t="inlineStr">
        <is>
          <t>2024-2</t>
        </is>
      </c>
      <c r="J2441" t="n">
        <v>100</v>
      </c>
      <c r="K2441" t="n">
        <v>100</v>
      </c>
      <c r="L2441" s="39">
        <f>IFERROR(IF(OR(J2441=0,K2441=""),"",IF(E2441="Positivo",MIN(MAX(K2441/J2441,0),1.3),MIN(MAX(J2441/K2441,0),1.3))),"") </f>
        <v/>
      </c>
      <c r="M2441" s="39">
        <f>IFERROR(IF(OR(J2441=0,K2441=""),"",IF(E2441="Positivo",MAX(K2441/J2441,0),MAX(J2441/K2441,0))),"") </f>
        <v/>
      </c>
      <c r="N2441" t="inlineStr">
        <is>
          <t>%</t>
        </is>
      </c>
      <c r="O2441" t="inlineStr">
        <is>
          <t>%</t>
        </is>
      </c>
      <c r="P2441" t="n">
        <v>0</v>
      </c>
      <c r="Q2441" t="n">
        <v>0</v>
      </c>
      <c r="R2441" t="inlineStr">
        <is>
          <t>472-2024-12-31</t>
        </is>
      </c>
    </row>
    <row r="2442" hidden="1">
      <c r="A2442" t="n">
        <v>473</v>
      </c>
      <c r="B2442" t="inlineStr">
        <is>
          <t>Programas con alineación curricular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08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>
        <f>IFERROR(IF(OR(J2442=0,K2442=""),"",IF(E2442="Positivo",MIN(MAX(K2442/J2442,0),1.0),MIN(MAX(J2442/K2442,0),1.0))),"") </f>
        <v/>
      </c>
      <c r="M2442" s="39">
        <f>IFERROR(IF(OR(J2442=0,K2442=""),"",IF(E2442="Positivo",MAX(K2442/J2442,0),MAX(J2442/K2442,0))),"") </f>
        <v/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473-2024-06-30</t>
        </is>
      </c>
    </row>
    <row r="2443" hidden="1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08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>
        <f>IFERROR(IF(OR(J2443=0,K2443=""),"",IF(E2443="Positivo",MIN(MAX(K2443/J2443,0),1.0),MIN(MAX(J2443/K2443,0),1.0))),"") </f>
        <v/>
      </c>
      <c r="M2443" s="39">
        <f>IFERROR(IF(OR(J2443=0,K2443=""),"",IF(E2443="Positivo",MAX(K2443/J2443,0),MAX(J2443/K2443,0))),"") </f>
        <v/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473-2024-12-31</t>
        </is>
      </c>
    </row>
    <row r="2444" hidden="1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Semestral</t>
        </is>
      </c>
      <c r="E2444" t="inlineStr">
        <is>
          <t>Positivo</t>
        </is>
      </c>
      <c r="F2444" s="108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K2444" t="n">
        <v>100</v>
      </c>
      <c r="L2444" s="39">
        <f>IFERROR(IF(OR(J2444=0,K2444=""),"",IF(E2444="Positivo",MIN(MAX(K2444/J2444,0),1.0),MIN(MAX(J2444/K2444,0),1.0))),"") </f>
        <v/>
      </c>
      <c r="M2444" s="39">
        <f>IFERROR(IF(OR(J2444=0,K2444=""),"",IF(E2444="Positivo",MAX(K2444/J2444,0),MAX(J2444/K2444,0))),"") </f>
        <v/>
      </c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473-2025-06-30</t>
        </is>
      </c>
    </row>
    <row r="2445" hidden="1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08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>
        <f>IFERROR(IF(OR(J2445=0,K2445=""),"",IF(E2445="Positivo",MIN(MAX(K2445/J2445,0),1.3),MIN(MAX(J2445/K2445,0),1.3))),"") </f>
        <v/>
      </c>
      <c r="M2445" s="39">
        <f>IFERROR(IF(OR(J2445=0,K2445=""),"",IF(E2445="Positivo",MAX(K2445/J2445,0),MAX(J2445/K2445,0))),"") </f>
        <v/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 hidden="1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08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>
        <f>IFERROR(IF(OR(J2446=0,K2446=""),"",IF(E2446="Positivo",MIN(MAX(K2446/J2446,0),1.3),MIN(MAX(J2446/K2446,0),1.3))),"") </f>
        <v/>
      </c>
      <c r="M2446" s="39">
        <f>IFERROR(IF(OR(J2446=0,K2446=""),"",IF(E2446="Positivo",MAX(K2446/J2446,0),MAX(J2446/K2446,0))),"") </f>
        <v/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 hidden="1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08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39" t="n"/>
      <c r="M2447" s="3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 hidden="1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08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39" t="n"/>
      <c r="M2448" s="3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 hidden="1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08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L2449" s="39" t="n"/>
      <c r="M2449" s="39" t="n"/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 hidden="1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08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39">
        <f>IFERROR(IF(OR(J2450=0,K2450=""),"",IF(E2450="Positivo",MIN(MAX(K2450/J2450,0),1.3),MIN(MAX(J2450/K2450,0),1.3))),"") </f>
        <v/>
      </c>
      <c r="M2450" s="39">
        <f>IFERROR(IF(OR(J2450=0,K2450=""),"",IF(E2450="Positivo",MAX(K2450/J2450,0),MAX(J2450/K2450,0))),"") </f>
        <v/>
      </c>
      <c r="P2450" t="n">
        <v>0</v>
      </c>
      <c r="Q2450" t="n">
        <v>0</v>
      </c>
      <c r="R2450" t="inlineStr">
        <is>
          <t>475-2024-12-31</t>
        </is>
      </c>
    </row>
    <row r="2451" hidden="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08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L2451" s="39" t="n"/>
      <c r="M2451" s="39" t="n"/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  <c r="S2451" t="inlineStr">
        <is>
          <t>No Aplica</t>
        </is>
      </c>
    </row>
    <row r="2452" hidden="1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08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39">
        <f>IFERROR(IF(OR(J2452=0,K2452=""),"",IF(E2452="Positivo",MIN(MAX(K2452/J2452,0),1.3),MIN(MAX(J2452/K2452,0),1.3))),"") </f>
        <v/>
      </c>
      <c r="M2452" s="39">
        <f>IFERROR(IF(OR(J2452=0,K2452=""),"",IF(E2452="Positivo",MAX(K2452/J2452,0),MAX(J2452/K2452,0))),"") </f>
        <v/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 hidden="1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08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39">
        <f>IFERROR(IF(OR(J2453=0,K2453=""),"",IF(E2453="Positivo",MIN(MAX(K2453/J2453,0),1.3),MIN(MAX(J2453/K2453,0),1.3))),"") </f>
        <v/>
      </c>
      <c r="M2453" s="39">
        <f>IFERROR(IF(OR(J2453=0,K2453=""),"",IF(E2453="Positivo",MAX(K2453/J2453,0),MAX(J2453/K2453,0))),"") </f>
        <v/>
      </c>
      <c r="P2453" t="n">
        <v>0</v>
      </c>
      <c r="Q2453" t="n">
        <v>0</v>
      </c>
      <c r="R2453" t="inlineStr">
        <is>
          <t>476-2024-06-30</t>
        </is>
      </c>
    </row>
    <row r="2454" hidden="1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08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39">
        <f>IFERROR(IF(OR(J2454=0,K2454=""),"",IF(E2454="Positivo",MIN(MAX(K2454/J2454,0),1.3),MIN(MAX(J2454/K2454,0),1.3))),"") </f>
        <v/>
      </c>
      <c r="M2454" s="39">
        <f>IFERROR(IF(OR(J2454=0,K2454=""),"",IF(E2454="Positivo",MAX(K2454/J2454,0),MAX(J2454/K2454,0))),"") </f>
        <v/>
      </c>
      <c r="P2454" t="n">
        <v>0</v>
      </c>
      <c r="Q2454" t="n">
        <v>0</v>
      </c>
      <c r="R2454" t="inlineStr">
        <is>
          <t>476-2024-12-31</t>
        </is>
      </c>
    </row>
    <row r="2455" hidden="1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08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39">
        <f>IFERROR(IF(OR(J2455=0,K2455=""),"",IF(E2455="Positivo",MIN(MAX(K2455/J2455,0),1.3),MIN(MAX(J2455/K2455,0),1.3))),"") </f>
        <v/>
      </c>
      <c r="M2455" s="39">
        <f>IFERROR(IF(OR(J2455=0,K2455=""),"",IF(E2455="Positivo",MAX(K2455/J2455,0),MAX(J2455/K2455,0))),"") </f>
        <v/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 hidden="1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08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39">
        <f>IFERROR(IF(OR(J2456=0,K2456=""),"",IF(E2456="Positivo",MIN(MAX(K2456/J2456,0),1.3),MIN(MAX(J2456/K2456,0),1.3))),"") </f>
        <v/>
      </c>
      <c r="M2456" s="39">
        <f>IFERROR(IF(OR(J2456=0,K2456=""),"",IF(E2456="Positivo",MAX(K2456/J2456,0),MAX(J2456/K2456,0))),"") </f>
        <v/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 hidden="1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08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39">
        <f>IFERROR(IF(OR(J2457=0,K2457=""),"",IF(E2457="Positivo",MIN(MAX(K2457/J2457,0),1.3),MIN(MAX(J2457/K2457,0),1.3))),"") </f>
        <v/>
      </c>
      <c r="M2457" s="39">
        <f>IFERROR(IF(OR(J2457=0,K2457=""),"",IF(E2457="Positivo",MAX(K2457/J2457,0),MAX(J2457/K2457,0))),"") </f>
        <v/>
      </c>
      <c r="P2457" t="n">
        <v>0</v>
      </c>
      <c r="Q2457" t="n">
        <v>0</v>
      </c>
      <c r="R2457" t="inlineStr">
        <is>
          <t>477-2024-06-30</t>
        </is>
      </c>
    </row>
    <row r="2458" hidden="1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08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9">
        <f>IFERROR(IF(OR(J2458=0,K2458=""),"",IF(E2458="Positivo",MIN(MAX(K2458/J2458,0),1.3),MIN(MAX(J2458/K2458,0),1.3))),"") </f>
        <v/>
      </c>
      <c r="M2458" s="39">
        <f>IFERROR(IF(OR(J2458=0,K2458=""),"",IF(E2458="Positivo",MAX(K2458/J2458,0),MAX(J2458/K2458,0))),"") </f>
        <v/>
      </c>
      <c r="P2458" t="n">
        <v>0</v>
      </c>
      <c r="Q2458" t="n">
        <v>0</v>
      </c>
      <c r="R2458" t="inlineStr">
        <is>
          <t>477-2024-12-31</t>
        </is>
      </c>
    </row>
    <row r="2459" hidden="1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08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39" t="n"/>
      <c r="M2459" s="3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 hidden="1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08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39" t="n"/>
      <c r="M2460" s="3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 hidden="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08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39">
        <f>IFERROR(IF(OR(J2461=0,K2461=""),"",IF(E2461="Positivo",MIN(MAX(K2461/J2461,0),1.3),MIN(MAX(J2461/K2461,0),1.3))),"") </f>
        <v/>
      </c>
      <c r="M2461" s="39">
        <f>IFERROR(IF(OR(J2461=0,K2461=""),"",IF(E2461="Positivo",MAX(K2461/J2461,0),MAX(J2461/K2461,0))),"") </f>
        <v/>
      </c>
      <c r="P2461" t="n">
        <v>0</v>
      </c>
      <c r="Q2461" t="n">
        <v>0</v>
      </c>
      <c r="R2461" t="inlineStr">
        <is>
          <t>478-2024-12-31</t>
        </is>
      </c>
    </row>
    <row r="2462" hidden="1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08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39" t="n"/>
      <c r="M2462" s="3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 hidden="1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08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39" t="n"/>
      <c r="M2463" s="3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 hidden="1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08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9">
        <f>IFERROR(IF(OR(J2464=0,K2464=""),"",IF(E2464="Positivo",MIN(MAX(K2464/J2464,0),1.3),MIN(MAX(J2464/K2464,0),1.3))),"") </f>
        <v/>
      </c>
      <c r="M2464" s="39">
        <f>IFERROR(IF(OR(J2464=0,K2464=""),"",IF(E2464="Positivo",MAX(K2464/J2464,0),MAX(J2464/K2464,0))),"") </f>
        <v/>
      </c>
      <c r="P2464" t="n">
        <v>0</v>
      </c>
      <c r="Q2464" t="n">
        <v>0</v>
      </c>
      <c r="R2464" t="inlineStr">
        <is>
          <t>479-2024-06-30</t>
        </is>
      </c>
    </row>
    <row r="2465" hidden="1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08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9">
        <f>IFERROR(IF(OR(J2465=0,K2465=""),"",IF(E2465="Positivo",MIN(MAX(K2465/J2465,0),1.3),MIN(MAX(J2465/K2465,0),1.3))),"") </f>
        <v/>
      </c>
      <c r="M2465" s="39">
        <f>IFERROR(IF(OR(J2465=0,K2465=""),"",IF(E2465="Positivo",MAX(K2465/J2465,0),MAX(J2465/K2465,0))),"") </f>
        <v/>
      </c>
      <c r="P2465" t="n">
        <v>0</v>
      </c>
      <c r="Q2465" t="n">
        <v>0</v>
      </c>
      <c r="R2465" t="inlineStr">
        <is>
          <t>479-2024-12-31</t>
        </is>
      </c>
    </row>
    <row r="2466" hidden="1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08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9" t="n"/>
      <c r="M2466" s="3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 hidden="1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08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9">
        <f>IFERROR(IF(OR(J2467=0,K2467=""),"",IF(E2467="Positivo",MIN(MAX(K2467/J2467,0),1.3),MIN(MAX(J2467/K2467,0),1.3))),"") </f>
        <v/>
      </c>
      <c r="M2467" s="3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480-2024-06-30</t>
        </is>
      </c>
    </row>
    <row r="2468" hidden="1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08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39">
        <f>IFERROR(IF(OR(J2468=0,K2468=""),"",IF(E2468="Positivo",MIN(MAX(K2468/J2468,0),1.3),MIN(MAX(J2468/K2468,0),1.3))),"") </f>
        <v/>
      </c>
      <c r="M2468" s="3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480-2024-12-31</t>
        </is>
      </c>
    </row>
    <row r="2469" hidden="1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08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39" t="n"/>
      <c r="M2469" s="3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 hidden="1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08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39">
        <f>IFERROR(IF(OR(J2470=0,K2470=""),"",IF(E2470="Positivo",MIN(MAX(K2470/J2470,0),1.3),MIN(MAX(J2470/K2470,0),1.3))),"") </f>
        <v/>
      </c>
      <c r="M2470" s="3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481-2024-06-30</t>
        </is>
      </c>
    </row>
    <row r="2471" hidden="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08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39" t="n"/>
      <c r="M2471" s="3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 hidden="1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08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39">
        <f>IFERROR(IF(OR(J2472=0,K2472=""),"",IF(E2472="Positivo",MIN(MAX(K2472/J2472,0),1.3),MIN(MAX(J2472/K2472,0),1.3))),"") </f>
        <v/>
      </c>
      <c r="M2472" s="39">
        <f>IFERROR(IF(OR(J2472=0,K2472=""),"",IF(E2472="Positivo",MAX(K2472/J2472,0),MAX(J2472/K2472,0))),"") </f>
        <v/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 hidden="1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08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39" t="n"/>
      <c r="M2473" s="3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 hidden="1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08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39">
        <f>IFERROR(IF(OR(J2474=0,K2474=""),"",IF(E2474="Positivo",MIN(MAX(K2474/J2474,0),1.3),MIN(MAX(J2474/K2474,0),1.3))),"") </f>
        <v/>
      </c>
      <c r="M2474" s="3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483-2024-12-31</t>
        </is>
      </c>
    </row>
    <row r="2475" hidden="1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08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39">
        <f>IFERROR(IF(OR(J2475=0,K2475=""),"",IF(E2475="Positivo",MIN(MAX(K2475/J2475,0),1.3),MIN(MAX(J2475/K2475,0),1.3))),"") </f>
        <v/>
      </c>
      <c r="M2475" s="39">
        <f>IFERROR(IF(OR(J2475=0,K2475=""),"",IF(E2475="Positivo",MAX(K2475/J2475,0),MAX(J2475/K2475,0))),"") </f>
        <v/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 hidden="1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08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39">
        <f>IFERROR(IF(OR(J2476=0,K2476=""),"",IF(E2476="Positivo",MIN(MAX(K2476/J2476,0),1.3),MIN(MAX(J2476/K2476,0),1.3))),"") </f>
        <v/>
      </c>
      <c r="M2476" s="39">
        <f>IFERROR(IF(OR(J2476=0,K2476=""),"",IF(E2476="Positivo",MAX(K2476/J2476,0),MAX(J2476/K2476,0))),"") </f>
        <v/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 hidden="1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08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39">
        <f>IFERROR(IF(OR(J2477=0,K2477=""),"",IF(E2477="Positivo",MIN(MAX(K2477/J2477,0),1.3),MIN(MAX(J2477/K2477,0),1.3))),"") </f>
        <v/>
      </c>
      <c r="M2477" s="39">
        <f>IFERROR(IF(OR(J2477=0,K2477=""),"",IF(E2477="Positivo",MAX(K2477/J2477,0),MAX(J2477/K2477,0))),"") </f>
        <v/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 hidden="1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08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39">
        <f>IFERROR(IF(OR(J2478=0,K2478=""),"",IF(E2478="Positivo",MIN(MAX(K2478/J2478,0),1.3),MIN(MAX(J2478/K2478,0),1.3))),"") </f>
        <v/>
      </c>
      <c r="M2478" s="3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 hidden="1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08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39">
        <f>IFERROR(IF(OR(J2479=0,K2479=""),"",IF(E2479="Positivo",MIN(MAX(K2479/J2479,0),1.3),MIN(MAX(J2479/K2479,0),1.3))),"") </f>
        <v/>
      </c>
      <c r="M2479" s="3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 hidden="1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08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39">
        <f>IFERROR(IF(OR(J2480=0,K2480=""),"",IF(E2480="Positivo",MIN(MAX(K2480/J2480,0),1.3),MIN(MAX(J2480/K2480,0),1.3))),"") </f>
        <v/>
      </c>
      <c r="M2480" s="3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 hidden="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08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39">
        <f>IFERROR(IF(OR(J2481=0,K2481=""),"",IF(E2481="Positivo",MIN(MAX(K2481/J2481,0),1.3),MIN(MAX(J2481/K2481,0),1.3))),"") </f>
        <v/>
      </c>
      <c r="M2481" s="3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08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 hidden="1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08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39" t="n"/>
      <c r="M2483" s="3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 hidden="1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08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39" t="n"/>
      <c r="M2484" s="3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 hidden="1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08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39" t="n"/>
      <c r="M2485" s="3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 hidden="1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08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39" t="n"/>
      <c r="M2486" s="3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 hidden="1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08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39" t="n"/>
      <c r="M2487" s="3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 hidden="1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08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39" t="n"/>
      <c r="M2488" s="3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 hidden="1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08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39">
        <f>IFERROR(IF(OR(J2489=0,K2489=""),"",IF(E2489="Positivo",MIN(MAX(K2489/J2489,0),1.3),MIN(MAX(J2489/K2489,0),1.3))),"") </f>
        <v/>
      </c>
      <c r="M2489" s="39">
        <f>IFERROR(IF(OR(J2489=0,K2489=""),"",IF(E2489="Positivo",MAX(K2489/J2489,0),MAX(J2489/K2489,0))),"") </f>
        <v/>
      </c>
      <c r="P2489" t="n">
        <v>0</v>
      </c>
      <c r="Q2489" t="n">
        <v>0</v>
      </c>
      <c r="R2489" t="inlineStr">
        <is>
          <t>485-2024-09-30</t>
        </is>
      </c>
    </row>
    <row r="2490" hidden="1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08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39">
        <f>IFERROR(IF(OR(J2490=0,K2490=""),"",IF(E2490="Positivo",MIN(MAX(K2490/J2490,0),1.3),MIN(MAX(J2490/K2490,0),1.3))),"") </f>
        <v/>
      </c>
      <c r="M2490" s="39">
        <f>IFERROR(IF(OR(J2490=0,K2490=""),"",IF(E2490="Positivo",MAX(K2490/J2490,0),MAX(J2490/K2490,0))),"") </f>
        <v/>
      </c>
      <c r="P2490" t="n">
        <v>0</v>
      </c>
      <c r="Q2490" t="n">
        <v>0</v>
      </c>
      <c r="R2490" t="inlineStr">
        <is>
          <t>485-2024-10-31</t>
        </is>
      </c>
    </row>
    <row r="2491" hidden="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08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39">
        <f>IFERROR(IF(OR(J2491=0,K2491=""),"",IF(E2491="Positivo",MIN(MAX(K2491/J2491,0),1.3),MIN(MAX(J2491/K2491,0),1.3))),"") </f>
        <v/>
      </c>
      <c r="M2491" s="39">
        <f>IFERROR(IF(OR(J2491=0,K2491=""),"",IF(E2491="Positivo",MAX(K2491/J2491,0),MAX(J2491/K2491,0))),"") </f>
        <v/>
      </c>
      <c r="P2491" t="n">
        <v>0</v>
      </c>
      <c r="Q2491" t="n">
        <v>0</v>
      </c>
      <c r="R2491" t="inlineStr">
        <is>
          <t>485-2024-11-30</t>
        </is>
      </c>
    </row>
    <row r="2492" hidden="1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08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39">
        <f>IFERROR(IF(OR(J2492=0,K2492=""),"",IF(E2492="Positivo",MIN(MAX(K2492/J2492,0),1.3),MIN(MAX(J2492/K2492,0),1.3))),"") </f>
        <v/>
      </c>
      <c r="M2492" s="39">
        <f>IFERROR(IF(OR(J2492=0,K2492=""),"",IF(E2492="Positivo",MAX(K2492/J2492,0),MAX(J2492/K2492,0))),"") </f>
        <v/>
      </c>
      <c r="P2492" t="n">
        <v>0</v>
      </c>
      <c r="Q2492" t="n">
        <v>0</v>
      </c>
      <c r="R2492" t="inlineStr">
        <is>
          <t>485-2024-12-31</t>
        </is>
      </c>
    </row>
    <row r="2493" hidden="1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08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39">
        <f>IFERROR(IF(OR(J2493=0,K2493=""),"",IF(E2493="Positivo",MIN(MAX(K2493/J2493,0),1.3),MIN(MAX(J2493/K2493,0),1.3))),"") </f>
        <v/>
      </c>
      <c r="M2493" s="39">
        <f>IFERROR(IF(OR(J2493=0,K2493=""),"",IF(E2493="Positivo",MAX(K2493/J2493,0),MAX(J2493/K2493,0))),"") </f>
        <v/>
      </c>
      <c r="P2493" t="n">
        <v>0</v>
      </c>
      <c r="Q2493" t="n">
        <v>0</v>
      </c>
      <c r="R2493" t="inlineStr">
        <is>
          <t>485-2025-01-31</t>
        </is>
      </c>
    </row>
    <row r="2494" hidden="1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08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39">
        <f>IFERROR(IF(OR(J2494=0,K2494=""),"",IF(E2494="Positivo",MIN(MAX(K2494/J2494,0),1.3),MIN(MAX(J2494/K2494,0),1.3))),"") </f>
        <v/>
      </c>
      <c r="M2494" s="39">
        <f>IFERROR(IF(OR(J2494=0,K2494=""),"",IF(E2494="Positivo",MAX(K2494/J2494,0),MAX(J2494/K2494,0))),"") </f>
        <v/>
      </c>
      <c r="P2494" t="n">
        <v>0</v>
      </c>
      <c r="Q2494" t="n">
        <v>0</v>
      </c>
      <c r="R2494" t="inlineStr">
        <is>
          <t>485-2025-02-28</t>
        </is>
      </c>
    </row>
    <row r="2495" hidden="1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08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39">
        <f>IFERROR(IF(OR(J2495=0,K2495=""),"",IF(E2495="Positivo",MIN(MAX(K2495/J2495,0),1.3),MIN(MAX(J2495/K2495,0),1.3))),"") </f>
        <v/>
      </c>
      <c r="M2495" s="39">
        <f>IFERROR(IF(OR(J2495=0,K2495=""),"",IF(E2495="Positivo",MAX(K2495/J2495,0),MAX(J2495/K2495,0))),"") </f>
        <v/>
      </c>
      <c r="P2495" t="n">
        <v>0</v>
      </c>
      <c r="Q2495" t="n">
        <v>0</v>
      </c>
      <c r="R2495" t="inlineStr">
        <is>
          <t>485-2025-03-31</t>
        </is>
      </c>
    </row>
    <row r="2496" hidden="1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08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39">
        <f>IFERROR(IF(OR(J2496=0,K2496=""),"",IF(E2496="Positivo",MIN(MAX(K2496/J2496,0),1.3),MIN(MAX(J2496/K2496,0),1.3))),"") </f>
        <v/>
      </c>
      <c r="M2496" s="39">
        <f>IFERROR(IF(OR(J2496=0,K2496=""),"",IF(E2496="Positivo",MAX(K2496/J2496,0),MAX(J2496/K2496,0))),"") </f>
        <v/>
      </c>
      <c r="P2496" t="n">
        <v>0</v>
      </c>
      <c r="Q2496" t="n">
        <v>0</v>
      </c>
      <c r="R2496" t="inlineStr">
        <is>
          <t>485-2025-04-30</t>
        </is>
      </c>
    </row>
    <row r="2497" hidden="1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08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39">
        <f>IFERROR(IF(OR(J2497=0,K2497=""),"",IF(E2497="Positivo",MIN(MAX(K2497/J2497,0),1.3),MIN(MAX(J2497/K2497,0),1.3))),"") </f>
        <v/>
      </c>
      <c r="M2497" s="39">
        <f>IFERROR(IF(OR(J2497=0,K2497=""),"",IF(E2497="Positivo",MAX(K2497/J2497,0),MAX(J2497/K2497,0))),"") </f>
        <v/>
      </c>
      <c r="P2497" t="n">
        <v>0</v>
      </c>
      <c r="Q2497" t="n">
        <v>0</v>
      </c>
      <c r="R2497" t="inlineStr">
        <is>
          <t>485-2025-05-31</t>
        </is>
      </c>
    </row>
    <row r="2498" hidden="1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08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39">
        <f>IFERROR(IF(OR(J2498=0,K2498=""),"",IF(E2498="Positivo",MIN(MAX(K2498/J2498,0),1.3),MIN(MAX(J2498/K2498,0),1.3))),"") </f>
        <v/>
      </c>
      <c r="M2498" s="39">
        <f>IFERROR(IF(OR(J2498=0,K2498=""),"",IF(E2498="Positivo",MAX(K2498/J2498,0),MAX(J2498/K2498,0))),"") </f>
        <v/>
      </c>
      <c r="P2498" t="n">
        <v>0</v>
      </c>
      <c r="Q2498" t="n">
        <v>0</v>
      </c>
      <c r="R2498" t="inlineStr">
        <is>
          <t>485-2025-06-30</t>
        </is>
      </c>
    </row>
    <row r="2499" hidden="1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08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39">
        <f>IFERROR(IF(OR(J2499=0,K2499=""),"",IF(E2499="Positivo",MIN(MAX(K2499/J2499,0),1.3),MIN(MAX(J2499/K2499,0),1.3))),"") </f>
        <v/>
      </c>
      <c r="M2499" s="39">
        <f>IFERROR(IF(OR(J2499=0,K2499=""),"",IF(E2499="Positivo",MAX(K2499/J2499,0),MAX(J2499/K2499,0))),"") </f>
        <v/>
      </c>
      <c r="P2499" t="n">
        <v>0</v>
      </c>
      <c r="Q2499" t="n">
        <v>0</v>
      </c>
      <c r="R2499" t="inlineStr">
        <is>
          <t>485-2025-07-31</t>
        </is>
      </c>
    </row>
    <row r="2500" hidden="1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08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50</v>
      </c>
      <c r="L2500" s="39">
        <f>IFERROR(IF(OR(J2500=0,K2500=""),"",IF(E2500="Positivo",MIN(MAX(K2500/J2500,0),1.3),MIN(MAX(J2500/K2500,0),1.3))),"") </f>
        <v/>
      </c>
      <c r="M2500" s="3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 hidden="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08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39">
        <f>IFERROR(IF(OR(J2501=0,K2501=""),"",IF(E2501="Positivo",MIN(MAX(K2501/J2501,0),1.3),MIN(MAX(J2501/K2501,0),1.3))),"") </f>
        <v/>
      </c>
      <c r="M2501" s="3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 hidden="1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08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39">
        <f>IFERROR(IF(OR(J2502=0,K2502=""),"",IF(E2502="Positivo",MIN(MAX(K2502/J2502,0),1.3),MIN(MAX(J2502/K2502,0),1.3))),"") </f>
        <v/>
      </c>
      <c r="M2502" s="3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 hidden="1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08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39">
        <f>IFERROR(IF(OR(J2503=0,K2503=""),"",IF(E2503="Positivo",MIN(MAX(K2503/J2503,0),1.3),MIN(MAX(J2503/K2503,0),1.3))),"") </f>
        <v/>
      </c>
      <c r="M2503" s="39">
        <f>IFERROR(IF(OR(J2503=0,K2503=""),"",IF(E2503="Positivo",MAX(K2503/J2503,0),MAX(J2503/K2503,0))),"") </f>
        <v/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 hidden="1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08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39" t="n"/>
      <c r="M2504" s="3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 hidden="1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08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39" t="n"/>
      <c r="M2505" s="3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 hidden="1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08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39" t="n"/>
      <c r="M2506" s="3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 hidden="1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08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39" t="n"/>
      <c r="M2507" s="3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 hidden="1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08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39" t="n"/>
      <c r="M2508" s="3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 hidden="1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08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39">
        <f>IFERROR(IF(OR(J2509=0,K2509=""),"",IF(E2509="Positivo",MIN(MAX(K2509/J2509,0),1.3),MIN(MAX(J2509/K2509,0),1.3))),"") </f>
        <v/>
      </c>
      <c r="M2509" s="39">
        <f>IFERROR(IF(OR(J2509=0,K2509=""),"",IF(E2509="Positivo",MAX(K2509/J2509,0),MAX(J2509/K2509,0))),"") </f>
        <v/>
      </c>
      <c r="P2509" t="n">
        <v>0</v>
      </c>
      <c r="Q2509" t="n">
        <v>0</v>
      </c>
      <c r="R2509" t="inlineStr">
        <is>
          <t>487-2024-12-31</t>
        </is>
      </c>
    </row>
    <row r="2510" hidden="1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08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39">
        <f>IFERROR(IF(OR(J2510=0,K2510=""),"",IF(E2510="Positivo",MIN(MAX(K2510/J2510,0),1.3),MIN(MAX(J2510/K2510,0),1.3))),"") </f>
        <v/>
      </c>
      <c r="M2510" s="3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08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39" t="n"/>
      <c r="M2511" s="3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08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39" t="n"/>
      <c r="M2512" s="3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 hidden="1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08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39" t="n"/>
      <c r="M2513" s="3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 hidden="1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08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39" t="n"/>
      <c r="M2514" s="3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 hidden="1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08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39" t="n"/>
      <c r="M2515" s="3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 hidden="1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08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39" t="n"/>
      <c r="M2516" s="3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 hidden="1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08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39" t="n"/>
      <c r="M2517" s="3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 hidden="1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08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39" t="n"/>
      <c r="M2518" s="3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 hidden="1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08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39" t="n"/>
      <c r="M2519" s="3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 hidden="1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08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39">
        <f>IFERROR(IF(OR(J2520=0,K2520=""),"",IF(E2520="Positivo",MIN(MAX(K2520/J2520,0),1.3),MIN(MAX(J2520/K2520,0),1.3))),"") </f>
        <v/>
      </c>
      <c r="M2520" s="3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 hidden="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08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39">
        <f>IFERROR(IF(OR(J2521=0,K2521=""),"",IF(E2521="Positivo",MIN(MAX(K2521/J2521,0),1.3),MIN(MAX(J2521/K2521,0),1.3))),"") </f>
        <v/>
      </c>
      <c r="M2521" s="3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 hidden="1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08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39">
        <f>IFERROR(IF(OR(J2522=0,K2522=""),"",IF(E2522="Positivo",MIN(MAX(K2522/J2522,0),1.3),MIN(MAX(J2522/K2522,0),1.3))),"") </f>
        <v/>
      </c>
      <c r="M2522" s="3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 hidden="1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08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39">
        <f>IFERROR(IF(OR(J2523=0,K2523=""),"",IF(E2523="Positivo",MIN(MAX(K2523/J2523,0),1.3),MIN(MAX(J2523/K2523,0),1.3))),"") </f>
        <v/>
      </c>
      <c r="M2523" s="3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 hidden="1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08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39">
        <f>IFERROR(IF(OR(J2524=0,K2524=""),"",IF(E2524="Positivo",MIN(MAX(K2524/J2524,0),1.3),MIN(MAX(J2524/K2524,0),1.3))),"") </f>
        <v/>
      </c>
      <c r="M2524" s="3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 hidden="1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08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39" t="n"/>
      <c r="M2525" s="3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 hidden="1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08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39">
        <f>IFERROR(IF(OR(J2526=0,K2526=""),"",IF(E2526="Positivo",MIN(MAX(K2526/J2526,0),1.3),MIN(MAX(J2526/K2526,0),1.3))),"") </f>
        <v/>
      </c>
      <c r="M2526" s="3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 hidden="1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08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39">
        <f>IFERROR(IF(OR(J2527=0,K2527=""),"",IF(E2527="Positivo",MIN(MAX(K2527/J2527,0),1.3),MIN(MAX(J2527/K2527,0),1.3))),"") </f>
        <v/>
      </c>
      <c r="M2527" s="3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 hidden="1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08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39">
        <f>IFERROR(IF(OR(J2528=0,K2528=""),"",IF(E2528="Positivo",MIN(MAX(K2528/J2528,0),1.3),MIN(MAX(J2528/K2528,0),1.3))),"") </f>
        <v/>
      </c>
      <c r="M2528" s="3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 hidden="1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08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39">
        <f>IFERROR(IF(OR(J2529=0,K2529=""),"",IF(E2529="Positivo",MIN(MAX(K2529/J2529,0),1.3),MIN(MAX(J2529/K2529,0),1.3))),"") </f>
        <v/>
      </c>
      <c r="M2529" s="3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 hidden="1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08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39">
        <f>IFERROR(IF(OR(J2530=0,K2530=""),"",IF(E2530="Positivo",MIN(MAX(K2530/J2530,0),1.3),MIN(MAX(J2530/K2530,0),1.3))),"") </f>
        <v/>
      </c>
      <c r="M2530" s="3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 hidden="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08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39">
        <f>IFERROR(IF(OR(J2531=0,K2531=""),"",IF(E2531="Positivo",MIN(MAX(K2531/J2531,0),1.3),MIN(MAX(J2531/K2531,0),1.3))),"") </f>
        <v/>
      </c>
      <c r="M2531" s="3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 hidden="1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08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39">
        <f>IFERROR(IF(OR(J2532=0,K2532=""),"",IF(E2532="Positivo",MIN(MAX(K2532/J2532,0),1.3),MIN(MAX(J2532/K2532,0),1.3))),"") </f>
        <v/>
      </c>
      <c r="M2532" s="3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 hidden="1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08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39">
        <f>IFERROR(IF(OR(J2533=0,K2533=""),"",IF(E2533="Positivo",MIN(MAX(K2533/J2533,0),1.3),MIN(MAX(J2533/K2533,0),1.3))),"") </f>
        <v/>
      </c>
      <c r="M2533" s="3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 hidden="1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08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39">
        <f>IFERROR(IF(OR(J2534=0,K2534=""),"",IF(E2534="Positivo",MIN(MAX(K2534/J2534,0),1.3),MIN(MAX(J2534/K2534,0),1.3))),"") </f>
        <v/>
      </c>
      <c r="M2534" s="3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 hidden="1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08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39" t="n"/>
      <c r="M2535" s="3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  <c r="S2535" t="inlineStr"/>
    </row>
    <row r="2536" hidden="1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08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39" t="n"/>
      <c r="M2536" s="3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  <c r="S2536" t="inlineStr"/>
    </row>
    <row r="2537" hidden="1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08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39">
        <f>IFERROR(IF(OR(J2537=0,K2537=""),"",IF(E2537="Positivo",MIN(MAX(K2537/J2537,0),1.3),MIN(MAX(J2537/K2537,0),1.3))),"") </f>
        <v/>
      </c>
      <c r="M2537" s="3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 hidden="1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08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39">
        <f>IFERROR(IF(OR(J2538=0,K2538=""),"",IF(E2538="Positivo",MIN(MAX(K2538/J2538,0),1.3),MIN(MAX(J2538/K2538,0),1.3))),"") </f>
        <v/>
      </c>
      <c r="M2538" s="3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 hidden="1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08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39">
        <f>IFERROR(IF(OR(J2539=0,K2539=""),"",IF(E2539="Positivo",MIN(MAX(K2539/J2539,0),1.3),MIN(MAX(J2539/K2539,0),1.3))),"") </f>
        <v/>
      </c>
      <c r="M2539" s="3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 hidden="1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08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39">
        <f>IFERROR(IF(OR(J2540=0,K2540=""),"",IF(E2540="Positivo",MIN(MAX(K2540/J2540,0),1.3),MIN(MAX(J2540/K2540,0),1.3))),"") </f>
        <v/>
      </c>
      <c r="M2540" s="3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 hidden="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08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39">
        <f>IFERROR(IF(OR(J2541=0,K2541=""),"",IF(E2541="Positivo",MIN(MAX(K2541/J2541,0),1.3),MIN(MAX(J2541/K2541,0),1.3))),"") </f>
        <v/>
      </c>
      <c r="M2541" s="3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 hidden="1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08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39">
        <f>IFERROR(IF(OR(J2542=0,K2542=""),"",IF(E2542="Positivo",MIN(MAX(K2542/J2542,0),1.3),MIN(MAX(J2542/K2542,0),1.3))),"") </f>
        <v/>
      </c>
      <c r="M2542" s="3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 hidden="1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08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39">
        <f>IFERROR(IF(OR(J2543=0,K2543=""),"",IF(E2543="Positivo",MIN(MAX(K2543/J2543,0),1.3),MIN(MAX(J2543/K2543,0),1.3))),"") </f>
        <v/>
      </c>
      <c r="M2543" s="3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 hidden="1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08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39">
        <f>IFERROR(IF(OR(J2544=0,K2544=""),"",IF(E2544="Positivo",MIN(MAX(K2544/J2544,0),1.3),MIN(MAX(J2544/K2544,0),1.3))),"") </f>
        <v/>
      </c>
      <c r="M2544" s="3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 hidden="1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08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39">
        <f>IFERROR(IF(OR(J2545=0,K2545=""),"",IF(E2545="Positivo",MIN(MAX(K2545/J2545,0),1.3),MIN(MAX(J2545/K2545,0),1.3))),"") </f>
        <v/>
      </c>
      <c r="M2545" s="3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 hidden="1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08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39">
        <f>IFERROR(IF(OR(J2546=0,K2546=""),"",IF(E2546="Positivo",MIN(MAX(K2546/J2546,0),1.3),MIN(MAX(J2546/K2546,0),1.3))),"") </f>
        <v/>
      </c>
      <c r="M2546" s="3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 hidden="1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08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39">
        <f>IFERROR(IF(OR(J2547=0,K2547=""),"",IF(E2547="Positivo",MIN(MAX(K2547/J2547,0),1.3),MIN(MAX(J2547/K2547,0),1.3))),"") </f>
        <v/>
      </c>
      <c r="M2547" s="3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 hidden="1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08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39">
        <f>IFERROR(IF(OR(J2548=0,K2548=""),"",IF(E2548="Positivo",MIN(MAX(K2548/J2548,0),1.3),MIN(MAX(J2548/K2548,0),1.3))),"") </f>
        <v/>
      </c>
      <c r="M2548" s="3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 hidden="1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08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39">
        <f>IFERROR(IF(OR(J2549=0,K2549=""),"",IF(E2549="Positivo",MIN(MAX(K2549/J2549,0),1.3),MIN(MAX(J2549/K2549,0),1.3))),"") </f>
        <v/>
      </c>
      <c r="M2549" s="3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 hidden="1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08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39">
        <f>IFERROR(IF(OR(J2550=0,K2550=""),"",IF(E2550="Positivo",MIN(MAX(K2550/J2550,0),1.3),MIN(MAX(J2550/K2550,0),1.3))),"") </f>
        <v/>
      </c>
      <c r="M2550" s="3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 hidden="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08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39">
        <f>IFERROR(IF(OR(J2551=0,K2551=""),"",IF(E2551="Positivo",MIN(MAX(K2551/J2551,0),1.3),MIN(MAX(J2551/K2551,0),1.3))),"") </f>
        <v/>
      </c>
      <c r="M2551" s="3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 hidden="1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08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39">
        <f>IFERROR(IF(OR(J2552=0,K2552=""),"",IF(E2552="Positivo",MIN(MAX(K2552/J2552,0),1.3),MIN(MAX(J2552/K2552,0),1.3))),"") </f>
        <v/>
      </c>
      <c r="M2552" s="3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 hidden="1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08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39">
        <f>IFERROR(IF(OR(J2553=0,K2553=""),"",IF(E2553="Positivo",MIN(MAX(K2553/J2553,0),1.3),MIN(MAX(J2553/K2553,0),1.3))),"") </f>
        <v/>
      </c>
      <c r="M2553" s="3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 hidden="1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08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39">
        <f>IFERROR(IF(OR(J2554=0,K2554=""),"",IF(E2554="Positivo",MIN(MAX(K2554/J2554,0),1.3),MIN(MAX(J2554/K2554,0),1.3))),"") </f>
        <v/>
      </c>
      <c r="M2554" s="3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 hidden="1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08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39">
        <f>IFERROR(IF(OR(J2555=0,K2555=""),"",IF(E2555="Positivo",MIN(MAX(K2555/J2555,0),1.3),MIN(MAX(J2555/K2555,0),1.3))),"") </f>
        <v/>
      </c>
      <c r="M2555" s="3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 hidden="1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08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39">
        <f>IFERROR(IF(OR(J2556=0,K2556=""),"",IF(E2556="Positivo",MIN(MAX(K2556/J2556,0),1.3),MIN(MAX(J2556/K2556,0),1.3))),"") </f>
        <v/>
      </c>
      <c r="M2556" s="3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 hidden="1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08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39">
        <f>IFERROR(IF(OR(J2557=0,K2557=""),"",IF(E2557="Positivo",MIN(MAX(K2557/J2557,0),1.3),MIN(MAX(J2557/K2557,0),1.3))),"") </f>
        <v/>
      </c>
      <c r="M2557" s="3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 hidden="1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08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L2558" s="39" t="n"/>
      <c r="M2558" s="39" t="n"/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  <c r="S2558" t="inlineStr">
        <is>
          <t>No Aplica</t>
        </is>
      </c>
    </row>
    <row r="2559" hidden="1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08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39">
        <f>IFERROR(IF(OR(J2559=0,K2559=""),"",IF(E2559="Positivo",MIN(MAX(K2559/J2559,0),1.3),MIN(MAX(J2559/K2559,0),1.3))),"") </f>
        <v/>
      </c>
      <c r="M2559" s="3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 hidden="1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08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39">
        <f>IFERROR(IF(OR(J2560=0,K2560=""),"",IF(E2560="Positivo",MIN(MAX(K2560/J2560,0),1.3),MIN(MAX(J2560/K2560,0),1.3))),"") </f>
        <v/>
      </c>
      <c r="M2560" s="3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 hidden="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08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39">
        <f>IFERROR(IF(OR(J2561=0,K2561=""),"",IF(E2561="Positivo",MIN(MAX(K2561/J2561,0),1.3),MIN(MAX(J2561/K2561,0),1.3))),"") </f>
        <v/>
      </c>
      <c r="M2561" s="3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 hidden="1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08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39">
        <f>IFERROR(IF(OR(J2562=0,K2562=""),"",IF(E2562="Positivo",MIN(MAX(K2562/J2562,0),1.3),MIN(MAX(J2562/K2562,0),1.3))),"") </f>
        <v/>
      </c>
      <c r="M2562" s="3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 hidden="1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08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39">
        <f>IFERROR(IF(OR(J2563=0,K2563=""),"",IF(E2563="Positivo",MIN(MAX(K2563/J2563,0),1.3),MIN(MAX(J2563/K2563,0),1.3))),"") </f>
        <v/>
      </c>
      <c r="M2563" s="3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 hidden="1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08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39">
        <f>IFERROR(IF(OR(J2564=0,K2564=""),"",IF(E2564="Positivo",MIN(MAX(K2564/J2564,0),1.3),MIN(MAX(J2564/K2564,0),1.3))),"") </f>
        <v/>
      </c>
      <c r="M2564" s="3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 hidden="1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08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39">
        <f>IFERROR(IF(OR(J2565=0,K2565=""),"",IF(E2565="Positivo",MIN(MAX(K2565/J2565,0),1.3),MIN(MAX(J2565/K2565,0),1.3))),"") </f>
        <v/>
      </c>
      <c r="M2565" s="3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 hidden="1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08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39">
        <f>IFERROR(IF(OR(J2566=0,K2566=""),"",IF(E2566="Positivo",MIN(MAX(K2566/J2566,0),1.3),MIN(MAX(J2566/K2566,0),1.3))),"") </f>
        <v/>
      </c>
      <c r="M2566" s="3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 hidden="1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08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39">
        <f>IFERROR(IF(OR(J2567=0,K2567=""),"",IF(E2567="Positivo",MIN(MAX(K2567/J2567,0),1.3),MIN(MAX(J2567/K2567,0),1.3))),"") </f>
        <v/>
      </c>
      <c r="M2567" s="39">
        <f>IFERROR(IF(OR(J2567=0,K2567=""),"",IF(E2567="Positivo",MAX(K2567/J2567,0),MAX(J2567/K2567,0))),"") </f>
        <v/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 hidden="1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08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39">
        <f>IFERROR(IF(OR(J2568=0,K2568=""),"",IF(E2568="Positivo",MIN(MAX(K2568/J2568,0),1.3),MIN(MAX(J2568/K2568,0),1.3))),"") </f>
        <v/>
      </c>
      <c r="M2568" s="39">
        <f>IFERROR(IF(OR(J2568=0,K2568=""),"",IF(E2568="Positivo",MAX(K2568/J2568,0),MAX(J2568/K2568,0))),"") </f>
        <v/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 hidden="1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08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39">
        <f>IFERROR(IF(OR(J2569=0,K2569=""),"",IF(E2569="Positivo",MIN(MAX(K2569/J2569,0),1.3),MIN(MAX(J2569/K2569,0),1.3))),"") </f>
        <v/>
      </c>
      <c r="M2569" s="39">
        <f>IFERROR(IF(OR(J2569=0,K2569=""),"",IF(E2569="Positivo",MAX(K2569/J2569,0),MAX(J2569/K2569,0))),"") </f>
        <v/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 hidden="1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08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39">
        <f>IFERROR(IF(OR(J2570=0,K2570=""),"",IF(E2570="Positivo",MIN(MAX(K2570/J2570,0),1.3),MIN(MAX(J2570/K2570,0),1.3))),"") </f>
        <v/>
      </c>
      <c r="M2570" s="39">
        <f>IFERROR(IF(OR(J2570=0,K2570=""),"",IF(E2570="Positivo",MAX(K2570/J2570,0),MAX(J2570/K2570,0))),"") </f>
        <v/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 hidden="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08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39">
        <f>IFERROR(IF(OR(J2571=0,K2571=""),"",IF(E2571="Positivo",MIN(MAX(K2571/J2571,0),1.3),MIN(MAX(J2571/K2571,0),1.3))),"") </f>
        <v/>
      </c>
      <c r="M2571" s="39">
        <f>IFERROR(IF(OR(J2571=0,K2571=""),"",IF(E2571="Positivo",MAX(K2571/J2571,0),MAX(J2571/K2571,0))),"") </f>
        <v/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 hidden="1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08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39">
        <f>IFERROR(IF(OR(J2572=0,K2572=""),"",IF(E2572="Positivo",MIN(MAX(K2572/J2572,0),1.3),MIN(MAX(J2572/K2572,0),1.3))),"") </f>
        <v/>
      </c>
      <c r="M2572" s="39">
        <f>IFERROR(IF(OR(J2572=0,K2572=""),"",IF(E2572="Positivo",MAX(K2572/J2572,0),MAX(J2572/K2572,0))),"") </f>
        <v/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 hidden="1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08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39">
        <f>IFERROR(IF(OR(J2573=0,K2573=""),"",IF(E2573="Positivo",MIN(MAX(K2573/J2573,0),1.3),MIN(MAX(J2573/K2573,0),1.3))),"") </f>
        <v/>
      </c>
      <c r="M2573" s="39">
        <f>IFERROR(IF(OR(J2573=0,K2573=""),"",IF(E2573="Positivo",MAX(K2573/J2573,0),MAX(J2573/K2573,0))),"") </f>
        <v/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 hidden="1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08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39">
        <f>IFERROR(IF(OR(J2574=0,K2574=""),"",IF(E2574="Positivo",MIN(MAX(K2574/J2574,0),1.3),MIN(MAX(J2574/K2574,0),1.3))),"") </f>
        <v/>
      </c>
      <c r="M2574" s="39">
        <f>IFERROR(IF(OR(J2574=0,K2574=""),"",IF(E2574="Positivo",MAX(K2574/J2574,0),MAX(J2574/K2574,0))),"") </f>
        <v/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 hidden="1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08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39">
        <f>IFERROR(IF(OR(J2575=0,K2575=""),"",IF(E2575="Positivo",MIN(MAX(K2575/J2575,0),1.3),MIN(MAX(J2575/K2575,0),1.3))),"") </f>
        <v/>
      </c>
      <c r="M2575" s="39">
        <f>IFERROR(IF(OR(J2575=0,K2575=""),"",IF(E2575="Positivo",MAX(K2575/J2575,0),MAX(J2575/K2575,0))),"") </f>
        <v/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 hidden="1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08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39">
        <f>IFERROR(IF(OR(J2576=0,K2576=""),"",IF(E2576="Positivo",MIN(MAX(K2576/J2576,0),1.3),MIN(MAX(J2576/K2576,0),1.3))),"") </f>
        <v/>
      </c>
      <c r="M2576" s="39">
        <f>IFERROR(IF(OR(J2576=0,K2576=""),"",IF(E2576="Positivo",MAX(K2576/J2576,0),MAX(J2576/K2576,0))),"") </f>
        <v/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 hidden="1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08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39">
        <f>IFERROR(IF(OR(J2577=0,K2577=""),"",IF(E2577="Positivo",MIN(MAX(K2577/J2577,0),1.3),MIN(MAX(J2577/K2577,0),1.3))),"") </f>
        <v/>
      </c>
      <c r="M2577" s="39">
        <f>IFERROR(IF(OR(J2577=0,K2577=""),"",IF(E2577="Positivo",MAX(K2577/J2577,0),MAX(J2577/K2577,0))),"") </f>
        <v/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 hidden="1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08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39">
        <f>IFERROR(IF(OR(J2578=0,K2578=""),"",IF(E2578="Positivo",MIN(MAX(K2578/J2578,0),1.3),MIN(MAX(J2578/K2578,0),1.3))),"") </f>
        <v/>
      </c>
      <c r="M2578" s="39">
        <f>IFERROR(IF(OR(J2578=0,K2578=""),"",IF(E2578="Positivo",MAX(K2578/J2578,0),MAX(J2578/K2578,0))),"") </f>
        <v/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 hidden="1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08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39">
        <f>IFERROR(IF(OR(J2579=0,K2579=""),"",IF(E2579="Positivo",MIN(MAX(K2579/J2579,0),1.3),MIN(MAX(J2579/K2579,0),1.3))),"") </f>
        <v/>
      </c>
      <c r="M2579" s="3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 hidden="1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08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39">
        <f>IFERROR(IF(OR(J2580=0,K2580=""),"",IF(E2580="Positivo",MIN(MAX(K2580/J2580,0),1.3),MIN(MAX(J2580/K2580,0),1.3))),"") </f>
        <v/>
      </c>
      <c r="M2580" s="3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 hidden="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8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39">
        <f>IFERROR(IF(OR(J2581=0,K2581=""),"",IF(E2581="Positivo",MIN(MAX(K2581/J2581,0),1.3),MIN(MAX(J2581/K2581,0),1.3))),"") </f>
        <v/>
      </c>
      <c r="M2581" s="3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 hidden="1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8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39">
        <f>IFERROR(IF(OR(J2582=0,K2582=""),"",IF(E2582="Positivo",MIN(MAX(K2582/J2582,0),1.3),MIN(MAX(J2582/K2582,0),1.3))),"") </f>
        <v/>
      </c>
      <c r="M2582" s="3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 hidden="1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8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39">
        <f>IFERROR(IF(OR(J2583=0,K2583=""),"",IF(E2583="Positivo",MIN(MAX(K2583/J2583,0),1.3),MIN(MAX(J2583/K2583,0),1.3))),"") </f>
        <v/>
      </c>
      <c r="M2583" s="3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 hidden="1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8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39">
        <f>IFERROR(IF(OR(J2584=0,K2584=""),"",IF(E2584="Positivo",MIN(MAX(K2584/J2584,0),1.3),MIN(MAX(J2584/K2584,0),1.3))),"") </f>
        <v/>
      </c>
      <c r="M2584" s="3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 hidden="1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8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39">
        <f>IFERROR(IF(OR(J2585=0,K2585=""),"",IF(E2585="Positivo",MIN(MAX(K2585/J2585,0),1.3),MIN(MAX(J2585/K2585,0),1.3))),"") </f>
        <v/>
      </c>
      <c r="M2585" s="3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 hidden="1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08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39">
        <f>IFERROR(IF(OR(J2586=0,K2586=""),"",IF(E2586="Positivo",MIN(MAX(K2586/J2586,0),1.3),MIN(MAX(J2586/K2586,0),1.3))),"") </f>
        <v/>
      </c>
      <c r="M2586" s="3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 hidden="1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08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39">
        <f>IFERROR(IF(OR(J2587=0,K2587=""),"",IF(E2587="Positivo",MIN(MAX(K2587/J2587,0),1.3),MIN(MAX(J2587/K2587,0),1.3))),"") </f>
        <v/>
      </c>
      <c r="M2587" s="3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 hidden="1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08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39">
        <f>IFERROR(IF(OR(J2588=0,K2588=""),"",IF(E2588="Positivo",MIN(MAX(K2588/J2588,0),1.3),MIN(MAX(J2588/K2588,0),1.3))),"") </f>
        <v/>
      </c>
      <c r="M2588" s="3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 hidden="1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08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39">
        <f>IFERROR(IF(OR(J2589=0,K2589=""),"",IF(E2589="Positivo",MIN(MAX(K2589/J2589,0),1.3),MIN(MAX(J2589/K2589,0),1.3))),"") </f>
        <v/>
      </c>
      <c r="M2589" s="3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 hidden="1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08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39">
        <f>IFERROR(IF(OR(J2590=0,K2590=""),"",IF(E2590="Positivo",MIN(MAX(K2590/J2590,0),1.3),MIN(MAX(J2590/K2590,0),1.3))),"") </f>
        <v/>
      </c>
      <c r="M2590" s="3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 hidden="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08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39" t="n"/>
      <c r="M2591" s="3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 hidden="1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08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39" t="n"/>
      <c r="M2592" s="3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 hidden="1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08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39" t="n"/>
      <c r="M2593" s="3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 hidden="1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08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39" t="n"/>
      <c r="M2594" s="3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 hidden="1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08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39" t="n"/>
      <c r="M2595" s="3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 hidden="1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08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39" t="n"/>
      <c r="M2596" s="3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 hidden="1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08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39" t="n"/>
      <c r="M2597" s="3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 hidden="1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08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39" t="n"/>
      <c r="M2598" s="3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 hidden="1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08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39">
        <f>IFERROR(IF(OR(J2599=0,K2599=""),"",IF(E2599="Positivo",MIN(MAX(K2599/J2599,0),1.3),MIN(MAX(J2599/K2599,0),1.3))),"") </f>
        <v/>
      </c>
      <c r="M2599" s="39">
        <f>IFERROR(IF(OR(J2599=0,K2599=""),"",IF(E2599="Positivo",MAX(K2599/J2599,0),MAX(J2599/K2599,0))),"") </f>
        <v/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 hidden="1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08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39">
        <f>IFERROR(IF(OR(J2600=0,K2600=""),"",IF(E2600="Positivo",MIN(MAX(K2600/J2600,0),1.3),MIN(MAX(J2600/K2600,0),1.3))),"") </f>
        <v/>
      </c>
      <c r="M2600" s="39">
        <f>IFERROR(IF(OR(J2600=0,K2600=""),"",IF(E2600="Positivo",MAX(K2600/J2600,0),MAX(J2600/K2600,0))),"") </f>
        <v/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 hidden="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08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39">
        <f>IFERROR(IF(OR(J2601=0,K2601=""),"",IF(E2601="Positivo",MIN(MAX(K2601/J2601,0),1.3),MIN(MAX(J2601/K2601,0),1.3))),"") </f>
        <v/>
      </c>
      <c r="M2601" s="39">
        <f>IFERROR(IF(OR(J2601=0,K2601=""),"",IF(E2601="Positivo",MAX(K2601/J2601,0),MAX(J2601/K2601,0))),"") </f>
        <v/>
      </c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 hidden="1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08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39">
        <f>IFERROR(IF(OR(J2602=0,K2602=""),"",IF(E2602="Positivo",MIN(MAX(K2602/J2602,0),1.3),MIN(MAX(J2602/K2602,0),1.3))),"") </f>
        <v/>
      </c>
      <c r="M2602" s="39">
        <f>IFERROR(IF(OR(J2602=0,K2602=""),"",IF(E2602="Positivo",MAX(K2602/J2602,0),MAX(J2602/K2602,0))),"") </f>
        <v/>
      </c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 hidden="1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08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39">
        <f>IFERROR(IF(OR(J2603=0,K2603=""),"",IF(E2603="Positivo",MIN(MAX(K2603/J2603,0),1.3),MIN(MAX(J2603/K2603,0),1.3))),"") </f>
        <v/>
      </c>
      <c r="M2603" s="3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 hidden="1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08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39">
        <f>IFERROR(IF(OR(J2604=0,K2604=""),"",IF(E2604="Positivo",MIN(MAX(K2604/J2604,0),1.3),MIN(MAX(J2604/K2604,0),1.3))),"") </f>
        <v/>
      </c>
      <c r="M2604" s="3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 hidden="1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08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3</v>
      </c>
      <c r="K2605" t="n">
        <v>66.67</v>
      </c>
      <c r="L2605" s="39">
        <f>IFERROR(IF(OR(J2605=0,K2605=""),"",IF(E2605="Positivo",MIN(MAX(K2605/J2605,0),1.3),MIN(MAX(J2605/K2605,0),1.3))),"") </f>
        <v/>
      </c>
      <c r="M2605" s="3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 hidden="1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08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95</v>
      </c>
      <c r="K2606" t="n">
        <v>315.79</v>
      </c>
      <c r="L2606" s="39">
        <f>IFERROR(IF(OR(J2606=0,K2606=""),"",IF(E2606="Positivo",MIN(MAX(K2606/J2606,0),1.3),MIN(MAX(J2606/K2606,0),1.3))),"") </f>
        <v/>
      </c>
      <c r="M2606" s="3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 hidden="1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08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39">
        <f>IFERROR(IF(OR(J2607=0,K2607=""),"",IF(E2607="Positivo",MIN(MAX(K2607/J2607,0),1.3),MIN(MAX(J2607/K2607,0),1.3))),"") </f>
        <v/>
      </c>
      <c r="M2607" s="3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 hidden="1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08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39">
        <f>IFERROR(IF(OR(J2608=0,K2608=""),"",IF(E2608="Positivo",MIN(MAX(K2608/J2608,0),1.3),MIN(MAX(J2608/K2608,0),1.3))),"") </f>
        <v/>
      </c>
      <c r="M2608" s="3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 hidden="1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08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39">
        <f>IFERROR(IF(OR(J2609=0,K2609=""),"",IF(E2609="Positivo",MIN(MAX(K2609/J2609,0),1.3),MIN(MAX(J2609/K2609,0),1.3))),"") </f>
        <v/>
      </c>
      <c r="M2609" s="3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 hidden="1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08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39">
        <f>IFERROR(IF(OR(J2610=0,K2610=""),"",IF(E2610="Positivo",MIN(MAX(K2610/J2610,0),1.3),MIN(MAX(J2610/K2610,0),1.3))),"") </f>
        <v/>
      </c>
      <c r="M2610" s="3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 hidden="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08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39">
        <f>IFERROR(IF(OR(J2611=0,K2611=""),"",IF(E2611="Positivo",MIN(MAX(K2611/J2611,0),1.3),MIN(MAX(J2611/K2611,0),1.3))),"") </f>
        <v/>
      </c>
      <c r="M2611" s="3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 hidden="1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08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39">
        <f>IFERROR(IF(OR(J2612=0,K2612=""),"",IF(E2612="Positivo",MIN(MAX(K2612/J2612,0),1.3),MIN(MAX(J2612/K2612,0),1.3))),"") </f>
        <v/>
      </c>
      <c r="M2612" s="3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 hidden="1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08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39">
        <f>IFERROR(IF(OR(J2613=0,K2613=""),"",IF(E2613="Positivo",MIN(MAX(K2613/J2613,0),1.3),MIN(MAX(J2613/K2613,0),1.3))),"") </f>
        <v/>
      </c>
      <c r="M2613" s="3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 hidden="1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08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128.41</v>
      </c>
      <c r="L2614" s="39">
        <f>IFERROR(IF(OR(J2614=0,K2614=""),"",IF(E2614="Positivo",MIN(MAX(K2614/J2614,0),1.3),MIN(MAX(J2614/K2614,0),1.3))),"") </f>
        <v/>
      </c>
      <c r="M2614" s="39">
        <f>IFERROR(IF(OR(J2614=0,K2614=""),"",IF(E2614="Positivo",MAX(K2614/J2614,0),MAX(J2614/K2614,0))),"") </f>
        <v/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 hidden="1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08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95.76000000000001</v>
      </c>
      <c r="L2615" s="39">
        <f>IFERROR(IF(OR(J2615=0,K2615=""),"",IF(E2615="Positivo",MIN(MAX(K2615/J2615,0),1.3),MIN(MAX(J2615/K2615,0),1.3))),"") </f>
        <v/>
      </c>
      <c r="M2615" s="39">
        <f>IFERROR(IF(OR(J2615=0,K2615=""),"",IF(E2615="Positivo",MAX(K2615/J2615,0),MAX(J2615/K2615,0))),"") </f>
        <v/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 hidden="1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08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39">
        <f>IFERROR(IF(OR(J2616=0,K2616=""),"",IF(E2616="Positivo",MIN(MAX(K2616/J2616,0),1.3),MIN(MAX(J2616/K2616,0),1.3))),"") </f>
        <v/>
      </c>
      <c r="M2616" s="39">
        <f>IFERROR(IF(OR(J2616=0,K2616=""),"",IF(E2616="Positivo",MAX(K2616/J2616,0),MAX(J2616/K2616,0))),"") </f>
        <v/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 hidden="1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08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106.07</v>
      </c>
      <c r="L2617" s="39">
        <f>IFERROR(IF(OR(J2617=0,K2617=""),"",IF(E2617="Positivo",MIN(MAX(K2617/J2617,0),1.3),MIN(MAX(J2617/K2617,0),1.3))),"") </f>
        <v/>
      </c>
      <c r="M2617" s="39">
        <f>IFERROR(IF(OR(J2617=0,K2617=""),"",IF(E2617="Positivo",MAX(K2617/J2617,0),MAX(J2617/K2617,0))),"") </f>
        <v/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 hidden="1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08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L2618" s="39" t="n"/>
      <c r="M2618" s="39" t="n"/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 hidden="1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08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39">
        <f>IFERROR(IF(OR(J2619=0,K2619=""),"",IF(E2619="Positivo",MIN(MAX(K2619/J2619,0),1.3),MIN(MAX(J2619/K2619,0),1.3))),"") </f>
        <v/>
      </c>
      <c r="M2619" s="3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 hidden="1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08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3690</v>
      </c>
      <c r="K2620" t="n">
        <v>7304</v>
      </c>
      <c r="L2620" s="39">
        <f>IFERROR(IF(OR(J2620=0,K2620=""),"",IF(E2620="Positivo",MIN(MAX(K2620/J2620,0),1.3),MIN(MAX(J2620/K2620,0),1.3))),"") </f>
        <v/>
      </c>
      <c r="M2620" s="3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 hidden="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08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39">
        <f>IFERROR(IF(OR(J2621=0,K2621=""),"",IF(E2621="Positivo",MIN(MAX(K2621/J2621,0),1.3),MIN(MAX(J2621/K2621,0),1.3))),"") </f>
        <v/>
      </c>
      <c r="M2621" s="39">
        <f>IFERROR(IF(OR(J2621=0,K2621=""),"",IF(E2621="Positivo",MAX(K2621/J2621,0),MAX(J2621/K2621,0))),"") </f>
        <v/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  <c r="S2621" t="inlineStr"/>
    </row>
    <row r="2622" hidden="1">
      <c r="A2622" s="21" t="n">
        <v>528</v>
      </c>
      <c r="B2622" s="5" t="inlineStr">
        <is>
          <t>Participación de la comunidad en la Rendición de Cuentas</t>
        </is>
      </c>
      <c r="C2622" s="5" t="inlineStr">
        <is>
          <t>Planeación Estratégica</t>
        </is>
      </c>
      <c r="D2622" s="5" t="inlineStr">
        <is>
          <t>Anual</t>
        </is>
      </c>
      <c r="E2622" s="5" t="inlineStr">
        <is>
          <t>Positivo</t>
        </is>
      </c>
      <c r="F2622" s="100" t="n">
        <v>46022</v>
      </c>
      <c r="G2622" s="5" t="n">
        <v>2025</v>
      </c>
      <c r="H2622" s="5" t="inlineStr">
        <is>
          <t>Diciembre</t>
        </is>
      </c>
      <c r="I2622" s="6" t="inlineStr">
        <is>
          <t>2025-2</t>
        </is>
      </c>
      <c r="J2622" s="5" t="n">
        <v>100</v>
      </c>
      <c r="K2622" s="9" t="n">
        <v>2014</v>
      </c>
      <c r="L2622" s="14">
        <f>IFERROR(IF(OR(J2622=0,K2622=""),"",IF(E2622="Positivo",MIN(MAX(K2622/J2622,0),1.3),MIN(MAX(J2622/K2622,0),1.3))),"") </f>
        <v/>
      </c>
      <c r="M2622" s="14">
        <f>IFERROR(IF(OR(J2622=0,K2622=""),"",IF(E2622="Positivo",MAX(K2622/J2622,0),MAX(J2622/K2622,0))),"") </f>
        <v/>
      </c>
      <c r="N2622" s="5" t="inlineStr">
        <is>
          <t>ENT</t>
        </is>
      </c>
      <c r="O2622" s="5" t="inlineStr">
        <is>
          <t>ENT</t>
        </is>
      </c>
      <c r="P2622" s="15" t="n">
        <v>0</v>
      </c>
      <c r="Q2622" s="15" t="n">
        <v>0</v>
      </c>
      <c r="R2622" s="5" t="inlineStr">
        <is>
          <t>528-2025-12-31</t>
        </is>
      </c>
    </row>
    <row r="2623" hidden="1">
      <c r="A2623" s="5" t="n">
        <v>529</v>
      </c>
      <c r="B2623" s="5" t="inlineStr">
        <is>
          <t>Oportunidad en la solución de solicitudes de infraestructura</t>
        </is>
      </c>
      <c r="C2623" s="5" t="inlineStr">
        <is>
          <t>Gestión Infraestructura Física</t>
        </is>
      </c>
      <c r="D2623" s="5" t="inlineStr">
        <is>
          <t>Semestral</t>
        </is>
      </c>
      <c r="E2623" s="5" t="inlineStr">
        <is>
          <t>Positivo</t>
        </is>
      </c>
      <c r="F2623" s="101" t="n">
        <v>45838</v>
      </c>
      <c r="G2623" s="5" t="n">
        <v>2025</v>
      </c>
      <c r="H2623" s="5" t="inlineStr">
        <is>
          <t>Junio</t>
        </is>
      </c>
      <c r="I2623" s="6" t="inlineStr">
        <is>
          <t>2025-1</t>
        </is>
      </c>
      <c r="J2623" s="5" t="n"/>
      <c r="K2623" s="9" t="n"/>
      <c r="L2623" s="14" t="n"/>
      <c r="M2623" s="14" t="n"/>
      <c r="N2623" s="5" t="inlineStr">
        <is>
          <t>%</t>
        </is>
      </c>
      <c r="O2623" s="5" t="inlineStr">
        <is>
          <t>No Aplica</t>
        </is>
      </c>
      <c r="P2623" s="15" t="n">
        <v>0</v>
      </c>
      <c r="Q2623" s="15" t="n">
        <v>0</v>
      </c>
      <c r="R2623" s="5" t="inlineStr">
        <is>
          <t>529-2025-06-30</t>
        </is>
      </c>
      <c r="S2623" t="inlineStr">
        <is>
          <t>No Aplica</t>
        </is>
      </c>
    </row>
    <row r="2624" hidden="1">
      <c r="A2624" s="21" t="n">
        <v>529</v>
      </c>
      <c r="B2624" s="5" t="inlineStr">
        <is>
          <t>Oportunidad en la solución de solicitudes de infraestructura</t>
        </is>
      </c>
      <c r="C2624" s="5" t="inlineStr">
        <is>
          <t>Gestión Infraestructura Física</t>
        </is>
      </c>
      <c r="D2624" s="5" t="inlineStr">
        <is>
          <t>Semestral</t>
        </is>
      </c>
      <c r="E2624" s="5" t="inlineStr">
        <is>
          <t>Positivo</t>
        </is>
      </c>
      <c r="F2624" s="100" t="n">
        <v>45930</v>
      </c>
      <c r="G2624" s="5" t="n">
        <v>2025</v>
      </c>
      <c r="H2624" s="5" t="inlineStr">
        <is>
          <t>Septiembre</t>
        </is>
      </c>
      <c r="I2624" s="6" t="inlineStr">
        <is>
          <t>2025-2</t>
        </is>
      </c>
      <c r="J2624" s="5" t="n">
        <v>90</v>
      </c>
      <c r="K2624" s="9" t="n">
        <v>196.19</v>
      </c>
      <c r="L2624" s="14">
        <f>IFERROR(IF(OR(J2624=0,K2624=""),"",IF(E2624="Positivo",MIN(MAX(K2624/J2624,0),1.3),MIN(MAX(J2624/K2624,0),1.3))),"") </f>
        <v/>
      </c>
      <c r="M2624" s="14">
        <f>IFERROR(IF(OR(J2624=0,K2624=""),"",IF(E2624="Positivo",MAX(K2624/J2624,0),MAX(J2624/K2624,0))),"") </f>
        <v/>
      </c>
      <c r="N2624" s="5" t="inlineStr">
        <is>
          <t>%</t>
        </is>
      </c>
      <c r="O2624" s="5" t="inlineStr">
        <is>
          <t>%</t>
        </is>
      </c>
      <c r="P2624" s="15" t="n">
        <v>0</v>
      </c>
      <c r="Q2624" s="15" t="n">
        <v>0</v>
      </c>
      <c r="R2624" s="5" t="inlineStr">
        <is>
          <t>529-2025-09-30</t>
        </is>
      </c>
    </row>
    <row r="2625" hidden="1">
      <c r="A2625" s="21" t="n">
        <v>529</v>
      </c>
      <c r="B2625" s="5" t="inlineStr">
        <is>
          <t>Oportunidad en la solución de solicitudes de infraestructura</t>
        </is>
      </c>
      <c r="C2625" s="5" t="inlineStr">
        <is>
          <t>Gestión Infraestructura Física</t>
        </is>
      </c>
      <c r="D2625" s="5" t="inlineStr">
        <is>
          <t>Semestral</t>
        </is>
      </c>
      <c r="E2625" s="5" t="inlineStr">
        <is>
          <t>Positivo</t>
        </is>
      </c>
      <c r="F2625" s="101" t="n">
        <v>46022</v>
      </c>
      <c r="G2625" s="5" t="n">
        <v>2025</v>
      </c>
      <c r="H2625" s="5" t="inlineStr">
        <is>
          <t>Diciembre</t>
        </is>
      </c>
      <c r="I2625" s="6" t="inlineStr">
        <is>
          <t>2025-2</t>
        </is>
      </c>
      <c r="J2625" s="5" t="n">
        <v>90</v>
      </c>
      <c r="K2625" s="15" t="n">
        <v>97.97</v>
      </c>
      <c r="L2625" s="14">
        <f>IFERROR(IF(OR(J2625=0,K2625=""),"",IF(E2625="Positivo",MIN(MAX(K2625/J2625,0),1.3),MIN(MAX(J2625/K2625,0),1.3))),"") </f>
        <v/>
      </c>
      <c r="M2625" s="14">
        <f>IFERROR(IF(OR(J2625=0,K2625=""),"",IF(E2625="Positivo",MAX(K2625/J2625,0),MAX(J2625/K2625,0))),"") </f>
        <v/>
      </c>
      <c r="N2625" s="5" t="inlineStr">
        <is>
          <t>%</t>
        </is>
      </c>
      <c r="O2625" s="5" t="inlineStr">
        <is>
          <t>%</t>
        </is>
      </c>
      <c r="P2625" s="15" t="n">
        <v>0</v>
      </c>
      <c r="Q2625" s="15" t="n">
        <v>0</v>
      </c>
      <c r="R2625" s="5" t="inlineStr">
        <is>
          <t>529-2025-12-31</t>
        </is>
      </c>
    </row>
    <row r="2626" hidden="1">
      <c r="A2626" s="21" t="n">
        <v>530</v>
      </c>
      <c r="B2626" s="5" t="inlineStr">
        <is>
          <t>Índice de Cumplimiento del Sprint</t>
        </is>
      </c>
      <c r="C2626" s="5" t="inlineStr">
        <is>
          <t>GESTIÓN DE LA TECNOLOGÍA E INNOVACIÓN DIGITAL</t>
        </is>
      </c>
      <c r="D2626" s="5" t="inlineStr">
        <is>
          <t>Trimestral</t>
        </is>
      </c>
      <c r="E2626" s="5" t="inlineStr">
        <is>
          <t>Positivo</t>
        </is>
      </c>
      <c r="F2626" s="100" t="n">
        <v>46022</v>
      </c>
      <c r="G2626" s="5" t="n">
        <v>2025</v>
      </c>
      <c r="H2626" s="5" t="inlineStr">
        <is>
          <t>Diciembre</t>
        </is>
      </c>
      <c r="I2626" s="6" t="inlineStr">
        <is>
          <t>2025-2</t>
        </is>
      </c>
      <c r="J2626" s="5" t="n">
        <v>97</v>
      </c>
      <c r="K2626" s="5" t="n">
        <v>85.56</v>
      </c>
      <c r="L2626" s="14">
        <f>IFERROR(IF(OR(J2626=0,K2626=""),"",IF(E2626="Positivo",MIN(MAX(K2626/J2626,0),1.3),MIN(MAX(J2626/K2626,0),1.3))),"") </f>
        <v/>
      </c>
      <c r="M2626" s="14">
        <f>IFERROR(IF(OR(J2626=0,K2626=""),"",IF(E2626="Positivo",MAX(K2626/J2626,0),MAX(J2626/K2626,0))),"") </f>
        <v/>
      </c>
      <c r="N2626" s="5" t="inlineStr">
        <is>
          <t>%</t>
        </is>
      </c>
      <c r="O2626" s="5" t="inlineStr">
        <is>
          <t>%</t>
        </is>
      </c>
      <c r="P2626" s="15" t="n">
        <v>0</v>
      </c>
      <c r="Q2626" s="15" t="n">
        <v>0</v>
      </c>
      <c r="R2626" s="5" t="inlineStr">
        <is>
          <t>530-2025-12-31</t>
        </is>
      </c>
    </row>
    <row r="2627" hidden="1">
      <c r="A2627" s="5" t="n">
        <v>531</v>
      </c>
      <c r="B2627" s="5" t="inlineStr">
        <is>
          <t>Eficiencia de capacidad instalada</t>
        </is>
      </c>
      <c r="C2627" s="5" t="inlineStr">
        <is>
          <t>GESTIÓN DE LA TECNOLOGÍA E INNOVACIÓN DIGITAL</t>
        </is>
      </c>
      <c r="D2627" s="5" t="inlineStr">
        <is>
          <t>Trimestral</t>
        </is>
      </c>
      <c r="E2627" s="5" t="inlineStr">
        <is>
          <t>Positivo</t>
        </is>
      </c>
      <c r="F2627" s="101" t="n">
        <v>46022</v>
      </c>
      <c r="G2627" s="5" t="n">
        <v>2025</v>
      </c>
      <c r="H2627" s="5" t="inlineStr">
        <is>
          <t>Diciembre</t>
        </is>
      </c>
      <c r="I2627" s="6" t="inlineStr">
        <is>
          <t>2025-2</t>
        </is>
      </c>
      <c r="J2627" s="82" t="n">
        <v>90</v>
      </c>
      <c r="K2627" s="9" t="n">
        <v>93.94</v>
      </c>
      <c r="L2627" s="14">
        <f>IFERROR(IF(OR(J2627=0,K2627=""),"",IF(E2627="Positivo",MIN(MAX(K2627/J2627,0),1.3),MIN(MAX(J2627/K2627,0),1.3))),"") </f>
        <v/>
      </c>
      <c r="M2627" s="14">
        <f>IFERROR(IF(OR(J2627=0,K2627=""),"",IF(E2627="Positivo",MAX(K2627/J2627,0),MAX(J2627/K2627,0))),"") </f>
        <v/>
      </c>
      <c r="N2627" s="5" t="inlineStr">
        <is>
          <t>%</t>
        </is>
      </c>
      <c r="O2627" s="5" t="inlineStr">
        <is>
          <t>%</t>
        </is>
      </c>
      <c r="P2627" s="5" t="n">
        <v>0</v>
      </c>
      <c r="Q2627" s="5" t="n">
        <v>0</v>
      </c>
      <c r="R2627" s="5" t="inlineStr">
        <is>
          <t>531-2025-12-31</t>
        </is>
      </c>
    </row>
    <row r="2628" hidden="1">
      <c r="A2628" s="28" t="n">
        <v>532</v>
      </c>
      <c r="B2628" s="5" t="inlineStr">
        <is>
          <t>Actividades de Cooperación en Internacionalización</t>
        </is>
      </c>
      <c r="C2628" s="5" t="inlineStr">
        <is>
          <t>VISIBILIDAD NACIONAL E INTERNACIONAL</t>
        </is>
      </c>
      <c r="D2628" s="5" t="inlineStr">
        <is>
          <t>Trimestral</t>
        </is>
      </c>
      <c r="E2628" s="5" t="inlineStr">
        <is>
          <t>Positivo</t>
        </is>
      </c>
      <c r="F2628" s="101" t="n">
        <v>45838</v>
      </c>
      <c r="G2628" s="5" t="n">
        <v>2025</v>
      </c>
      <c r="H2628" s="5" t="inlineStr">
        <is>
          <t>Junio</t>
        </is>
      </c>
      <c r="I2628" s="6" t="inlineStr">
        <is>
          <t>2025-1</t>
        </is>
      </c>
      <c r="J2628" s="73" t="n">
        <v>100</v>
      </c>
      <c r="K2628" s="9" t="n">
        <v>133.15</v>
      </c>
      <c r="L2628" s="14">
        <f>IFERROR(IF(OR(J2628=0,K2628=""),"",IF(E2628="Positivo",MIN(MAX(K2628/J2628,0),1.3),MIN(MAX(J2628/K2628,0),1.3))),"") </f>
        <v/>
      </c>
      <c r="M2628" s="14">
        <f>IFERROR(IF(OR(J2628=0,K2628=""),"",IF(E2628="Positivo",MAX(K2628/J2628,0),MAX(J2628/K2628,0))),"") </f>
        <v/>
      </c>
      <c r="N2628" s="5" t="inlineStr">
        <is>
          <t>%</t>
        </is>
      </c>
      <c r="O2628" s="5" t="inlineStr">
        <is>
          <t>%</t>
        </is>
      </c>
      <c r="P2628" s="15" t="n">
        <v>0</v>
      </c>
      <c r="Q2628" s="15" t="n">
        <v>0</v>
      </c>
      <c r="R2628" s="5" t="inlineStr">
        <is>
          <t>532-2025-06-30</t>
        </is>
      </c>
    </row>
    <row r="2629" hidden="1">
      <c r="A2629" s="26" t="n">
        <v>532</v>
      </c>
      <c r="B2629" s="5" t="inlineStr">
        <is>
          <t>Actividades de Cooperación en Internacionalización</t>
        </is>
      </c>
      <c r="C2629" s="5" t="inlineStr">
        <is>
          <t>VISIBILIDAD NACIONAL E INTERNACIONAL</t>
        </is>
      </c>
      <c r="D2629" s="5" t="inlineStr">
        <is>
          <t>Trimestral</t>
        </is>
      </c>
      <c r="E2629" s="5" t="inlineStr">
        <is>
          <t>Positivo</t>
        </is>
      </c>
      <c r="F2629" s="101" t="n">
        <v>46022</v>
      </c>
      <c r="G2629" s="5" t="n">
        <v>2025</v>
      </c>
      <c r="H2629" s="5" t="inlineStr">
        <is>
          <t>Diciembre</t>
        </is>
      </c>
      <c r="I2629" s="6" t="inlineStr">
        <is>
          <t>2025-2</t>
        </is>
      </c>
      <c r="J2629" s="73" t="n">
        <v>100</v>
      </c>
      <c r="K2629" s="9" t="n">
        <v>134.78</v>
      </c>
      <c r="L2629" s="14">
        <f>IFERROR(IF(OR(J2629=0,K2629=""),"",IF(E2629="Positivo",MIN(MAX(K2629/J2629,0),1.3),MIN(MAX(J2629/K2629,0),1.3))),"") </f>
        <v/>
      </c>
      <c r="M2629" s="14">
        <f>IFERROR(IF(OR(J2629=0,K2629=""),"",IF(E2629="Positivo",MAX(K2629/J2629,0),MAX(J2629/K2629,0))),"") </f>
        <v/>
      </c>
      <c r="N2629" s="5" t="inlineStr">
        <is>
          <t>%</t>
        </is>
      </c>
      <c r="O2629" s="5" t="inlineStr">
        <is>
          <t>%</t>
        </is>
      </c>
      <c r="P2629" s="15" t="n">
        <v>0</v>
      </c>
      <c r="Q2629" s="15" t="n">
        <v>0</v>
      </c>
      <c r="R2629" s="5" t="inlineStr">
        <is>
          <t>532-2025-12-31</t>
        </is>
      </c>
    </row>
    <row r="2630" hidden="1">
      <c r="A2630" s="28" t="n">
        <v>533</v>
      </c>
      <c r="B2630" s="5" t="inlineStr">
        <is>
          <t>Participación de estudiantes externos invitados a actividades de cooperación nacional e internacional</t>
        </is>
      </c>
      <c r="C2630" s="5" t="inlineStr">
        <is>
          <t>VISIBILIDAD NACIONAL E INTERNACIONAL</t>
        </is>
      </c>
      <c r="D2630" s="5" t="inlineStr">
        <is>
          <t>Trimestral</t>
        </is>
      </c>
      <c r="E2630" s="5" t="inlineStr">
        <is>
          <t>Positivo</t>
        </is>
      </c>
      <c r="F2630" s="101" t="n">
        <v>45838</v>
      </c>
      <c r="G2630" s="5" t="n">
        <v>2025</v>
      </c>
      <c r="H2630" s="5" t="inlineStr">
        <is>
          <t>Junio</t>
        </is>
      </c>
      <c r="I2630" s="6" t="inlineStr">
        <is>
          <t>2025-1</t>
        </is>
      </c>
      <c r="J2630" s="73" t="n">
        <v>100</v>
      </c>
      <c r="K2630" s="9" t="n">
        <v>124.89</v>
      </c>
      <c r="L2630" s="14">
        <f>IFERROR(IF(OR(J2630=0,K2630=""),"",IF(E2630="Positivo",MIN(MAX(K2630/J2630,0),1.3),MIN(MAX(J2630/K2630,0),1.3))),"") </f>
        <v/>
      </c>
      <c r="M2630" s="14">
        <f>IFERROR(IF(OR(J2630=0,K2630=""),"",IF(E2630="Positivo",MAX(K2630/J2630,0),MAX(J2630/K2630,0))),"") </f>
        <v/>
      </c>
      <c r="N2630" s="5" t="inlineStr">
        <is>
          <t>%</t>
        </is>
      </c>
      <c r="O2630" s="5" t="inlineStr">
        <is>
          <t>%</t>
        </is>
      </c>
      <c r="P2630" s="15" t="n">
        <v>0</v>
      </c>
      <c r="Q2630" s="15" t="n">
        <v>0</v>
      </c>
      <c r="R2630" s="5" t="inlineStr">
        <is>
          <t>533-2025-06-30</t>
        </is>
      </c>
    </row>
    <row r="2631" hidden="1">
      <c r="A2631" s="21" t="n">
        <v>533</v>
      </c>
      <c r="B2631" s="5" t="inlineStr">
        <is>
          <t>Participación de estudiantes externos invitados a actividades de cooperación nacional e internacional</t>
        </is>
      </c>
      <c r="C2631" s="5" t="inlineStr">
        <is>
          <t>VISIBILIDAD NACIONAL E INTERNACIONAL</t>
        </is>
      </c>
      <c r="D2631" s="5" t="inlineStr">
        <is>
          <t>Trimestral</t>
        </is>
      </c>
      <c r="E2631" s="5" t="inlineStr">
        <is>
          <t>Positivo</t>
        </is>
      </c>
      <c r="F2631" s="101" t="n">
        <v>46022</v>
      </c>
      <c r="G2631" s="5" t="n">
        <v>2025</v>
      </c>
      <c r="H2631" s="5" t="inlineStr">
        <is>
          <t>Diciembre</t>
        </is>
      </c>
      <c r="I2631" s="6" t="inlineStr">
        <is>
          <t>2025-2</t>
        </is>
      </c>
      <c r="J2631" s="73" t="n">
        <v>100</v>
      </c>
      <c r="K2631" s="9" t="n">
        <v>177.95</v>
      </c>
      <c r="L2631" s="14">
        <f>IFERROR(IF(OR(J2631=0,K2631=""),"",IF(E2631="Positivo",MIN(MAX(K2631/J2631,0),1.3),MIN(MAX(J2631/K2631,0),1.3))),"") </f>
        <v/>
      </c>
      <c r="M2631" s="14">
        <f>IFERROR(IF(OR(J2631=0,K2631=""),"",IF(E2631="Positivo",MAX(K2631/J2631,0),MAX(J2631/K2631,0))),"") </f>
        <v/>
      </c>
      <c r="N2631" s="5" t="inlineStr">
        <is>
          <t>%</t>
        </is>
      </c>
      <c r="O2631" s="5" t="inlineStr">
        <is>
          <t>%</t>
        </is>
      </c>
      <c r="P2631" s="15" t="n">
        <v>0</v>
      </c>
      <c r="Q2631" s="15" t="n">
        <v>0</v>
      </c>
      <c r="R2631" s="5" t="inlineStr">
        <is>
          <t>533-2025-12-31</t>
        </is>
      </c>
    </row>
    <row r="2632" hidden="1">
      <c r="A2632" s="5" t="n">
        <v>534</v>
      </c>
      <c r="B2632" s="5" t="inlineStr">
        <is>
          <t>Participación de estudiantes POLI en actividades de cooperación nacional e internacional</t>
        </is>
      </c>
      <c r="C2632" s="5" t="inlineStr">
        <is>
          <t>VISIBILIDAD NACIONAL E INTERNACIONAL</t>
        </is>
      </c>
      <c r="D2632" s="5" t="inlineStr">
        <is>
          <t>Trimestral</t>
        </is>
      </c>
      <c r="E2632" s="5" t="inlineStr">
        <is>
          <t>Positivo</t>
        </is>
      </c>
      <c r="F2632" s="101" t="n">
        <v>45838</v>
      </c>
      <c r="G2632" s="5" t="n">
        <v>2025</v>
      </c>
      <c r="H2632" s="5" t="inlineStr">
        <is>
          <t>Junio</t>
        </is>
      </c>
      <c r="I2632" s="6" t="inlineStr">
        <is>
          <t>2025-1</t>
        </is>
      </c>
      <c r="J2632" s="5" t="n">
        <v>100</v>
      </c>
      <c r="K2632" s="5" t="n">
        <v>134.09</v>
      </c>
      <c r="L2632" s="14">
        <f>IFERROR(IF(OR(J2632=0,K2632=""),"",IF(E2632="Positivo",MIN(MAX(K2632/J2632,0),1.3),MIN(MAX(J2632/K2632,0),1.3))),"") </f>
        <v/>
      </c>
      <c r="M2632" s="14">
        <f>IFERROR(IF(OR(J2632=0,K2632=""),"",IF(E2632="Positivo",MAX(K2632/J2632,0),MAX(J2632/K2632,0))),"") </f>
        <v/>
      </c>
      <c r="N2632" s="5" t="inlineStr">
        <is>
          <t>%</t>
        </is>
      </c>
      <c r="O2632" s="5" t="inlineStr">
        <is>
          <t>%</t>
        </is>
      </c>
      <c r="P2632" s="5" t="n">
        <v>0</v>
      </c>
      <c r="Q2632" s="5" t="n">
        <v>0</v>
      </c>
      <c r="R2632" s="5" t="inlineStr">
        <is>
          <t>534-2025-06-30</t>
        </is>
      </c>
    </row>
    <row r="2633" hidden="1">
      <c r="A2633" s="5" t="n">
        <v>534</v>
      </c>
      <c r="B2633" s="5" t="inlineStr">
        <is>
          <t>Participación de estudiantes POLI en actividades de cooperación nacional e internacional</t>
        </is>
      </c>
      <c r="C2633" s="5" t="inlineStr">
        <is>
          <t>VISIBILIDAD NACIONAL E INTERNACIONAL</t>
        </is>
      </c>
      <c r="D2633" s="5" t="inlineStr">
        <is>
          <t>Trimestral</t>
        </is>
      </c>
      <c r="E2633" s="5" t="inlineStr">
        <is>
          <t>Positivo</t>
        </is>
      </c>
      <c r="F2633" s="101" t="n">
        <v>46022</v>
      </c>
      <c r="G2633" s="5" t="n">
        <v>2025</v>
      </c>
      <c r="H2633" s="5" t="inlineStr">
        <is>
          <t>Diciembre</t>
        </is>
      </c>
      <c r="I2633" s="6" t="inlineStr">
        <is>
          <t>2025-2</t>
        </is>
      </c>
      <c r="J2633" s="5" t="n">
        <v>100</v>
      </c>
      <c r="K2633" s="5" t="n">
        <v>134.53</v>
      </c>
      <c r="L2633" s="14">
        <f>IFERROR(IF(OR(J2633=0,K2633=""),"",IF(E2633="Positivo",MIN(MAX(K2633/J2633,0),1.3),MIN(MAX(J2633/K2633,0),1.3))),"") </f>
        <v/>
      </c>
      <c r="M2633" s="14">
        <f>IFERROR(IF(OR(J2633=0,K2633=""),"",IF(E2633="Positivo",MAX(K2633/J2633,0),MAX(J2633/K2633,0))),"") </f>
        <v/>
      </c>
      <c r="N2633" s="5" t="inlineStr">
        <is>
          <t>%</t>
        </is>
      </c>
      <c r="O2633" s="5" t="inlineStr">
        <is>
          <t>%</t>
        </is>
      </c>
      <c r="P2633" s="5" t="n">
        <v>0</v>
      </c>
      <c r="Q2633" s="5" t="n">
        <v>0</v>
      </c>
      <c r="R2633" s="5" t="inlineStr">
        <is>
          <t>534-2025-12-31</t>
        </is>
      </c>
    </row>
    <row r="2634" hidden="1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08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39">
        <f>IFERROR(IF(OR(J2634=0,K2634=""),"",IF(E2634="Positivo",MIN(MAX(K2634/J2634,0),1.3),MIN(MAX(J2634/K2634,0),1.3))),"") </f>
        <v/>
      </c>
      <c r="M2634" s="3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 hidden="1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08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39">
        <f>IFERROR(IF(OR(J2635=0,K2635=""),"",IF(E2635="Positivo",MIN(MAX(K2635/J2635,0),1.3),MIN(MAX(J2635/K2635,0),1.3))),"") </f>
        <v/>
      </c>
      <c r="M2635" s="3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 hidden="1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08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39">
        <f>IFERROR(IF(OR(J2636=0,K2636=""),"",IF(E2636="Positivo",MIN(MAX(K2636/J2636,0),1.3),MIN(MAX(J2636/K2636,0),1.3))),"") </f>
        <v/>
      </c>
      <c r="M2636" s="3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 hidden="1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08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39">
        <f>IFERROR(IF(OR(J2637=0,K2637=""),"",IF(E2637="Positivo",MIN(MAX(K2637/J2637,0),1.3),MIN(MAX(J2637/K2637,0),1.3))),"") </f>
        <v/>
      </c>
      <c r="M2637" s="3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 hidden="1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08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65</v>
      </c>
      <c r="K2638" t="n">
        <v>58.9</v>
      </c>
      <c r="L2638" s="39">
        <f>IFERROR(IF(OR(J2638=0,K2638=""),"",IF(E2638="Positivo",MIN(MAX(K2638/J2638,0),1.3),MIN(MAX(J2638/K2638,0),1.3))),"") </f>
        <v/>
      </c>
      <c r="M2638" s="39">
        <f>IFERROR(IF(OR(J2638=0,K2638=""),"",IF(E2638="Positivo",MAX(K2638/J2638,0),MAX(J2638/K2638,0))),"") </f>
        <v/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 hidden="1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08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65</v>
      </c>
      <c r="K2639" t="n">
        <v>64.3</v>
      </c>
      <c r="L2639" s="39">
        <f>IFERROR(IF(OR(J2639=0,K2639=""),"",IF(E2639="Positivo",MIN(MAX(K2639/J2639,0),1.3),MIN(MAX(J2639/K2639,0),1.3))),"") </f>
        <v/>
      </c>
      <c r="M2639" s="39">
        <f>IFERROR(IF(OR(J2639=0,K2639=""),"",IF(E2639="Positivo",MAX(K2639/J2639,0),MAX(J2639/K2639,0))),"") </f>
        <v/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 hidden="1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08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39">
        <f>IFERROR(IF(OR(J2640=0,K2640=""),"",IF(E2640="Positivo",MIN(MAX(K2640/J2640,0),1.3),MIN(MAX(J2640/K2640,0),1.3))),"") </f>
        <v/>
      </c>
      <c r="M2640" s="39">
        <f>IFERROR(IF(OR(J2640=0,K2640=""),"",IF(E2640="Positivo",MAX(K2640/J2640,0),MAX(J2640/K2640,0))),"") </f>
        <v/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 hidden="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08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39">
        <f>IFERROR(IF(OR(J2641=0,K2641=""),"",IF(E2641="Positivo",MIN(MAX(K2641/J2641,0),1.3),MIN(MAX(J2641/K2641,0),1.3))),"") </f>
        <v/>
      </c>
      <c r="M2641" s="39">
        <f>IFERROR(IF(OR(J2641=0,K2641=""),"",IF(E2641="Positivo",MAX(K2641/J2641,0),MAX(J2641/K2641,0))),"") </f>
        <v/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 hidden="1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08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39">
        <f>IFERROR(IF(OR(J2642=0,K2642=""),"",IF(E2642="Positivo",MIN(MAX(K2642/J2642,0),1.3),MIN(MAX(J2642/K2642,0),1.3))),"") </f>
        <v/>
      </c>
      <c r="M2642" s="39">
        <f>IFERROR(IF(OR(J2642=0,K2642=""),"",IF(E2642="Positivo",MAX(K2642/J2642,0),MAX(J2642/K2642,0))),"") </f>
        <v/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 hidden="1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08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39">
        <f>IFERROR(IF(OR(J2643=0,K2643=""),"",IF(E2643="Positivo",MIN(MAX(K2643/J2643,0),1.3),MIN(MAX(J2643/K2643,0),1.3))),"") </f>
        <v/>
      </c>
      <c r="M2643" s="39">
        <f>IFERROR(IF(OR(J2643=0,K2643=""),"",IF(E2643="Positivo",MAX(K2643/J2643,0),MAX(J2643/K2643,0))),"") </f>
        <v/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 hidden="1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08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39">
        <f>IFERROR(IF(OR(J2644=0,K2644=""),"",IF(E2644="Positivo",MIN(MAX(K2644/J2644,0),1.3),MIN(MAX(J2644/K2644,0),1.3))),"") </f>
        <v/>
      </c>
      <c r="M2644" s="39">
        <f>IFERROR(IF(OR(J2644=0,K2644=""),"",IF(E2644="Positivo",MAX(K2644/J2644,0),MAX(J2644/K2644,0))),"") </f>
        <v/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 hidden="1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08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L2645" s="39" t="n"/>
      <c r="M2645" s="39" t="n"/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 hidden="1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08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39" t="n"/>
      <c r="M2646" s="3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 hidden="1">
      <c r="A2647" t="n">
        <v>543</v>
      </c>
      <c r="B2647" t="inlineStr">
        <is>
          <t>Tasa de interacción por usuario</t>
        </is>
      </c>
      <c r="C2647" t="inlineStr">
        <is>
          <t>Editorial y Publicaciones</t>
        </is>
      </c>
      <c r="D2647" t="inlineStr">
        <is>
          <t>Trimestral</t>
        </is>
      </c>
      <c r="E2647" t="inlineStr">
        <is>
          <t>Positivo</t>
        </is>
      </c>
      <c r="F2647" s="108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K2647" t="n">
        <v>6.91</v>
      </c>
      <c r="L2647" s="39" t="n"/>
      <c r="M2647" s="39" t="n"/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543-2025-12-31</t>
        </is>
      </c>
    </row>
    <row r="2648" hidden="1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08" t="n">
        <v>45838</v>
      </c>
      <c r="G2648" t="n">
        <v>2025</v>
      </c>
      <c r="H2648" t="inlineStr">
        <is>
          <t>Junio</t>
        </is>
      </c>
      <c r="I2648" t="inlineStr">
        <is>
          <t>2025-1</t>
        </is>
      </c>
      <c r="J2648" t="n">
        <v>100</v>
      </c>
      <c r="K2648" t="n">
        <v>250</v>
      </c>
      <c r="L2648" s="39">
        <f>IFERROR(IF(OR(J2648=0,K2648=""),"",IF(E2648="Positivo",MIN(MAX(K2648/J2648,0),1.3),MIN(MAX(J2648/K2648,0),1.3))),"") </f>
        <v/>
      </c>
      <c r="M2648" s="39">
        <f>IFERROR(IF(OR(J2648=0,K2648=""),"",IF(E2648="Positivo",MAX(K2648/J2648,0),MAX(J2648/K2648,0))),"") </f>
        <v/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544-2025-06-30</t>
        </is>
      </c>
    </row>
    <row r="2649" hidden="1">
      <c r="A2649" t="n">
        <v>544</v>
      </c>
      <c r="B2649" t="inlineStr">
        <is>
          <t>Producción de ambientes inmersivos LEI</t>
        </is>
      </c>
      <c r="C2649" t="inlineStr">
        <is>
          <t>LEI</t>
        </is>
      </c>
      <c r="D2649" t="inlineStr">
        <is>
          <t>Trimestral</t>
        </is>
      </c>
      <c r="E2649" t="inlineStr">
        <is>
          <t>Positivo</t>
        </is>
      </c>
      <c r="F2649" s="108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162.5</v>
      </c>
      <c r="L2649" s="39">
        <f>IFERROR(IF(OR(J2649=0,K2649=""),"",IF(E2649="Positivo",MIN(MAX(K2649/J2649,0),1.3),MIN(MAX(J2649/K2649,0),1.3))),"") </f>
        <v/>
      </c>
      <c r="M2649" s="39">
        <f>IFERROR(IF(OR(J2649=0,K2649=""),"",IF(E2649="Positivo",MAX(K2649/J2649,0),MAX(J2649/K2649,0))),"") </f>
        <v/>
      </c>
      <c r="N2649" t="inlineStr">
        <is>
          <t>ENT</t>
        </is>
      </c>
      <c r="O2649" t="inlineStr">
        <is>
          <t>ENT</t>
        </is>
      </c>
      <c r="P2649" t="n">
        <v>0</v>
      </c>
      <c r="Q2649" t="n">
        <v>0</v>
      </c>
      <c r="R2649" t="inlineStr">
        <is>
          <t>544-2025-12-31</t>
        </is>
      </c>
    </row>
    <row r="2650" hidden="1">
      <c r="A2650" t="n">
        <v>546</v>
      </c>
      <c r="B2650" t="inlineStr">
        <is>
          <t>Tasa de participación de graduados en instrumentos de seguimiento (M0, M1, M5)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08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113.38</v>
      </c>
      <c r="L2650" s="39">
        <f>IFERROR(IF(OR(J2650=0,K2650=""),"",IF(E2650="Positivo",MIN(MAX(K2650/J2650,0),1.3),MIN(MAX(J2650/K2650,0),1.3))),"") </f>
        <v/>
      </c>
      <c r="M2650" s="39">
        <f>IFERROR(IF(OR(J2650=0,K2650=""),"",IF(E2650="Positivo",MAX(K2650/J2650,0),MAX(J2650/K2650,0))),"") </f>
        <v/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546-2025-12-31</t>
        </is>
      </c>
    </row>
    <row r="2651" hidden="1">
      <c r="A2651" t="n">
        <v>547</v>
      </c>
      <c r="B2651" t="inlineStr">
        <is>
          <t>Nivel de satisfacción del graduado con la institución</t>
        </is>
      </c>
      <c r="C2651" t="inlineStr">
        <is>
          <t>Gestión de Graduados</t>
        </is>
      </c>
      <c r="D2651" t="inlineStr">
        <is>
          <t>Anual</t>
        </is>
      </c>
      <c r="E2651" t="inlineStr">
        <is>
          <t>Positivo</t>
        </is>
      </c>
      <c r="F2651" s="108" t="n">
        <v>46022</v>
      </c>
      <c r="G2651" t="n">
        <v>2025</v>
      </c>
      <c r="H2651" t="inlineStr">
        <is>
          <t>Diciembre</t>
        </is>
      </c>
      <c r="I2651" t="inlineStr">
        <is>
          <t>2025-2</t>
        </is>
      </c>
      <c r="K2651" t="n">
        <v>92</v>
      </c>
      <c r="L2651" s="39" t="n"/>
      <c r="M2651" s="39" t="n"/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547-2025-12-31</t>
        </is>
      </c>
    </row>
    <row r="2652" hidden="1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08" t="n">
        <v>45838</v>
      </c>
      <c r="G2652" t="n">
        <v>2025</v>
      </c>
      <c r="H2652" t="inlineStr">
        <is>
          <t>Junio</t>
        </is>
      </c>
      <c r="I2652" t="inlineStr">
        <is>
          <t>2025-1</t>
        </is>
      </c>
      <c r="J2652" t="n">
        <v>80</v>
      </c>
      <c r="K2652" t="n">
        <v>95</v>
      </c>
      <c r="L2652" s="39">
        <f>IFERROR(IF(OR(J2652=0,K2652=""),"",IF(E2652="Positivo",MIN(MAX(K2652/J2652,0),1.3),MIN(MAX(J2652/K2652,0),1.3))),"") </f>
        <v/>
      </c>
      <c r="M2652" s="39">
        <f>IFERROR(IF(OR(J2652=0,K2652=""),"",IF(E2652="Positivo",MAX(K2652/J2652,0),MAX(J2652/K2652,0))),"") </f>
        <v/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550-2025-06-30</t>
        </is>
      </c>
    </row>
    <row r="2653">
      <c r="A2653" t="n">
        <v>550</v>
      </c>
      <c r="B2653" t="inlineStr">
        <is>
          <t>Nivel de satisfacción con las actividades de formación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08" t="n">
        <v>46022</v>
      </c>
      <c r="G2653" t="n">
        <v>2025</v>
      </c>
      <c r="H2653" t="inlineStr">
        <is>
          <t>Diciembre</t>
        </is>
      </c>
      <c r="I2653" t="inlineStr">
        <is>
          <t>2025-2</t>
        </is>
      </c>
      <c r="J2653" t="n">
        <v>80</v>
      </c>
      <c r="K2653" t="n">
        <v>95.5</v>
      </c>
      <c r="L2653" s="39">
        <f>IFERROR(IF(OR(J2653=0,K2653=""),"",IF(E2653="Positivo",MIN(MAX(K2653/J2653,0),1.3),MIN(MAX(J2653/K2653,0),1.3))),"") </f>
        <v/>
      </c>
      <c r="M2653" s="39">
        <f>IFERROR(IF(OR(J2653=0,K2653=""),"",IF(E2653="Positivo",MAX(K2653/J2653,0),MAX(J2653/K2653,0))),"") </f>
        <v/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550-2025-12-31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08" t="n">
        <v>45838</v>
      </c>
      <c r="G2654" t="n">
        <v>2025</v>
      </c>
      <c r="H2654" t="inlineStr">
        <is>
          <t>Junio</t>
        </is>
      </c>
      <c r="I2654" t="inlineStr">
        <is>
          <t>2025-1</t>
        </is>
      </c>
      <c r="J2654" t="n">
        <v>4</v>
      </c>
      <c r="K2654" t="n">
        <v>5</v>
      </c>
      <c r="L2654" s="39">
        <f>IFERROR(IF(OR(J2654=0,K2654=""),"",IF(E2654="Positivo",MIN(MAX(K2654/J2654,0),1.3),MIN(MAX(J2654/K2654,0),1.3))),"") </f>
        <v/>
      </c>
      <c r="M2654" s="39">
        <f>IFERROR(IF(OR(J2654=0,K2654=""),"",IF(E2654="Positivo",MAX(K2654/J2654,0),MAX(J2654/K2654,0))),"") </f>
        <v/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551-2025-06-30</t>
        </is>
      </c>
    </row>
    <row r="2655">
      <c r="A2655" t="n">
        <v>551</v>
      </c>
      <c r="B2655" t="inlineStr">
        <is>
          <t>Evaluación del desempeño de los mentores</t>
        </is>
      </c>
      <c r="C2655" t="inlineStr">
        <is>
          <t>Emprendimiento</t>
        </is>
      </c>
      <c r="D2655" t="inlineStr">
        <is>
          <t>Trimestral</t>
        </is>
      </c>
      <c r="E2655" t="inlineStr">
        <is>
          <t>Positivo</t>
        </is>
      </c>
      <c r="F2655" s="108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4</v>
      </c>
      <c r="K2655" t="n">
        <v>5</v>
      </c>
      <c r="L2655" s="39">
        <f>IFERROR(IF(OR(J2655=0,K2655=""),"",IF(E2655="Positivo",MIN(MAX(K2655/J2655,0),1.3),MIN(MAX(J2655/K2655,0),1.3))),"") </f>
        <v/>
      </c>
      <c r="M2655" s="39">
        <f>IFERROR(IF(OR(J2655=0,K2655=""),"",IF(E2655="Positivo",MAX(K2655/J2655,0),MAX(J2655/K2655,0))),"") </f>
        <v/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551-2025-12-31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08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92</v>
      </c>
      <c r="L2656" s="39">
        <f>IFERROR(IF(OR(J2656=0,K2656=""),"",IF(E2656="Positivo",MIN(MAX(K2656/J2656,0),1.3),MIN(MAX(J2656/K2656,0),1.3))),"") </f>
        <v/>
      </c>
      <c r="M2656" s="39">
        <f>IFERROR(IF(OR(J2656=0,K2656=""),"",IF(E2656="Positivo",MAX(K2656/J2656,0),MAX(J2656/K2656,0))),"") </f>
        <v/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552-2025-06-30</t>
        </is>
      </c>
    </row>
    <row r="2657">
      <c r="A2657" t="n">
        <v>552</v>
      </c>
      <c r="B2657" t="inlineStr">
        <is>
          <t>Nivel de Satisfacción Servicios Prestados -Gestión de la Responsabilidad Social</t>
        </is>
      </c>
      <c r="C2657" t="inlineStr">
        <is>
          <t>Gestión de la Responsabilidad Social</t>
        </is>
      </c>
      <c r="D2657" t="inlineStr">
        <is>
          <t>Anual</t>
        </is>
      </c>
      <c r="E2657" t="inlineStr">
        <is>
          <t>Positivo</t>
        </is>
      </c>
      <c r="F2657" s="108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92</v>
      </c>
      <c r="L2657" s="39">
        <f>IFERROR(IF(OR(J2657=0,K2657=""),"",IF(E2657="Positivo",MIN(MAX(K2657/J2657,0),1.3),MIN(MAX(J2657/K2657,0),1.3))),"") </f>
        <v/>
      </c>
      <c r="M2657" s="39">
        <f>IFERROR(IF(OR(J2657=0,K2657=""),"",IF(E2657="Positivo",MAX(K2657/J2657,0),MAX(J2657/K2657,0))),"") </f>
        <v/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552-2025-12-31</t>
        </is>
      </c>
    </row>
    <row r="2658">
      <c r="A2658" t="n">
        <v>553</v>
      </c>
      <c r="B2658" t="inlineStr">
        <is>
          <t>Nivel de Satisfacción Servicios Prestados -Inscripción, admisión y matrícula de estudiantes nuevos</t>
        </is>
      </c>
      <c r="C2658" t="inlineStr">
        <is>
          <t>Inscripción, admisión y matrícula de estudiantes nuevos</t>
        </is>
      </c>
      <c r="D2658" t="inlineStr">
        <is>
          <t>Anual</t>
        </is>
      </c>
      <c r="E2658" t="inlineStr">
        <is>
          <t>Positivo</t>
        </is>
      </c>
      <c r="F2658" s="108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83</v>
      </c>
      <c r="L2658" s="39">
        <f>IFERROR(IF(OR(J2658=0,K2658=""),"",IF(E2658="Positivo",MIN(MAX(K2658/J2658,0),1.3),MIN(MAX(J2658/K2658,0),1.3))),"") </f>
        <v/>
      </c>
      <c r="M2658" s="39">
        <f>IFERROR(IF(OR(J2658=0,K2658=""),"",IF(E2658="Positivo",MAX(K2658/J2658,0),MAX(J2658/K2658,0))),"") </f>
        <v/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553-2025-12-31</t>
        </is>
      </c>
    </row>
    <row r="2659">
      <c r="A2659" t="n">
        <v>554</v>
      </c>
      <c r="B2659" t="inlineStr">
        <is>
          <t>Nivel de Satisfacción Servicios Prestados -Permanencia</t>
        </is>
      </c>
      <c r="C2659" t="inlineStr">
        <is>
          <t>Permanencia</t>
        </is>
      </c>
      <c r="D2659" t="inlineStr">
        <is>
          <t>Trimestral</t>
        </is>
      </c>
      <c r="E2659" t="inlineStr">
        <is>
          <t>Positivo</t>
        </is>
      </c>
      <c r="F2659" s="108" t="n">
        <v>45838</v>
      </c>
      <c r="G2659" t="n">
        <v>2025</v>
      </c>
      <c r="H2659" t="inlineStr">
        <is>
          <t>Junio</t>
        </is>
      </c>
      <c r="I2659" t="inlineStr">
        <is>
          <t>2025-1</t>
        </is>
      </c>
      <c r="J2659" t="n">
        <v>80</v>
      </c>
      <c r="L2659" s="39" t="n"/>
      <c r="M2659" s="39" t="n"/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554-2025-06-30</t>
        </is>
      </c>
      <c r="S2659" t="inlineStr">
        <is>
          <t>No Aplica</t>
        </is>
      </c>
    </row>
    <row r="2660">
      <c r="A2660" t="n">
        <v>554</v>
      </c>
      <c r="B2660" t="inlineStr">
        <is>
          <t>Nivel de Satisfacción Servicios Prestados -Permanencia</t>
        </is>
      </c>
      <c r="C2660" t="inlineStr">
        <is>
          <t>Permanencia</t>
        </is>
      </c>
      <c r="D2660" t="inlineStr">
        <is>
          <t>Trimestral</t>
        </is>
      </c>
      <c r="E2660" t="inlineStr">
        <is>
          <t>Positivo</t>
        </is>
      </c>
      <c r="F2660" s="108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80</v>
      </c>
      <c r="K2660" t="n">
        <v>95</v>
      </c>
      <c r="L2660" s="39">
        <f>IFERROR(IF(OR(J2660=0,K2660=""),"",IF(E2660="Positivo",MIN(MAX(K2660/J2660,0),1.3),MIN(MAX(J2660/K2660,0),1.3))),"") </f>
        <v/>
      </c>
      <c r="M2660" s="39">
        <f>IFERROR(IF(OR(J2660=0,K2660=""),"",IF(E2660="Positivo",MAX(K2660/J2660,0),MAX(J2660/K2660,0))),"") </f>
        <v/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554-2025-12-31</t>
        </is>
      </c>
    </row>
    <row r="2661">
      <c r="A2661" t="n">
        <v>555</v>
      </c>
      <c r="B2661" t="inlineStr">
        <is>
          <t>Nivel de Satisfacción Servicios Prestados -Mercadeo y venta de educación para la vida</t>
        </is>
      </c>
      <c r="C2661" t="inlineStr">
        <is>
          <t>Mercadeo y venta de educación para la vida</t>
        </is>
      </c>
      <c r="D2661" t="inlineStr">
        <is>
          <t>Trimestral</t>
        </is>
      </c>
      <c r="E2661" t="inlineStr">
        <is>
          <t>Positivo</t>
        </is>
      </c>
      <c r="F2661" s="108" t="n">
        <v>46022</v>
      </c>
      <c r="G2661" t="n">
        <v>2025</v>
      </c>
      <c r="H2661" t="inlineStr">
        <is>
          <t>Diciembre</t>
        </is>
      </c>
      <c r="I2661" t="inlineStr">
        <is>
          <t>2025-2</t>
        </is>
      </c>
      <c r="J2661" t="n">
        <v>80</v>
      </c>
      <c r="K2661" t="n">
        <v>100</v>
      </c>
      <c r="L2661" s="39">
        <f>IFERROR(IF(OR(J2661=0,K2661=""),"",IF(E2661="Positivo",MIN(MAX(K2661/J2661,0),1.3),MIN(MAX(J2661/K2661,0),1.3))),"") </f>
        <v/>
      </c>
      <c r="M2661" s="39">
        <f>IFERROR(IF(OR(J2661=0,K2661=""),"",IF(E2661="Positivo",MAX(K2661/J2661,0),MAX(J2661/K2661,0))),"") </f>
        <v/>
      </c>
      <c r="N2661" t="inlineStr">
        <is>
          <t>%</t>
        </is>
      </c>
      <c r="O2661" t="inlineStr">
        <is>
          <t>%</t>
        </is>
      </c>
      <c r="P2661" t="n">
        <v>0</v>
      </c>
      <c r="Q2661" t="n">
        <v>0</v>
      </c>
      <c r="R2661" t="inlineStr">
        <is>
          <t>555-2025-12-31</t>
        </is>
      </c>
    </row>
    <row r="2662">
      <c r="A2662" t="n">
        <v>556</v>
      </c>
      <c r="B2662" t="inlineStr">
        <is>
          <t>Cumplimiento Plan de formación Institucional</t>
        </is>
      </c>
      <c r="C2662" t="inlineStr">
        <is>
          <t>GESTIÓN Y DESARROLLO DEL TALENTO HUMANO</t>
        </is>
      </c>
      <c r="D2662" t="inlineStr">
        <is>
          <t>Anual</t>
        </is>
      </c>
      <c r="E2662" t="inlineStr">
        <is>
          <t>Positivo</t>
        </is>
      </c>
      <c r="F2662" s="108" t="n">
        <v>46022</v>
      </c>
      <c r="G2662" t="n">
        <v>2025</v>
      </c>
      <c r="H2662" t="inlineStr">
        <is>
          <t>Diciembre</t>
        </is>
      </c>
      <c r="I2662" t="inlineStr">
        <is>
          <t>2025-2</t>
        </is>
      </c>
      <c r="J2662" t="n">
        <v>70</v>
      </c>
      <c r="K2662" t="n">
        <v>113.75</v>
      </c>
      <c r="L2662" s="39">
        <f>IFERROR(IF(OR(J2662=0,K2662=""),"",IF(E2662="Positivo",MIN(MAX(K2662/J2662,0),1.3),MIN(MAX(J2662/K2662,0),1.3))),"") </f>
        <v/>
      </c>
      <c r="M2662" s="39">
        <f>IFERROR(IF(OR(J2662=0,K2662=""),"",IF(E2662="Positivo",MAX(K2662/J2662,0),MAX(J2662/K2662,0))),"") </f>
        <v/>
      </c>
      <c r="N2662" t="inlineStr">
        <is>
          <t>%</t>
        </is>
      </c>
      <c r="O2662" t="inlineStr">
        <is>
          <t>%</t>
        </is>
      </c>
      <c r="P2662" t="n">
        <v>0</v>
      </c>
      <c r="Q2662" t="n">
        <v>0</v>
      </c>
      <c r="R2662" t="inlineStr">
        <is>
          <t>556-2025-12-31</t>
        </is>
      </c>
    </row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1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1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1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1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1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1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1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1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1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1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1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1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1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1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1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01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1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01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1" t="n">
        <v>45107</v>
      </c>
      <c r="G20" s="15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1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1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01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7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1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1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1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00" t="n">
        <v>44926</v>
      </c>
      <c r="G27" s="15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1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1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1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7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01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1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7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1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1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1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7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1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1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1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7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1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1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1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5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1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  <c r="S42" t="inlineStr"/>
    </row>
    <row r="43" hidden="1">
      <c r="A43" s="26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1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7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 hidden="1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1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 hidden="1">
      <c r="A45" s="26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1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7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 hidden="1">
      <c r="A46" s="5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1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 hidden="1">
      <c r="A47" s="26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1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7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 hidden="1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1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 hidden="1">
      <c r="A49" s="26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1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7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 hidden="1">
      <c r="A50" s="5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101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7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 hidden="1">
      <c r="A51" s="28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1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7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</row>
    <row r="52" hidden="1">
      <c r="A52" s="26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1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7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1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7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 hidden="1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1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7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</row>
    <row r="55" hidden="1">
      <c r="A55" s="5" t="n">
        <v>85</v>
      </c>
      <c r="B55" s="20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1" t="n">
        <v>44926</v>
      </c>
      <c r="G55" s="15" t="n">
        <v>2022</v>
      </c>
      <c r="H55" s="6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</row>
    <row r="56" hidden="1">
      <c r="A56" s="26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1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7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 hidden="1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1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 hidden="1">
      <c r="A58" s="26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1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</row>
    <row r="59" hidden="1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1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10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</row>
    <row r="60" hidden="1">
      <c r="A60" s="26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101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73" t="n">
        <v>100</v>
      </c>
      <c r="K60" s="9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</row>
    <row r="61" hidden="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1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73" t="n">
        <v>100</v>
      </c>
      <c r="K61" s="9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 hidden="1">
      <c r="A62" s="26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1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5" t="n">
        <v>100</v>
      </c>
      <c r="K62" s="5" t="n">
        <v>100</v>
      </c>
      <c r="L62" s="7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1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 hidden="1">
      <c r="A64" s="26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1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7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Semestral</t>
        </is>
      </c>
      <c r="E65" s="5" t="inlineStr">
        <is>
          <t>Positivo</t>
        </is>
      </c>
      <c r="F65" s="101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 hidden="1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1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7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1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7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1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 hidden="1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1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10" t="n">
        <v>100</v>
      </c>
      <c r="L69" s="7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 hidden="1">
      <c r="A70" s="26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1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7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1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4">
        <f>IFERROR(IF(OR(J71=0,K71=""),"",IF(E71="Positivo",MIN(MAX(K71/J71,0),1.0),MIN(MAX(J71/K71,0),1.0))),"")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1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14">
        <f>IFERROR(IF(OR(J72=0,K72=""),"",IF(E72="Positivo",MIN(MAX(K72/J72,0),1.0),MIN(MAX(J72/K72,0),1.0))),"")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1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74">
        <f>IFERROR(IF(OR(J73=0,K73=""),"",IF(E73="Positivo",MIN(MAX(K73/J73,0),1.0),MIN(MAX(J73/K73,0),1.0))),"")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 hidden="1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1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74">
        <f>IFERROR(IF(OR(J74=0,K74=""),"",IF(E74="Positivo",MIN(MAX(K74/J74,0),1.0),MIN(MAX(J74/K74,0),1.0))),"")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1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1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7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1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7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 hidden="1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1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1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7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1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7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1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 hidden="1">
      <c r="A82" s="26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1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7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1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1" t="n">
        <v>45291</v>
      </c>
      <c r="G84" s="15" t="n">
        <v>2023</v>
      </c>
      <c r="H84" s="6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7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 hidden="1">
      <c r="A85" s="26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1" t="n">
        <v>45657</v>
      </c>
      <c r="G85" s="5" t="n">
        <v>2024</v>
      </c>
      <c r="H85" s="5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7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 hidden="1">
      <c r="A86" s="5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1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1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1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7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1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7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 hidden="1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1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1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7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1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7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1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 hidden="1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101" t="n">
        <v>46022</v>
      </c>
      <c r="G94" s="15" t="n">
        <v>2025</v>
      </c>
      <c r="H94" s="6" t="inlineStr">
        <is>
          <t>Diciembre</t>
        </is>
      </c>
      <c r="I94" s="6" t="inlineStr">
        <is>
          <t>2025-2</t>
        </is>
      </c>
      <c r="J94" s="73" t="n">
        <v>100</v>
      </c>
      <c r="K94" s="9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1" t="n">
        <v>44742</v>
      </c>
      <c r="G95" s="15" t="n">
        <v>2022</v>
      </c>
      <c r="H95" s="6" t="inlineStr">
        <is>
          <t>Junio</t>
        </is>
      </c>
      <c r="I95" s="6" t="inlineStr">
        <is>
          <t>2022-1</t>
        </is>
      </c>
      <c r="J95" s="73" t="n">
        <v>100</v>
      </c>
      <c r="K95" s="9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101" t="n">
        <v>44926</v>
      </c>
      <c r="G96" s="15" t="n">
        <v>2022</v>
      </c>
      <c r="H96" s="6" t="inlineStr">
        <is>
          <t>Diciembre</t>
        </is>
      </c>
      <c r="I96" s="6" t="inlineStr">
        <is>
          <t>2022-2</t>
        </is>
      </c>
      <c r="J96" s="73" t="n">
        <v>100</v>
      </c>
      <c r="K96" s="9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</row>
    <row r="97" hidden="1">
      <c r="A97" s="26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1" t="n">
        <v>45107</v>
      </c>
      <c r="G97" s="5" t="n">
        <v>2023</v>
      </c>
      <c r="H97" s="5" t="inlineStr">
        <is>
          <t>Junio</t>
        </is>
      </c>
      <c r="I97" s="6" t="inlineStr">
        <is>
          <t>2023-1</t>
        </is>
      </c>
      <c r="J97" s="73" t="n">
        <v>100</v>
      </c>
      <c r="K97" s="9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1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73" t="n">
        <v>100</v>
      </c>
      <c r="K98" s="9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1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73" t="n">
        <v>100</v>
      </c>
      <c r="K99" s="9" t="n">
        <v>100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9" t="inlineStr">
        <is>
          <t>%</t>
        </is>
      </c>
      <c r="O99" s="9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 hidden="1">
      <c r="A100" s="26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1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5" t="n">
        <v>100</v>
      </c>
      <c r="L100" s="7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Semestral</t>
        </is>
      </c>
      <c r="E101" s="5" t="inlineStr">
        <is>
          <t>Positivo</t>
        </is>
      </c>
      <c r="F101" s="101" t="n">
        <v>45838</v>
      </c>
      <c r="G101" s="15" t="n">
        <v>2025</v>
      </c>
      <c r="H101" s="6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7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 hidden="1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101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</row>
    <row r="103" hidden="1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101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1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98.3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</row>
    <row r="105" hidden="1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1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99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 hidden="1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1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99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 hidden="1">
      <c r="A107" s="26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1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5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1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</row>
    <row r="109" hidden="1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1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1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 hidden="1">
      <c r="A111" s="26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1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</row>
    <row r="112" hidden="1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1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</row>
    <row r="113" hidden="1">
      <c r="A113" s="26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1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1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 hidden="1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01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1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/>
      <c r="K116" s="5" t="n"/>
      <c r="L116" s="8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108-2023-12-31</t>
        </is>
      </c>
    </row>
    <row r="117" hidden="1">
      <c r="A117" s="26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1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101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n"/>
      <c r="K118" s="5" t="n"/>
      <c r="L118" s="8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109-2023-12-31</t>
        </is>
      </c>
    </row>
    <row r="119" hidden="1">
      <c r="A119" s="26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101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15" t="n"/>
      <c r="L119" s="14" t="n"/>
      <c r="M119" s="14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 hidden="1">
      <c r="A120" s="26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1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5" t="n">
        <v>73.4019151138716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101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5" t="n">
        <v>78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 hidden="1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101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5" t="n"/>
      <c r="L122" s="14" t="n"/>
      <c r="M122" s="14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 hidden="1">
      <c r="A123" s="26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101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1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 hidden="1">
      <c r="A125" s="26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1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1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1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Trimestral</t>
        </is>
      </c>
      <c r="E128" s="5" t="inlineStr">
        <is>
          <t>Positivo</t>
        </is>
      </c>
      <c r="F128" s="101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7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 hidden="1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101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7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</row>
    <row r="130" hidden="1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1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 hidden="1">
      <c r="A131" s="28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1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 hidden="1">
      <c r="A132" s="26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101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 hidden="1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1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 hidden="1">
      <c r="A134" s="26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1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5" t="n">
        <v>80</v>
      </c>
      <c r="K134" s="5" t="n">
        <v>88</v>
      </c>
      <c r="L134" s="7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 hidden="1">
      <c r="A135" s="5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101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103" t="n">
        <v>80</v>
      </c>
      <c r="K135" s="103" t="n">
        <v>88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1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103" t="n">
        <v>80</v>
      </c>
      <c r="K136" s="103" t="n">
        <v>82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1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104" t="n">
        <v>80</v>
      </c>
      <c r="K137" s="104" t="n">
        <v>86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 hidden="1">
      <c r="A138" s="5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101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9" t="n">
        <v>80</v>
      </c>
      <c r="K138" s="9" t="n">
        <v>81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 hidden="1">
      <c r="A139" s="28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1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80</v>
      </c>
      <c r="K139" s="5" t="n">
        <v>90.7894054838542</v>
      </c>
      <c r="L139" s="7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 hidden="1">
      <c r="A140" s="26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1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74" t="n"/>
      <c r="M140" s="14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1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1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 hidden="1">
      <c r="A143" s="26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1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74" t="n"/>
      <c r="M143" s="14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101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 hidden="1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101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</row>
    <row r="146" hidden="1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1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1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 hidden="1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101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 hidden="1">
      <c r="A149" s="28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1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7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 hidden="1">
      <c r="A150" s="26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1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7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 hidden="1">
      <c r="A151" s="5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101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1" t="n">
        <v>44742</v>
      </c>
      <c r="G152" s="5" t="n">
        <v>2022</v>
      </c>
      <c r="H152" s="5" t="inlineStr">
        <is>
          <t>Junio</t>
        </is>
      </c>
      <c r="I152" s="6" t="inlineStr">
        <is>
          <t>2022-1</t>
        </is>
      </c>
      <c r="J152" s="5" t="n">
        <v>100</v>
      </c>
      <c r="K152" s="5" t="n">
        <v>100.01207569838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 hidden="1">
      <c r="A153" s="26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1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102</v>
      </c>
      <c r="K153" s="5" t="n">
        <v>99.868284606334</v>
      </c>
      <c r="L153" s="7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1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0" t="n">
        <v>45291</v>
      </c>
      <c r="G155" s="15" t="n">
        <v>2023</v>
      </c>
      <c r="H155" s="6" t="inlineStr">
        <is>
          <t>Diciembre</t>
        </is>
      </c>
      <c r="I155" s="27" t="inlineStr">
        <is>
          <t>2023-2</t>
        </is>
      </c>
      <c r="J155" s="5" t="n">
        <v>102</v>
      </c>
      <c r="K155" s="5" t="n">
        <v>111.3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0" t="n">
        <v>45473</v>
      </c>
      <c r="G156" s="15" t="n">
        <v>2024</v>
      </c>
      <c r="H156" s="6" t="inlineStr">
        <is>
          <t>Junio</t>
        </is>
      </c>
      <c r="I156" s="27" t="inlineStr">
        <is>
          <t>2024-1</t>
        </is>
      </c>
      <c r="J156" s="5" t="n">
        <v>102</v>
      </c>
      <c r="K156" s="5" t="n">
        <v>101.89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1" t="n">
        <v>45657</v>
      </c>
      <c r="G157" s="5" t="n">
        <v>2024</v>
      </c>
      <c r="H157" s="5" t="inlineStr">
        <is>
          <t>Diciembre</t>
        </is>
      </c>
      <c r="I157" s="6" t="inlineStr">
        <is>
          <t>2024-2</t>
        </is>
      </c>
      <c r="J157" s="5" t="n">
        <v>102</v>
      </c>
      <c r="K157" s="5" t="n">
        <v>100.17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 hidden="1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1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 hidden="1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101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7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</row>
    <row r="160" hidden="1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1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7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</row>
    <row r="161" hidden="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101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</row>
    <row r="162" hidden="1">
      <c r="A162" s="26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1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7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 hidden="1">
      <c r="A163" s="5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1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 hidden="1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1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7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 hidden="1">
      <c r="A165" s="26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1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7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 hidden="1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Bimestral</t>
        </is>
      </c>
      <c r="E166" s="5" t="inlineStr">
        <is>
          <t>Positivo</t>
        </is>
      </c>
      <c r="F166" s="101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 hidden="1">
      <c r="A167" s="26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01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7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</row>
    <row r="168" hidden="1">
      <c r="A168" s="5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101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  <c r="S168" t="inlineStr"/>
    </row>
    <row r="169" hidden="1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1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 hidden="1">
      <c r="A170" s="28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1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 hidden="1">
      <c r="A171" s="26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1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 hidden="1">
      <c r="A172" s="5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1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 hidden="1">
      <c r="A173" s="5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1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 hidden="1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1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7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 hidden="1">
      <c r="A175" s="26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1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7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 hidden="1">
      <c r="A176" s="26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1" t="n">
        <v>45869</v>
      </c>
      <c r="G176" s="5" t="n">
        <v>2025</v>
      </c>
      <c r="H176" s="5" t="inlineStr">
        <is>
          <t>Julio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7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124-2025-07-31</t>
        </is>
      </c>
    </row>
    <row r="177" hidden="1">
      <c r="A177" s="5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1" t="n">
        <v>46022</v>
      </c>
      <c r="G177" s="5" t="n">
        <v>2025</v>
      </c>
      <c r="H177" s="5" t="inlineStr">
        <is>
          <t>Diciembre</t>
        </is>
      </c>
      <c r="I177" s="6" t="inlineStr">
        <is>
          <t>2025-2</t>
        </is>
      </c>
      <c r="J177" s="5" t="n">
        <v>0.2</v>
      </c>
      <c r="K177" s="5" t="n">
        <v>0.01333333333333333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124-2025-12-31</t>
        </is>
      </c>
    </row>
    <row r="178" hidden="1">
      <c r="A178" s="5" t="n">
        <v>124</v>
      </c>
      <c r="B178" s="5" t="inlineStr">
        <is>
          <t>Indice de Frecuencia de accidentalidad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1" t="n">
        <v>46203</v>
      </c>
      <c r="G178" s="5" t="n">
        <v>2026</v>
      </c>
      <c r="H178" s="5" t="inlineStr">
        <is>
          <t>Junio</t>
        </is>
      </c>
      <c r="I178" s="6" t="inlineStr">
        <is>
          <t>2026-1</t>
        </is>
      </c>
      <c r="J178" s="5" t="n">
        <v>0.2</v>
      </c>
      <c r="K178" s="5" t="n">
        <v>0.075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124-2026-06-30</t>
        </is>
      </c>
      <c r="S178" t="inlineStr"/>
    </row>
    <row r="179" hidden="1">
      <c r="A179" s="28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1" t="n">
        <v>44742</v>
      </c>
      <c r="G179" s="5" t="n">
        <v>2022</v>
      </c>
      <c r="H179" s="5" t="inlineStr">
        <is>
          <t>Junio</t>
        </is>
      </c>
      <c r="I179" s="6" t="inlineStr">
        <is>
          <t>2022-1</t>
        </is>
      </c>
      <c r="J179" s="5" t="n">
        <v>4.7</v>
      </c>
      <c r="K179" s="5" t="n">
        <v>0.07940876177520667</v>
      </c>
      <c r="L179" s="7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125-2022-06-30</t>
        </is>
      </c>
    </row>
    <row r="180" hidden="1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1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4.7</v>
      </c>
      <c r="K180" s="5" t="n">
        <v>0.07941803125652</v>
      </c>
      <c r="L180" s="7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125-2022-12-31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1" t="n">
        <v>45107</v>
      </c>
      <c r="G181" s="5" t="n">
        <v>2023</v>
      </c>
      <c r="H181" s="5" t="inlineStr">
        <is>
          <t>Junio</t>
        </is>
      </c>
      <c r="I181" s="6" t="inlineStr">
        <is>
          <t>2023-1</t>
        </is>
      </c>
      <c r="J181" s="5" t="n">
        <v>4.7</v>
      </c>
      <c r="K181" s="5" t="n">
        <v>0.021741020958345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125-2023-06-30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1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4.7</v>
      </c>
      <c r="K182" s="5" t="n">
        <v>0.32943396226415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125-2023-12-31</t>
        </is>
      </c>
    </row>
    <row r="183" hidden="1">
      <c r="A183" s="26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1" t="n">
        <v>45473</v>
      </c>
      <c r="G183" s="5" t="n">
        <v>2024</v>
      </c>
      <c r="H183" s="5" t="inlineStr">
        <is>
          <t>Junio</t>
        </is>
      </c>
      <c r="I183" s="6" t="inlineStr">
        <is>
          <t>2024-1</t>
        </is>
      </c>
      <c r="J183" s="5" t="n">
        <v>1.9</v>
      </c>
      <c r="K183" s="5" t="n">
        <v>0.03485292067475255</v>
      </c>
      <c r="L183" s="7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125-2024-06-30</t>
        </is>
      </c>
    </row>
    <row r="184" hidden="1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01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1.9</v>
      </c>
      <c r="K184" s="5" t="n">
        <v>0.15220700152207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125-2024-12-31</t>
        </is>
      </c>
    </row>
    <row r="185" hidden="1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01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1.9</v>
      </c>
      <c r="K185" s="5" t="n">
        <v>0.1605788514129444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125-2025-06-30</t>
        </is>
      </c>
    </row>
    <row r="186" hidden="1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00" t="n">
        <v>46022</v>
      </c>
      <c r="G186" s="15" t="n">
        <v>2025</v>
      </c>
      <c r="H186" s="6" t="inlineStr">
        <is>
          <t>Diciembre</t>
        </is>
      </c>
      <c r="I186" s="27" t="inlineStr">
        <is>
          <t>2025-2</t>
        </is>
      </c>
      <c r="J186" s="5" t="n">
        <v>1.9</v>
      </c>
      <c r="K186" s="5" t="n">
        <v>0.04166666666666666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125-2025-12-31</t>
        </is>
      </c>
    </row>
    <row r="187" hidden="1">
      <c r="A187" s="5" t="n">
        <v>125</v>
      </c>
      <c r="B187" s="5" t="inlineStr">
        <is>
          <t>Indice de severidad</t>
        </is>
      </c>
      <c r="C187" s="5" t="inlineStr">
        <is>
          <t>GESTIÓN DE SEGURIDAD Y SALUD EN EL TRABAJO</t>
        </is>
      </c>
      <c r="D187" s="5" t="inlineStr">
        <is>
          <t>Mensual</t>
        </is>
      </c>
      <c r="E187" s="5" t="inlineStr">
        <is>
          <t>Negativo</t>
        </is>
      </c>
      <c r="F187" s="100" t="n">
        <v>46203</v>
      </c>
      <c r="G187" s="15" t="n">
        <v>2026</v>
      </c>
      <c r="H187" s="6" t="inlineStr">
        <is>
          <t>Junio</t>
        </is>
      </c>
      <c r="I187" s="27" t="inlineStr">
        <is>
          <t>2026-1</t>
        </is>
      </c>
      <c r="J187" s="5" t="n">
        <v>4.7</v>
      </c>
      <c r="K187" s="5" t="n">
        <v>0.225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DEC</t>
        </is>
      </c>
      <c r="O187" s="5" t="inlineStr">
        <is>
          <t>DEC</t>
        </is>
      </c>
      <c r="P187" s="5" t="n">
        <v>1</v>
      </c>
      <c r="Q187" s="5" t="n">
        <v>2</v>
      </c>
      <c r="R187" s="5" t="inlineStr">
        <is>
          <t>125-2026-06-30</t>
        </is>
      </c>
      <c r="S187" t="inlineStr"/>
    </row>
    <row r="188" hidden="1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0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2</v>
      </c>
      <c r="K188" s="5" t="n">
        <v>0.12391573729864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126-2022-12-31</t>
        </is>
      </c>
    </row>
    <row r="189" hidden="1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1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2</v>
      </c>
      <c r="K189" s="5" t="n">
        <v>0.12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126-2023-12-31</t>
        </is>
      </c>
    </row>
    <row r="190" hidden="1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1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2</v>
      </c>
      <c r="K190" s="5" t="n">
        <v>0.1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DEC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126-2024-12-31</t>
        </is>
      </c>
    </row>
    <row r="191" hidden="1">
      <c r="A191" s="5" t="n">
        <v>126</v>
      </c>
      <c r="B191" s="5" t="inlineStr">
        <is>
          <t>Indice de Prevalencia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1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2</v>
      </c>
      <c r="K191" s="5" t="n">
        <v>0.16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1</v>
      </c>
      <c r="R191" s="5" t="inlineStr">
        <is>
          <t>126-2025-12-31</t>
        </is>
      </c>
    </row>
    <row r="192" hidden="1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00" t="n">
        <v>44926</v>
      </c>
      <c r="G192" s="15" t="n">
        <v>2022</v>
      </c>
      <c r="H192" s="6" t="inlineStr">
        <is>
          <t>Diciembre</t>
        </is>
      </c>
      <c r="I192" s="27" t="inlineStr">
        <is>
          <t>2022-2</t>
        </is>
      </c>
      <c r="J192" s="5" t="n">
        <v>0</v>
      </c>
      <c r="K192" s="5" t="n">
        <v>0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127-2022-12-31</t>
        </is>
      </c>
    </row>
    <row r="193" hidden="1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00" t="n">
        <v>45291</v>
      </c>
      <c r="G193" s="15" t="n">
        <v>2023</v>
      </c>
      <c r="H193" s="6" t="inlineStr">
        <is>
          <t>Diciembre</t>
        </is>
      </c>
      <c r="I193" s="27" t="inlineStr">
        <is>
          <t>2023-2</t>
        </is>
      </c>
      <c r="J193" s="5" t="n">
        <v>0</v>
      </c>
      <c r="K193" s="5" t="n">
        <v>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127-2023-12-31</t>
        </is>
      </c>
    </row>
    <row r="194" hidden="1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00" t="n">
        <v>45657</v>
      </c>
      <c r="G194" s="15" t="n">
        <v>2024</v>
      </c>
      <c r="H194" s="6" t="inlineStr">
        <is>
          <t>Diciembre</t>
        </is>
      </c>
      <c r="I194" s="27" t="inlineStr">
        <is>
          <t>2024-2</t>
        </is>
      </c>
      <c r="J194" s="5" t="n">
        <v>0</v>
      </c>
      <c r="K194" s="5" t="n">
        <v>0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127-2024-12-31</t>
        </is>
      </c>
    </row>
    <row r="195" hidden="1">
      <c r="A195" s="26" t="n">
        <v>127</v>
      </c>
      <c r="B195" s="5" t="inlineStr">
        <is>
          <t>Indice de Incidencia EL Enfermedad laboral</t>
        </is>
      </c>
      <c r="C195" s="5" t="inlineStr">
        <is>
          <t>GESTIÓN DE SEGURIDAD Y SALUD EN EL TRABAJO</t>
        </is>
      </c>
      <c r="D195" s="5" t="inlineStr">
        <is>
          <t>Anual</t>
        </is>
      </c>
      <c r="E195" s="5" t="inlineStr">
        <is>
          <t>Negativo</t>
        </is>
      </c>
      <c r="F195" s="101" t="n">
        <v>46022</v>
      </c>
      <c r="G195" s="5" t="n">
        <v>2025</v>
      </c>
      <c r="H195" s="5" t="inlineStr">
        <is>
          <t>Diciembre</t>
        </is>
      </c>
      <c r="I195" s="6" t="inlineStr">
        <is>
          <t>2025-2</t>
        </is>
      </c>
      <c r="J195" s="5" t="n">
        <v>0</v>
      </c>
      <c r="K195" s="5" t="n">
        <v>0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0</v>
      </c>
      <c r="R195" s="5" t="inlineStr">
        <is>
          <t>127-2025-12-31</t>
        </is>
      </c>
    </row>
    <row r="196" hidden="1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1" t="n">
        <v>44742</v>
      </c>
      <c r="G196" s="5" t="n">
        <v>2022</v>
      </c>
      <c r="H196" s="5" t="inlineStr">
        <is>
          <t>Junio</t>
        </is>
      </c>
      <c r="I196" s="6" t="inlineStr">
        <is>
          <t>2022-1</t>
        </is>
      </c>
      <c r="J196" s="5" t="n">
        <v>1</v>
      </c>
      <c r="K196" s="5" t="n">
        <v>0.7173436208217416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1" t="n">
        <v>44926</v>
      </c>
      <c r="G197" s="5" t="n">
        <v>2022</v>
      </c>
      <c r="H197" s="5" t="inlineStr">
        <is>
          <t>Diciembre</t>
        </is>
      </c>
      <c r="I197" s="6" t="inlineStr">
        <is>
          <t>2022-2</t>
        </is>
      </c>
      <c r="J197" s="5" t="n">
        <v>1</v>
      </c>
      <c r="K197" s="5" t="n">
        <v>0.8523290336262234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128-2022-12-31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0" t="n">
        <v>45107</v>
      </c>
      <c r="G198" s="15" t="n">
        <v>2023</v>
      </c>
      <c r="H198" s="6" t="inlineStr">
        <is>
          <t>Junio</t>
        </is>
      </c>
      <c r="I198" s="27" t="inlineStr">
        <is>
          <t>2023-1</t>
        </is>
      </c>
      <c r="J198" s="5" t="n">
        <v>1</v>
      </c>
      <c r="K198" s="5" t="n">
        <v>0.9449840892803549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128-2023-06-30</t>
        </is>
      </c>
    </row>
    <row r="199" hidden="1">
      <c r="A199" s="26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1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>
        <v>1</v>
      </c>
      <c r="K199" s="5" t="n">
        <v>0.7491333924874333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128-2023-12-31</t>
        </is>
      </c>
    </row>
    <row r="200" hidden="1">
      <c r="A200" s="26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01" t="n">
        <v>45473</v>
      </c>
      <c r="G200" s="5" t="n">
        <v>2024</v>
      </c>
      <c r="H200" s="5" t="inlineStr">
        <is>
          <t>Junio</t>
        </is>
      </c>
      <c r="I200" s="6" t="inlineStr">
        <is>
          <t>2024-1</t>
        </is>
      </c>
      <c r="J200" s="5" t="n">
        <v>1</v>
      </c>
      <c r="K200" s="5" t="n">
        <v>0.6606634090870904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128-2024-06-30</t>
        </is>
      </c>
    </row>
    <row r="201" hidden="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01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1</v>
      </c>
      <c r="K201" s="5" t="n">
        <v>0.701289310309125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128-2024-12-31</t>
        </is>
      </c>
    </row>
    <row r="202" hidden="1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01" t="n">
        <v>45838</v>
      </c>
      <c r="G202" s="5" t="n">
        <v>2025</v>
      </c>
      <c r="H202" s="5" t="inlineStr">
        <is>
          <t>Junio</t>
        </is>
      </c>
      <c r="I202" s="6" t="inlineStr">
        <is>
          <t>2025-1</t>
        </is>
      </c>
      <c r="J202" s="5" t="n">
        <v>1</v>
      </c>
      <c r="K202" s="5" t="n">
        <v>0.9333333333333332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128-2025-06-30</t>
        </is>
      </c>
    </row>
    <row r="203" hidden="1">
      <c r="A203" s="28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01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</v>
      </c>
      <c r="K203" s="5" t="n">
        <v>0.8799999999999999</v>
      </c>
      <c r="L203" s="7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128-2025-12-31</t>
        </is>
      </c>
    </row>
    <row r="204" hidden="1">
      <c r="A204" s="26" t="n">
        <v>128</v>
      </c>
      <c r="B204" s="5" t="inlineStr">
        <is>
          <t>Ausentísmo por causa médica</t>
        </is>
      </c>
      <c r="C204" s="5" t="inlineStr">
        <is>
          <t>GESTIÓN DE SEGURIDAD Y SALUD EN EL TRABAJO</t>
        </is>
      </c>
      <c r="D204" s="5" t="inlineStr">
        <is>
          <t>Mensual</t>
        </is>
      </c>
      <c r="E204" s="5" t="inlineStr">
        <is>
          <t>Negativo</t>
        </is>
      </c>
      <c r="F204" s="101" t="n">
        <v>46203</v>
      </c>
      <c r="G204" s="5" t="n">
        <v>2026</v>
      </c>
      <c r="H204" s="5" t="inlineStr">
        <is>
          <t>Junio</t>
        </is>
      </c>
      <c r="I204" s="6" t="inlineStr">
        <is>
          <t>2026-1</t>
        </is>
      </c>
      <c r="J204" s="5" t="n">
        <v>1</v>
      </c>
      <c r="K204" s="5" t="n">
        <v>0.8149999999999999</v>
      </c>
      <c r="L204" s="7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DEC</t>
        </is>
      </c>
      <c r="P204" s="5" t="n">
        <v>0</v>
      </c>
      <c r="Q204" s="5" t="n">
        <v>2</v>
      </c>
      <c r="R204" s="5" t="inlineStr">
        <is>
          <t>128-2026-06-30</t>
        </is>
      </c>
      <c r="S204" t="inlineStr"/>
    </row>
    <row r="205" hidden="1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01" t="n">
        <v>44865</v>
      </c>
      <c r="G205" s="5" t="n">
        <v>2022</v>
      </c>
      <c r="H205" s="5" t="inlineStr">
        <is>
          <t>Octubre</t>
        </is>
      </c>
      <c r="I205" s="6" t="inlineStr">
        <is>
          <t>2022-2</t>
        </is>
      </c>
      <c r="J205" s="5" t="n">
        <v>80</v>
      </c>
      <c r="K205" s="5" t="n">
        <v>90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133-2022-10-31</t>
        </is>
      </c>
    </row>
    <row r="206" hidden="1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01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92.78911564625851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133-2023-12-31</t>
        </is>
      </c>
    </row>
    <row r="207" hidden="1">
      <c r="A207" s="26" t="n">
        <v>133</v>
      </c>
      <c r="B207" s="5" t="inlineStr">
        <is>
          <t>Nivel de Satisfacción Servicios Prestados</t>
        </is>
      </c>
      <c r="C207" s="5" t="inlineStr">
        <is>
          <t>VISIBILIDAD NACIONAL E INTERNACIONAL</t>
        </is>
      </c>
      <c r="D207" s="5" t="inlineStr">
        <is>
          <t>Anual</t>
        </is>
      </c>
      <c r="E207" s="5" t="inlineStr">
        <is>
          <t>Positivo</t>
        </is>
      </c>
      <c r="F207" s="101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91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133-2024-12-31</t>
        </is>
      </c>
    </row>
    <row r="208" hidden="1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01" t="n">
        <v>45107</v>
      </c>
      <c r="G208" s="5" t="n">
        <v>2023</v>
      </c>
      <c r="H208" s="5" t="inlineStr">
        <is>
          <t>Junio</t>
        </is>
      </c>
      <c r="I208" s="6" t="inlineStr">
        <is>
          <t>2023-1</t>
        </is>
      </c>
      <c r="J208" s="5" t="n">
        <v>90</v>
      </c>
      <c r="K208" s="5" t="n">
        <v>105.56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136-2023-06-30</t>
        </is>
      </c>
    </row>
    <row r="209" hidden="1">
      <c r="A209" s="5" t="n">
        <v>136</v>
      </c>
      <c r="B209" s="5" t="inlineStr">
        <is>
          <t>Ejecución de actividades culturales</t>
        </is>
      </c>
      <c r="C209" s="5" t="inlineStr">
        <is>
          <t>Biblioteca Institucional</t>
        </is>
      </c>
      <c r="D209" s="5" t="inlineStr">
        <is>
          <t>Semestral</t>
        </is>
      </c>
      <c r="E209" s="5" t="inlineStr">
        <is>
          <t>Positivo</t>
        </is>
      </c>
      <c r="F209" s="101" t="n">
        <v>45291</v>
      </c>
      <c r="G209" s="15" t="n">
        <v>2023</v>
      </c>
      <c r="H209" s="6" t="inlineStr">
        <is>
          <t>Diciembre</t>
        </is>
      </c>
      <c r="I209" s="6" t="inlineStr">
        <is>
          <t>2023-2</t>
        </is>
      </c>
      <c r="J209" s="5" t="n">
        <v>90</v>
      </c>
      <c r="K209" s="5" t="n">
        <v>94.44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136-2023-12-31</t>
        </is>
      </c>
    </row>
    <row r="210" hidden="1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01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5" t="n">
        <v>212</v>
      </c>
      <c r="K210" s="5" t="n">
        <v>213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n"/>
      <c r="O210" s="5" t="n"/>
      <c r="P210" s="5" t="n">
        <v>0</v>
      </c>
      <c r="Q210" s="5" t="n">
        <v>0</v>
      </c>
      <c r="R210" s="5" t="inlineStr">
        <is>
          <t>137-2023-06-30</t>
        </is>
      </c>
    </row>
    <row r="211" hidden="1">
      <c r="A211" s="5" t="n">
        <v>137</v>
      </c>
      <c r="B211" s="5" t="inlineStr">
        <is>
          <t>Ejecución de Talleres de formación</t>
        </is>
      </c>
      <c r="C211" s="5" t="inlineStr">
        <is>
          <t>Biblioteca Institucional</t>
        </is>
      </c>
      <c r="D211" s="5" t="inlineStr">
        <is>
          <t>Trimestral</t>
        </is>
      </c>
      <c r="E211" s="5" t="inlineStr">
        <is>
          <t>Positivo</t>
        </is>
      </c>
      <c r="F211" s="100" t="n">
        <v>45291</v>
      </c>
      <c r="G211" s="15" t="n">
        <v>2023</v>
      </c>
      <c r="H211" s="6" t="inlineStr">
        <is>
          <t>Diciembre</t>
        </is>
      </c>
      <c r="I211" s="27" t="inlineStr">
        <is>
          <t>2023-2</t>
        </is>
      </c>
      <c r="J211" s="103" t="n">
        <v>235</v>
      </c>
      <c r="K211" s="103" t="n">
        <v>3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n"/>
      <c r="O211" s="5" t="n"/>
      <c r="P211" s="5" t="n">
        <v>0</v>
      </c>
      <c r="Q211" s="5" t="n">
        <v>0</v>
      </c>
      <c r="R211" s="5" t="inlineStr">
        <is>
          <t>137-2023-12-31</t>
        </is>
      </c>
    </row>
    <row r="212" hidden="1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00" t="n">
        <v>45107</v>
      </c>
      <c r="G212" s="15" t="n">
        <v>2023</v>
      </c>
      <c r="H212" s="6" t="inlineStr">
        <is>
          <t>Junio</t>
        </is>
      </c>
      <c r="I212" s="27" t="inlineStr">
        <is>
          <t>2023-1</t>
        </is>
      </c>
      <c r="J212" s="103" t="n">
        <v>570.083</v>
      </c>
      <c r="K212" s="103" t="n">
        <v>410.077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139-2023-06-30</t>
        </is>
      </c>
    </row>
    <row r="213" hidden="1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00" t="n">
        <v>45291</v>
      </c>
      <c r="G213" s="15" t="n">
        <v>2023</v>
      </c>
      <c r="H213" s="6" t="inlineStr">
        <is>
          <t>Diciembre</t>
        </is>
      </c>
      <c r="I213" s="27" t="inlineStr">
        <is>
          <t>2023-2</t>
        </is>
      </c>
      <c r="J213" s="73" t="n">
        <v>981.982</v>
      </c>
      <c r="K213" s="103" t="n">
        <v>964.284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139-2023-12-31</t>
        </is>
      </c>
    </row>
    <row r="214" hidden="1">
      <c r="A214" s="26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01" t="n">
        <v>45473</v>
      </c>
      <c r="G214" s="5" t="n">
        <v>2024</v>
      </c>
      <c r="H214" s="5" t="inlineStr">
        <is>
          <t>Junio</t>
        </is>
      </c>
      <c r="I214" s="6" t="inlineStr">
        <is>
          <t>2024-1</t>
        </is>
      </c>
      <c r="J214" s="73" t="n">
        <v>624.0215930000001</v>
      </c>
      <c r="K214" s="103" t="n">
        <v>470.811775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139-2024-06-30</t>
        </is>
      </c>
    </row>
    <row r="215" hidden="1">
      <c r="A215" s="5" t="n">
        <v>139</v>
      </c>
      <c r="B215" s="5" t="inlineStr">
        <is>
          <t>Ejecución presupuestal del gasto</t>
        </is>
      </c>
      <c r="C215" s="5" t="inlineStr">
        <is>
          <t>Biblioteca Institucional</t>
        </is>
      </c>
      <c r="D215" s="5" t="inlineStr">
        <is>
          <t>Mensual</t>
        </is>
      </c>
      <c r="E215" s="5" t="inlineStr">
        <is>
          <t>Negativo</t>
        </is>
      </c>
      <c r="F215" s="101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76" t="n">
        <v>1338.614396</v>
      </c>
      <c r="K215" s="10" t="n">
        <v>1214.751881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$</t>
        </is>
      </c>
      <c r="O215" s="5" t="inlineStr">
        <is>
          <t>$</t>
        </is>
      </c>
      <c r="P215" s="5" t="n">
        <v>0</v>
      </c>
      <c r="Q215" s="5" t="n">
        <v>0</v>
      </c>
      <c r="R215" s="5" t="inlineStr">
        <is>
          <t>139-2024-12-31</t>
        </is>
      </c>
    </row>
    <row r="216" hidden="1">
      <c r="A216" s="26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01" t="n">
        <v>44742</v>
      </c>
      <c r="G216" s="5" t="n">
        <v>2022</v>
      </c>
      <c r="H216" s="5" t="inlineStr">
        <is>
          <t>Junio</t>
        </is>
      </c>
      <c r="I216" s="6" t="inlineStr">
        <is>
          <t>2022-1</t>
        </is>
      </c>
      <c r="J216" s="73" t="n">
        <v>100</v>
      </c>
      <c r="K216" s="103" t="n">
        <v>147</v>
      </c>
      <c r="L216" s="14" t="n"/>
      <c r="M216" s="14" t="n"/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143-2022-06-30</t>
        </is>
      </c>
      <c r="S216" t="inlineStr">
        <is>
          <t>Metrica</t>
        </is>
      </c>
    </row>
    <row r="217" hidden="1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00" t="n">
        <v>44926</v>
      </c>
      <c r="G217" s="15" t="n">
        <v>2022</v>
      </c>
      <c r="H217" s="6" t="inlineStr">
        <is>
          <t>Diciembre</t>
        </is>
      </c>
      <c r="I217" s="27" t="inlineStr">
        <is>
          <t>2022-2</t>
        </is>
      </c>
      <c r="J217" s="11" t="n">
        <v>100</v>
      </c>
      <c r="K217" s="11" t="n">
        <v>158</v>
      </c>
      <c r="L217" s="14" t="n"/>
      <c r="M217" s="14" t="n"/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143-2022-12-31</t>
        </is>
      </c>
      <c r="S217" t="inlineStr">
        <is>
          <t>Metrica</t>
        </is>
      </c>
    </row>
    <row r="218" hidden="1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00" t="n">
        <v>45107</v>
      </c>
      <c r="G218" s="15" t="n">
        <v>2023</v>
      </c>
      <c r="H218" s="6" t="inlineStr">
        <is>
          <t>Junio</t>
        </is>
      </c>
      <c r="I218" s="27" t="inlineStr">
        <is>
          <t>2023-1</t>
        </is>
      </c>
      <c r="J218" s="11" t="n">
        <v>100</v>
      </c>
      <c r="K218" s="9" t="n">
        <v>146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143-2023-06-30</t>
        </is>
      </c>
    </row>
    <row r="219" hidden="1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00" t="n">
        <v>45291</v>
      </c>
      <c r="G219" s="15" t="n">
        <v>2023</v>
      </c>
      <c r="H219" s="6" t="inlineStr">
        <is>
          <t>Diciembre</t>
        </is>
      </c>
      <c r="I219" s="27" t="inlineStr">
        <is>
          <t>2023-2</t>
        </is>
      </c>
      <c r="J219" s="5" t="n">
        <v>100</v>
      </c>
      <c r="K219" s="11" t="n">
        <v>146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143-2023-12-31</t>
        </is>
      </c>
    </row>
    <row r="220" hidden="1">
      <c r="A220" s="26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01" t="n">
        <v>45473</v>
      </c>
      <c r="G220" s="5" t="n">
        <v>2024</v>
      </c>
      <c r="H220" s="5" t="inlineStr">
        <is>
          <t>Junio</t>
        </is>
      </c>
      <c r="I220" s="6" t="inlineStr">
        <is>
          <t>2024-1</t>
        </is>
      </c>
      <c r="J220" s="73" t="n">
        <v>100</v>
      </c>
      <c r="K220" s="9" t="n">
        <v>112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143-2024-06-30</t>
        </is>
      </c>
    </row>
    <row r="221" hidden="1">
      <c r="A221" s="5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01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100</v>
      </c>
      <c r="K221" s="10" t="n">
        <v>135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143-2024-12-31</t>
        </is>
      </c>
    </row>
    <row r="222" hidden="1">
      <c r="A222" s="5" t="n">
        <v>143</v>
      </c>
      <c r="B222" s="5" t="inlineStr">
        <is>
          <t>Proyectos de investigación e innovación</t>
        </is>
      </c>
      <c r="C222" s="5" t="inlineStr">
        <is>
          <t>Investigación, desarrollo tecnológico, innovación y creación</t>
        </is>
      </c>
      <c r="D222" s="5" t="inlineStr">
        <is>
          <t>Semestral</t>
        </is>
      </c>
      <c r="E222" s="5" t="inlineStr">
        <is>
          <t>Positivo</t>
        </is>
      </c>
      <c r="F222" s="101" t="n">
        <v>45838</v>
      </c>
      <c r="G222" s="5" t="n">
        <v>2025</v>
      </c>
      <c r="H222" s="5" t="inlineStr">
        <is>
          <t>Junio</t>
        </is>
      </c>
      <c r="I222" s="6" t="inlineStr">
        <is>
          <t>2025-1</t>
        </is>
      </c>
      <c r="J222" s="5" t="n">
        <v>100</v>
      </c>
      <c r="K222" s="10" t="n">
        <v>159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143-2025-06-30</t>
        </is>
      </c>
    </row>
    <row r="223" hidden="1">
      <c r="A223" s="5" t="n">
        <v>143</v>
      </c>
      <c r="B223" s="5" t="inlineStr">
        <is>
          <t>Proyectos de investigación e innovación- Metrica</t>
        </is>
      </c>
      <c r="C223" s="5" t="inlineStr">
        <is>
          <t>Investigación, desarrollo tecnológico, innovación y creación</t>
        </is>
      </c>
      <c r="D223" s="5" t="inlineStr">
        <is>
          <t>Trimestral</t>
        </is>
      </c>
      <c r="E223" s="5" t="inlineStr">
        <is>
          <t>Positivo</t>
        </is>
      </c>
      <c r="F223" s="100" t="n">
        <v>46022</v>
      </c>
      <c r="G223" s="15" t="n">
        <v>2025</v>
      </c>
      <c r="H223" s="6" t="inlineStr">
        <is>
          <t>Diciembre</t>
        </is>
      </c>
      <c r="I223" s="27" t="inlineStr">
        <is>
          <t>2025-2</t>
        </is>
      </c>
      <c r="J223" s="9" t="n">
        <v>100</v>
      </c>
      <c r="K223" s="9" t="n">
        <v>191</v>
      </c>
      <c r="L223" s="14" t="n"/>
      <c r="M223" s="14" t="n"/>
      <c r="N223" s="5" t="inlineStr">
        <is>
          <t>Metrica</t>
        </is>
      </c>
      <c r="O223" s="5" t="n"/>
      <c r="P223" s="5" t="n">
        <v>0</v>
      </c>
      <c r="Q223" s="5" t="n">
        <v>0</v>
      </c>
      <c r="R223" s="5" t="inlineStr">
        <is>
          <t>143-2025-12-31</t>
        </is>
      </c>
      <c r="S223" t="inlineStr">
        <is>
          <t>Metrica</t>
        </is>
      </c>
    </row>
    <row r="224" hidden="1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00" t="n">
        <v>44742</v>
      </c>
      <c r="G224" s="15" t="n">
        <v>2022</v>
      </c>
      <c r="H224" s="6" t="inlineStr">
        <is>
          <t>Junio</t>
        </is>
      </c>
      <c r="I224" s="27" t="inlineStr">
        <is>
          <t>2022-1</t>
        </is>
      </c>
      <c r="J224" s="5" t="n">
        <v>3</v>
      </c>
      <c r="K224" s="11" t="n">
        <v>3.2169811320755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144-2022-06-30</t>
        </is>
      </c>
    </row>
    <row r="225" hidden="1">
      <c r="A225" s="26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01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73" t="n">
        <v>3</v>
      </c>
      <c r="K225" s="9" t="n">
        <v>3.55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DEC</t>
        </is>
      </c>
      <c r="P225" s="5" t="n">
        <v>2</v>
      </c>
      <c r="Q225" s="5" t="n">
        <v>2</v>
      </c>
      <c r="R225" s="5" t="inlineStr">
        <is>
          <t>144-2022-12-31</t>
        </is>
      </c>
    </row>
    <row r="226" hidden="1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01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3</v>
      </c>
      <c r="K226" s="9" t="n">
        <v>4.83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n"/>
      <c r="O226" s="5" t="n"/>
      <c r="P226" s="5" t="n">
        <v>2</v>
      </c>
      <c r="Q226" s="5" t="n">
        <v>2</v>
      </c>
      <c r="R226" s="5" t="inlineStr">
        <is>
          <t>144-2023-12-31</t>
        </is>
      </c>
    </row>
    <row r="227" hidden="1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01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3</v>
      </c>
      <c r="K227" s="10" t="n">
        <v>4.6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n"/>
      <c r="O227" s="5" t="n"/>
      <c r="P227" s="5" t="n">
        <v>0</v>
      </c>
      <c r="Q227" s="5" t="n">
        <v>0</v>
      </c>
      <c r="R227" s="5" t="inlineStr">
        <is>
          <t>144-2024-12-31</t>
        </is>
      </c>
    </row>
    <row r="228" hidden="1">
      <c r="A228" s="5" t="n">
        <v>144</v>
      </c>
      <c r="B228" s="5" t="inlineStr">
        <is>
          <t>Productos de investigación</t>
        </is>
      </c>
      <c r="C228" s="5" t="inlineStr">
        <is>
          <t>Investigación, desarrollo tecnológico, innovación y creación</t>
        </is>
      </c>
      <c r="D228" s="5" t="inlineStr">
        <is>
          <t>Anual</t>
        </is>
      </c>
      <c r="E228" s="5" t="inlineStr">
        <is>
          <t>Positivo</t>
        </is>
      </c>
      <c r="F228" s="100" t="n">
        <v>46022</v>
      </c>
      <c r="G228" s="15" t="n">
        <v>2025</v>
      </c>
      <c r="H228" s="6" t="inlineStr">
        <is>
          <t>Diciembre</t>
        </is>
      </c>
      <c r="I228" s="27" t="inlineStr">
        <is>
          <t>2025-2</t>
        </is>
      </c>
      <c r="J228" s="5" t="n">
        <v>4</v>
      </c>
      <c r="K228" s="11" t="n">
        <v>1.95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2</v>
      </c>
      <c r="Q228" s="5" t="n">
        <v>2</v>
      </c>
      <c r="R228" s="5" t="inlineStr">
        <is>
          <t>144-2025-12-31</t>
        </is>
      </c>
    </row>
    <row r="229" hidden="1">
      <c r="A229" s="26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01" t="n">
        <v>44742</v>
      </c>
      <c r="G229" s="5" t="n">
        <v>2022</v>
      </c>
      <c r="H229" s="5" t="inlineStr">
        <is>
          <t>Junio</t>
        </is>
      </c>
      <c r="I229" s="6" t="inlineStr">
        <is>
          <t>2022-1</t>
        </is>
      </c>
      <c r="J229" s="5" t="n">
        <v>1</v>
      </c>
      <c r="K229" s="103" t="n">
        <v>2.1186440677966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145-2022-06-30</t>
        </is>
      </c>
    </row>
    <row r="230" hidden="1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01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1</v>
      </c>
      <c r="K230" s="5" t="n">
        <v>2.1186440677966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145-2022-12-31</t>
        </is>
      </c>
    </row>
    <row r="231" hidden="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00" t="n">
        <v>45107</v>
      </c>
      <c r="G231" s="15" t="n">
        <v>2023</v>
      </c>
      <c r="H231" s="6" t="inlineStr">
        <is>
          <t>Junio</t>
        </is>
      </c>
      <c r="I231" s="27" t="inlineStr">
        <is>
          <t>2023-1</t>
        </is>
      </c>
      <c r="J231" s="5" t="n">
        <v>1</v>
      </c>
      <c r="K231" s="11" t="n">
        <v>2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145-2023-06-30</t>
        </is>
      </c>
    </row>
    <row r="232" hidden="1">
      <c r="A232" s="26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01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73" t="n">
        <v>1</v>
      </c>
      <c r="K232" s="9" t="n">
        <v>2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145-2023-12-31</t>
        </is>
      </c>
    </row>
    <row r="233" hidden="1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01" t="n">
        <v>45473</v>
      </c>
      <c r="G233" s="5" t="n">
        <v>2024</v>
      </c>
      <c r="H233" s="5" t="inlineStr">
        <is>
          <t>Junio</t>
        </is>
      </c>
      <c r="I233" s="6" t="inlineStr">
        <is>
          <t>2024-1</t>
        </is>
      </c>
      <c r="J233" s="5" t="n">
        <v>1</v>
      </c>
      <c r="K233" s="11" t="n">
        <v>1.97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145-2024-06-30</t>
        </is>
      </c>
    </row>
    <row r="234" hidden="1">
      <c r="A234" s="5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01" t="n">
        <v>45657</v>
      </c>
      <c r="G234" s="5" t="n">
        <v>2024</v>
      </c>
      <c r="H234" s="5" t="inlineStr">
        <is>
          <t>Diciembre</t>
        </is>
      </c>
      <c r="I234" s="6" t="inlineStr">
        <is>
          <t>2024-2</t>
        </is>
      </c>
      <c r="J234" s="5" t="n">
        <v>1</v>
      </c>
      <c r="K234" s="11" t="n">
        <v>1.94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145-2024-12-31</t>
        </is>
      </c>
    </row>
    <row r="235" hidden="1">
      <c r="A235" s="26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Semestral</t>
        </is>
      </c>
      <c r="E235" s="5" t="inlineStr">
        <is>
          <t>Positivo</t>
        </is>
      </c>
      <c r="F235" s="101" t="n">
        <v>45838</v>
      </c>
      <c r="G235" s="5" t="n">
        <v>2025</v>
      </c>
      <c r="H235" s="5" t="inlineStr">
        <is>
          <t>Junio</t>
        </is>
      </c>
      <c r="I235" s="6" t="inlineStr">
        <is>
          <t>2025-1</t>
        </is>
      </c>
      <c r="J235" s="5" t="n">
        <v>1</v>
      </c>
      <c r="K235" s="5" t="n">
        <v>1.74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145-2025-06-30</t>
        </is>
      </c>
    </row>
    <row r="236" hidden="1">
      <c r="A236" s="26" t="n">
        <v>145</v>
      </c>
      <c r="B236" s="5" t="inlineStr">
        <is>
          <t>Semilleros de Investigación, Innovación y Creación</t>
        </is>
      </c>
      <c r="C236" s="5" t="inlineStr">
        <is>
          <t>Formación para la investigación, creación e innovación</t>
        </is>
      </c>
      <c r="D236" s="5" t="inlineStr">
        <is>
          <t>Trimestral</t>
        </is>
      </c>
      <c r="E236" s="5" t="inlineStr">
        <is>
          <t>Positivo</t>
        </is>
      </c>
      <c r="F236" s="101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1</v>
      </c>
      <c r="K236" s="5" t="n">
        <v>1.62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DEC</t>
        </is>
      </c>
      <c r="P236" s="5" t="n">
        <v>0</v>
      </c>
      <c r="Q236" s="5" t="n">
        <v>2</v>
      </c>
      <c r="R236" s="5" t="inlineStr">
        <is>
          <t>145-2025-12-31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01" t="n">
        <v>44742</v>
      </c>
      <c r="G237" s="5" t="n">
        <v>2022</v>
      </c>
      <c r="H237" s="5" t="inlineStr">
        <is>
          <t>Junio</t>
        </is>
      </c>
      <c r="I237" s="6" t="inlineStr">
        <is>
          <t>2022-1</t>
        </is>
      </c>
      <c r="J237" s="5" t="n">
        <v>230</v>
      </c>
      <c r="K237" s="5" t="n">
        <v>100.43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146-2022-06-30</t>
        </is>
      </c>
    </row>
    <row r="238" hidden="1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01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230</v>
      </c>
      <c r="K238" s="5" t="n">
        <v>121.74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146-2022-12-31</t>
        </is>
      </c>
    </row>
    <row r="239" hidden="1">
      <c r="A239" s="26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01" t="n">
        <v>45107</v>
      </c>
      <c r="G239" s="5" t="n">
        <v>2023</v>
      </c>
      <c r="H239" s="5" t="inlineStr">
        <is>
          <t>Junio</t>
        </is>
      </c>
      <c r="I239" s="6" t="inlineStr">
        <is>
          <t>2023-1</t>
        </is>
      </c>
      <c r="J239" s="5" t="n">
        <v>230</v>
      </c>
      <c r="K239" s="5" t="n">
        <v>120.87</v>
      </c>
      <c r="L239" s="7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146-2023-06-30</t>
        </is>
      </c>
    </row>
    <row r="240" hidden="1">
      <c r="A240" s="34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01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230</v>
      </c>
      <c r="K240" s="5" t="n">
        <v>148.7</v>
      </c>
      <c r="L240" s="7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146-2023-12-31</t>
        </is>
      </c>
    </row>
    <row r="241" hidden="1">
      <c r="A241" s="26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01" t="n">
        <v>45473</v>
      </c>
      <c r="G241" s="5" t="n">
        <v>2024</v>
      </c>
      <c r="H241" s="5" t="inlineStr">
        <is>
          <t>Junio</t>
        </is>
      </c>
      <c r="I241" s="6" t="inlineStr">
        <is>
          <t>2024-1</t>
        </is>
      </c>
      <c r="J241" s="5" t="n">
        <v>294</v>
      </c>
      <c r="K241" s="5" t="n">
        <v>113.61</v>
      </c>
      <c r="L241" s="7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146-2024-06-30</t>
        </is>
      </c>
    </row>
    <row r="242" hidden="1">
      <c r="A242" s="5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01" t="n">
        <v>45657</v>
      </c>
      <c r="G242" s="15" t="n">
        <v>2024</v>
      </c>
      <c r="H242" s="6" t="inlineStr">
        <is>
          <t>Diciembre</t>
        </is>
      </c>
      <c r="I242" s="6" t="inlineStr">
        <is>
          <t>2024-2</t>
        </is>
      </c>
      <c r="J242" s="5" t="n">
        <v>294</v>
      </c>
      <c r="K242" s="5" t="n">
        <v>116.67</v>
      </c>
      <c r="L242" s="7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146-2024-12-31</t>
        </is>
      </c>
    </row>
    <row r="243" hidden="1">
      <c r="A243" s="26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Semestral</t>
        </is>
      </c>
      <c r="E243" s="5" t="inlineStr">
        <is>
          <t>Positivo</t>
        </is>
      </c>
      <c r="F243" s="101" t="n">
        <v>45838</v>
      </c>
      <c r="G243" s="5" t="n">
        <v>2025</v>
      </c>
      <c r="H243" s="5" t="inlineStr">
        <is>
          <t>Junio</t>
        </is>
      </c>
      <c r="I243" s="6" t="inlineStr">
        <is>
          <t>2025-1</t>
        </is>
      </c>
      <c r="J243" s="5" t="n">
        <v>100</v>
      </c>
      <c r="K243" s="5" t="n">
        <v>107</v>
      </c>
      <c r="L243" s="7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146-2025-06-30</t>
        </is>
      </c>
    </row>
    <row r="244" hidden="1">
      <c r="A244" s="5" t="n">
        <v>146</v>
      </c>
      <c r="B244" s="5" t="inlineStr">
        <is>
          <t>Docentes vinculados a investigación</t>
        </is>
      </c>
      <c r="C244" s="5" t="inlineStr">
        <is>
          <t>Investigación, desarrollo tecnológico, innovación y creación</t>
        </is>
      </c>
      <c r="D244" s="5" t="inlineStr">
        <is>
          <t>Trimestral</t>
        </is>
      </c>
      <c r="E244" s="5" t="inlineStr">
        <is>
          <t>Positivo</t>
        </is>
      </c>
      <c r="F244" s="101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100</v>
      </c>
      <c r="K244" s="5" t="n">
        <v>133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146-2025-12-31</t>
        </is>
      </c>
    </row>
    <row r="245" hidden="1">
      <c r="A245" s="5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01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18</v>
      </c>
      <c r="K245" s="5" t="n">
        <v>11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 t="inlineStr">
        <is>
          <t>147-2022-12-31</t>
        </is>
      </c>
    </row>
    <row r="246" hidden="1">
      <c r="A246" s="26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01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13</v>
      </c>
      <c r="K246" s="11" t="n">
        <v>12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n"/>
      <c r="O246" s="5" t="n"/>
      <c r="P246" s="5" t="n">
        <v>0</v>
      </c>
      <c r="Q246" s="5" t="n">
        <v>0</v>
      </c>
      <c r="R246" s="5" t="inlineStr">
        <is>
          <t>147-2023-12-31</t>
        </is>
      </c>
    </row>
    <row r="247" hidden="1">
      <c r="A247" s="26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01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0</v>
      </c>
      <c r="K247" s="5" t="n">
        <v>12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n"/>
      <c r="O247" s="5" t="n"/>
      <c r="P247" s="5" t="n">
        <v>0</v>
      </c>
      <c r="Q247" s="5" t="n">
        <v>0</v>
      </c>
      <c r="R247" s="5" t="inlineStr">
        <is>
          <t>147-2024-12-31</t>
        </is>
      </c>
    </row>
    <row r="248" hidden="1">
      <c r="A248" s="5" t="n">
        <v>147</v>
      </c>
      <c r="B248" s="5" t="inlineStr">
        <is>
          <t>Grupos de investigación categorizados</t>
        </is>
      </c>
      <c r="C248" s="5" t="inlineStr">
        <is>
          <t>Investigación, desarrollo tecnológico, innovación y creación</t>
        </is>
      </c>
      <c r="D248" s="5" t="inlineStr">
        <is>
          <t>Anual</t>
        </is>
      </c>
      <c r="E248" s="5" t="inlineStr">
        <is>
          <t>Positivo</t>
        </is>
      </c>
      <c r="F248" s="101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16</v>
      </c>
      <c r="K248" s="5" t="n">
        <v>16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 t="inlineStr">
        <is>
          <t>147-2025-12-31</t>
        </is>
      </c>
    </row>
    <row r="249" hidden="1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01" t="n">
        <v>44742</v>
      </c>
      <c r="G249" s="5" t="n">
        <v>2022</v>
      </c>
      <c r="H249" s="5" t="inlineStr">
        <is>
          <t>Junio</t>
        </is>
      </c>
      <c r="I249" s="6" t="inlineStr">
        <is>
          <t>2022-1</t>
        </is>
      </c>
      <c r="J249" s="5" t="n">
        <v>2</v>
      </c>
      <c r="K249" s="5" t="n">
        <v>1.56749025217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148-2022-06-30</t>
        </is>
      </c>
    </row>
    <row r="250" hidden="1">
      <c r="A250" s="28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01" t="n">
        <v>44926</v>
      </c>
      <c r="G250" s="5" t="n">
        <v>2022</v>
      </c>
      <c r="H250" s="5" t="inlineStr">
        <is>
          <t>Diciembre</t>
        </is>
      </c>
      <c r="I250" s="6" t="inlineStr">
        <is>
          <t>2022-2</t>
        </is>
      </c>
      <c r="J250" s="5" t="n">
        <v>2</v>
      </c>
      <c r="K250" s="5" t="n">
        <v>3.0897703549061</v>
      </c>
      <c r="L250" s="7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148-2022-12-31</t>
        </is>
      </c>
    </row>
    <row r="251" hidden="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01" t="n">
        <v>45107</v>
      </c>
      <c r="G251" s="5" t="n">
        <v>2023</v>
      </c>
      <c r="H251" s="5" t="inlineStr">
        <is>
          <t>Junio</t>
        </is>
      </c>
      <c r="I251" s="6" t="inlineStr">
        <is>
          <t>2023-1</t>
        </is>
      </c>
      <c r="J251" s="5" t="n">
        <v>2.5</v>
      </c>
      <c r="K251" s="5" t="n">
        <v>4.11</v>
      </c>
      <c r="L251" s="7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1</v>
      </c>
      <c r="Q251" s="5" t="n">
        <v>1</v>
      </c>
      <c r="R251" s="5" t="inlineStr">
        <is>
          <t>148-2023-06-30</t>
        </is>
      </c>
    </row>
    <row r="252" hidden="1">
      <c r="A252" s="5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01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5</v>
      </c>
      <c r="K252" s="5" t="n">
        <v>5.71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148-2023-12-31</t>
        </is>
      </c>
    </row>
    <row r="253" hidden="1">
      <c r="A253" s="5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01" t="n">
        <v>45473</v>
      </c>
      <c r="G253" s="5" t="n">
        <v>2024</v>
      </c>
      <c r="H253" s="5" t="inlineStr">
        <is>
          <t>Junio</t>
        </is>
      </c>
      <c r="I253" s="6" t="inlineStr">
        <is>
          <t>2024-1</t>
        </is>
      </c>
      <c r="J253" s="5" t="n">
        <v>5</v>
      </c>
      <c r="K253" s="5" t="n">
        <v>4.3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148-2024-06-30</t>
        </is>
      </c>
    </row>
    <row r="254" hidden="1">
      <c r="A254" s="26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01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5</v>
      </c>
      <c r="K254" s="5" t="n">
        <v>6.3</v>
      </c>
      <c r="L254" s="7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148-2024-12-31</t>
        </is>
      </c>
    </row>
    <row r="255" hidden="1">
      <c r="A255" s="5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Semestral</t>
        </is>
      </c>
      <c r="E255" s="5" t="inlineStr">
        <is>
          <t>Positivo</t>
        </is>
      </c>
      <c r="F255" s="101" t="n">
        <v>45838</v>
      </c>
      <c r="G255" s="5" t="n">
        <v>2025</v>
      </c>
      <c r="H255" s="5" t="inlineStr">
        <is>
          <t>Junio</t>
        </is>
      </c>
      <c r="I255" s="6" t="inlineStr">
        <is>
          <t>2025-1</t>
        </is>
      </c>
      <c r="J255" s="5" t="n">
        <v>4</v>
      </c>
      <c r="K255" s="5" t="n">
        <v>4.08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148-2025-06-30</t>
        </is>
      </c>
    </row>
    <row r="256" hidden="1">
      <c r="A256" s="26" t="n">
        <v>148</v>
      </c>
      <c r="B256" s="5" t="inlineStr">
        <is>
          <t>Estudiantes vinculados a investigación</t>
        </is>
      </c>
      <c r="C256" s="5" t="inlineStr">
        <is>
          <t>Formación para la investigación, creación e innovación</t>
        </is>
      </c>
      <c r="D256" s="5" t="inlineStr">
        <is>
          <t>Trimestral</t>
        </is>
      </c>
      <c r="E256" s="5" t="inlineStr">
        <is>
          <t>Positivo</t>
        </is>
      </c>
      <c r="F256" s="101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5</v>
      </c>
      <c r="K256" s="11" t="n">
        <v>6.78</v>
      </c>
      <c r="L256" s="7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1</v>
      </c>
      <c r="R256" s="5" t="inlineStr">
        <is>
          <t>148-2025-12-31</t>
        </is>
      </c>
    </row>
    <row r="257" hidden="1">
      <c r="A257" s="26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01" t="n">
        <v>44865</v>
      </c>
      <c r="G257" s="5" t="n">
        <v>2022</v>
      </c>
      <c r="H257" s="5" t="inlineStr">
        <is>
          <t>Octubre</t>
        </is>
      </c>
      <c r="I257" s="6" t="inlineStr">
        <is>
          <t>2022-2</t>
        </is>
      </c>
      <c r="J257" s="5" t="n">
        <v>80</v>
      </c>
      <c r="K257" s="11" t="n">
        <v>80</v>
      </c>
      <c r="L257" s="7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150-2022-10-31</t>
        </is>
      </c>
    </row>
    <row r="258" hidden="1">
      <c r="A258" s="26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 e innovación</t>
        </is>
      </c>
      <c r="D258" s="5" t="inlineStr">
        <is>
          <t>Anual</t>
        </is>
      </c>
      <c r="E258" s="5" t="inlineStr">
        <is>
          <t>Positivo</t>
        </is>
      </c>
      <c r="F258" s="101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80</v>
      </c>
      <c r="K258" s="11" t="n">
        <v>84.34350070811109</v>
      </c>
      <c r="L258" s="7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150-2023-12-31</t>
        </is>
      </c>
    </row>
    <row r="259" hidden="1">
      <c r="A259" s="26" t="n">
        <v>150</v>
      </c>
      <c r="B259" s="5" t="inlineStr">
        <is>
          <t>Nivel de Satisfacción Servicios Prestados</t>
        </is>
      </c>
      <c r="C259" s="5" t="inlineStr">
        <is>
          <t>Investigación, desarrollo tecnológico, innovación y creación</t>
        </is>
      </c>
      <c r="D259" s="5" t="inlineStr">
        <is>
          <t>Anual</t>
        </is>
      </c>
      <c r="E259" s="5" t="inlineStr">
        <is>
          <t>Positivo</t>
        </is>
      </c>
      <c r="F259" s="101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/>
      <c r="K259" s="11" t="n"/>
      <c r="L259" s="74" t="n"/>
      <c r="M259" s="14" t="n"/>
      <c r="N259" s="5" t="n"/>
      <c r="O259" s="5" t="n"/>
      <c r="P259" s="5" t="n">
        <v>0</v>
      </c>
      <c r="Q259" s="5" t="n">
        <v>0</v>
      </c>
      <c r="R259" s="5" t="inlineStr">
        <is>
          <t>150-2024-12-31</t>
        </is>
      </c>
    </row>
    <row r="260" hidden="1">
      <c r="A260" s="26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01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/>
      <c r="K260" s="11" t="n"/>
      <c r="L260" s="74" t="n"/>
      <c r="M260" s="14" t="n"/>
      <c r="N260" s="5" t="n"/>
      <c r="O260" s="5" t="n"/>
      <c r="P260" s="5" t="n">
        <v>0</v>
      </c>
      <c r="Q260" s="5" t="n">
        <v>0</v>
      </c>
      <c r="R260" s="5" t="inlineStr">
        <is>
          <t>151-2023-12-31</t>
        </is>
      </c>
    </row>
    <row r="261" hidden="1">
      <c r="A261" s="26" t="n">
        <v>151</v>
      </c>
      <c r="B261" s="5" t="inlineStr">
        <is>
          <t>Nivel de Satisfacción Servicios Prestados</t>
        </is>
      </c>
      <c r="C261" s="5" t="inlineStr">
        <is>
          <t>Biblioteca Institucional</t>
        </is>
      </c>
      <c r="D261" s="5" t="inlineStr">
        <is>
          <t>Anual</t>
        </is>
      </c>
      <c r="E261" s="5" t="inlineStr">
        <is>
          <t>Positivo</t>
        </is>
      </c>
      <c r="F261" s="101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/>
      <c r="K261" s="11" t="n"/>
      <c r="L261" s="74" t="n"/>
      <c r="M261" s="14" t="n"/>
      <c r="N261" s="5" t="n"/>
      <c r="O261" s="5" t="n"/>
      <c r="P261" s="5" t="n">
        <v>0</v>
      </c>
      <c r="Q261" s="5" t="n">
        <v>0</v>
      </c>
      <c r="R261" s="5" t="inlineStr">
        <is>
          <t>151-2024-12-31</t>
        </is>
      </c>
    </row>
    <row r="262" hidden="1">
      <c r="A262" s="5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01" t="n">
        <v>45107</v>
      </c>
      <c r="G262" s="15" t="n">
        <v>2023</v>
      </c>
      <c r="H262" s="6" t="inlineStr">
        <is>
          <t>Junio</t>
        </is>
      </c>
      <c r="I262" s="6" t="inlineStr">
        <is>
          <t>2023-1</t>
        </is>
      </c>
      <c r="J262" s="5" t="n"/>
      <c r="K262" s="11" t="n"/>
      <c r="L262" s="74" t="n"/>
      <c r="M262" s="14" t="n"/>
      <c r="N262" s="5" t="n"/>
      <c r="O262" s="5" t="n"/>
      <c r="P262" s="5" t="n">
        <v>0</v>
      </c>
      <c r="Q262" s="5" t="n">
        <v>0</v>
      </c>
      <c r="R262" s="5" t="inlineStr">
        <is>
          <t>157-2023-06-30</t>
        </is>
      </c>
    </row>
    <row r="263" hidden="1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01" t="n">
        <v>45291</v>
      </c>
      <c r="G263" s="15" t="n">
        <v>2023</v>
      </c>
      <c r="H263" s="6" t="inlineStr">
        <is>
          <t>Diciembre</t>
        </is>
      </c>
      <c r="I263" s="6" t="inlineStr">
        <is>
          <t>2023-2</t>
        </is>
      </c>
      <c r="J263" s="5" t="n">
        <v>3</v>
      </c>
      <c r="K263" s="11" t="n">
        <v>7</v>
      </c>
      <c r="L263" s="7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n"/>
      <c r="O263" s="5" t="n"/>
      <c r="P263" s="5" t="n">
        <v>0</v>
      </c>
      <c r="Q263" s="5" t="n">
        <v>0</v>
      </c>
      <c r="R263" s="5" t="inlineStr">
        <is>
          <t>157-2023-12-31</t>
        </is>
      </c>
    </row>
    <row r="264" hidden="1">
      <c r="A264" s="5" t="n">
        <v>157</v>
      </c>
      <c r="B264" s="5" t="inlineStr">
        <is>
          <t>Indexación de bases de datos o SIRES</t>
        </is>
      </c>
      <c r="C264" s="5" t="inlineStr">
        <is>
          <t>Editorial y Publicaciones</t>
        </is>
      </c>
      <c r="D264" s="5" t="inlineStr">
        <is>
          <t>Anual</t>
        </is>
      </c>
      <c r="E264" s="5" t="inlineStr">
        <is>
          <t>Positivo</t>
        </is>
      </c>
      <c r="F264" s="101" t="n">
        <v>45657</v>
      </c>
      <c r="G264" s="15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100</v>
      </c>
      <c r="K264" s="11" t="n">
        <v>125</v>
      </c>
      <c r="L264" s="7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n"/>
      <c r="O264" s="5" t="n"/>
      <c r="P264" s="5" t="n">
        <v>0</v>
      </c>
      <c r="Q264" s="5" t="n">
        <v>0</v>
      </c>
      <c r="R264" s="5" t="inlineStr">
        <is>
          <t>157-2024-12-31</t>
        </is>
      </c>
    </row>
    <row r="265" hidden="1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01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5" t="n">
        <v>70</v>
      </c>
      <c r="L265" s="7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</row>
    <row r="266" hidden="1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01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5" t="n">
        <v>96</v>
      </c>
      <c r="L266" s="7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 hidden="1">
      <c r="A267" s="26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01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80</v>
      </c>
      <c r="K267" s="5" t="n">
        <v>100</v>
      </c>
      <c r="L267" s="7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 hidden="1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01" t="n">
        <v>45473</v>
      </c>
      <c r="G268" s="5" t="n">
        <v>2024</v>
      </c>
      <c r="H268" s="5" t="inlineStr">
        <is>
          <t>Junio</t>
        </is>
      </c>
      <c r="I268" s="6" t="inlineStr">
        <is>
          <t>2024-1</t>
        </is>
      </c>
      <c r="J268" s="5" t="n">
        <v>80</v>
      </c>
      <c r="K268" s="5" t="n">
        <v>95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 hidden="1">
      <c r="A269" s="5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01" t="n">
        <v>45657</v>
      </c>
      <c r="G269" s="5" t="n">
        <v>2024</v>
      </c>
      <c r="H269" s="5" t="inlineStr">
        <is>
          <t>Diciembre</t>
        </is>
      </c>
      <c r="I269" s="6" t="inlineStr">
        <is>
          <t>2024-2</t>
        </is>
      </c>
      <c r="J269" s="5" t="n">
        <v>80</v>
      </c>
      <c r="K269" s="5" t="n">
        <v>97.8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 hidden="1">
      <c r="A270" s="26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01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 hidden="1">
      <c r="A271" s="26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01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80</v>
      </c>
      <c r="K271" s="23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</row>
    <row r="272" hidden="1">
      <c r="A272" s="26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01" t="n">
        <v>44742</v>
      </c>
      <c r="G272" s="5" t="n">
        <v>2022</v>
      </c>
      <c r="H272" s="5" t="inlineStr">
        <is>
          <t>Junio</t>
        </is>
      </c>
      <c r="I272" s="6" t="inlineStr">
        <is>
          <t>2022-1</t>
        </is>
      </c>
      <c r="J272" s="5" t="n">
        <v>80</v>
      </c>
      <c r="K272" s="15" t="n">
        <v>97.64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</row>
    <row r="273" hidden="1">
      <c r="A273" s="26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01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80</v>
      </c>
      <c r="K273" s="5" t="n">
        <v>96.55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</row>
    <row r="274" hidden="1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01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 hidden="1">
      <c r="A275" s="26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01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 hidden="1">
      <c r="A276" s="5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01" t="n">
        <v>45473</v>
      </c>
      <c r="G276" s="15" t="n">
        <v>2024</v>
      </c>
      <c r="H276" s="6" t="inlineStr">
        <is>
          <t>Junio</t>
        </is>
      </c>
      <c r="I276" s="6" t="inlineStr">
        <is>
          <t>2024-1</t>
        </is>
      </c>
      <c r="J276" s="5" t="n">
        <v>85</v>
      </c>
      <c r="K276" s="5" t="n">
        <v>96.86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 hidden="1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01" t="n">
        <v>45657</v>
      </c>
      <c r="G277" s="15" t="n">
        <v>2024</v>
      </c>
      <c r="H277" s="6" t="inlineStr">
        <is>
          <t>Diciembre</t>
        </is>
      </c>
      <c r="I277" s="6" t="inlineStr">
        <is>
          <t>2024-2</t>
        </is>
      </c>
      <c r="J277" s="5" t="n">
        <v>85</v>
      </c>
      <c r="K277" s="5" t="n">
        <v>96.8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 hidden="1">
      <c r="A278" s="5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01" t="n">
        <v>45838</v>
      </c>
      <c r="G278" s="15" t="n">
        <v>2025</v>
      </c>
      <c r="H278" s="6" t="inlineStr">
        <is>
          <t>Junio</t>
        </is>
      </c>
      <c r="I278" s="6" t="inlineStr">
        <is>
          <t>2025-1</t>
        </is>
      </c>
      <c r="J278" s="5" t="n">
        <v>90</v>
      </c>
      <c r="K278" s="7" t="n">
        <v>93.63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 hidden="1">
      <c r="A279" s="26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01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</row>
    <row r="280" hidden="1">
      <c r="A280" s="26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1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 hidden="1">
      <c r="A281" s="26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1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 hidden="1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1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 hidden="1">
      <c r="A283" s="28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1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95.74000000000001</v>
      </c>
      <c r="L283" s="7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 hidden="1">
      <c r="A284" s="26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1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7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 hidden="1">
      <c r="A285" s="5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1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 hidden="1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1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 hidden="1">
      <c r="A287" s="28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1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7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</row>
    <row r="288" hidden="1">
      <c r="A288" s="26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1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7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  <c r="S288" t="inlineStr"/>
    </row>
    <row r="289" hidden="1">
      <c r="A289" s="5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01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 hidden="1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01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 hidden="1">
      <c r="A291" s="26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01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74" t="n"/>
      <c r="M291" s="14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 hidden="1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01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14" t="n"/>
      <c r="M292" s="14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 hidden="1">
      <c r="A293" s="26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01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7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 hidden="1">
      <c r="A294" s="5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1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1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 hidden="1">
      <c r="A295" s="26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1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7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 hidden="1">
      <c r="A296" s="5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1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 hidden="1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1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7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 hidden="1">
      <c r="A298" s="5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01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 hidden="1">
      <c r="A299" s="26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1" t="n">
        <v>45107</v>
      </c>
      <c r="G299" s="5" t="n">
        <v>2023</v>
      </c>
      <c r="H299" s="5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7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 hidden="1">
      <c r="A300" s="26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1" t="n">
        <v>45291</v>
      </c>
      <c r="G300" s="5" t="n">
        <v>2023</v>
      </c>
      <c r="H300" s="5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7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 hidden="1">
      <c r="A301" s="26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1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7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 hidden="1">
      <c r="A302" s="26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1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7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 hidden="1">
      <c r="A303" s="26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1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7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 hidden="1">
      <c r="A304" s="26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01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7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</row>
    <row r="305" hidden="1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01" t="n">
        <v>44742</v>
      </c>
      <c r="G305" s="15" t="n">
        <v>2022</v>
      </c>
      <c r="H305" s="6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7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 hidden="1">
      <c r="A306" s="5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01" t="n">
        <v>44926</v>
      </c>
      <c r="G306" s="15" t="n">
        <v>2022</v>
      </c>
      <c r="H306" s="6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7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 hidden="1">
      <c r="A307" s="5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01" t="n">
        <v>45107</v>
      </c>
      <c r="G307" s="15" t="n">
        <v>2023</v>
      </c>
      <c r="H307" s="6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7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 hidden="1">
      <c r="A308" s="26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01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7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 hidden="1">
      <c r="A309" s="26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01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7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 hidden="1">
      <c r="A310" s="26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01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7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 hidden="1">
      <c r="A311" s="5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01" t="n">
        <v>45107</v>
      </c>
      <c r="G311" s="5" t="n">
        <v>2023</v>
      </c>
      <c r="H311" s="5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 hidden="1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01" t="n">
        <v>45291</v>
      </c>
      <c r="G312" s="5" t="n">
        <v>2023</v>
      </c>
      <c r="H312" s="5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 hidden="1">
      <c r="A313" s="26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1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90</v>
      </c>
      <c r="K313" s="5" t="n">
        <v>100</v>
      </c>
      <c r="L313" s="7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197-2022-12-31</t>
        </is>
      </c>
    </row>
    <row r="314" hidden="1">
      <c r="A314" s="5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101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90</v>
      </c>
      <c r="K314" s="5" t="n">
        <v>100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197-2023-06-30</t>
        </is>
      </c>
    </row>
    <row r="315" hidden="1">
      <c r="A315" s="26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01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90</v>
      </c>
      <c r="K315" s="5" t="n">
        <v>100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197-2023-12-31</t>
        </is>
      </c>
    </row>
    <row r="316" hidden="1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01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95</v>
      </c>
      <c r="K316" s="5" t="n">
        <v>100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197-2024-06-30</t>
        </is>
      </c>
    </row>
    <row r="317" hidden="1">
      <c r="A317" s="26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01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95</v>
      </c>
      <c r="K317" s="5" t="n">
        <v>100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197-2024-12-31</t>
        </is>
      </c>
    </row>
    <row r="318" hidden="1">
      <c r="A318" s="5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01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97</v>
      </c>
      <c r="K318" s="5" t="n">
        <v>98.215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197-2025-06-30</t>
        </is>
      </c>
    </row>
    <row r="319" hidden="1">
      <c r="A319" s="28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Semestral</t>
        </is>
      </c>
      <c r="E319" s="5" t="inlineStr">
        <is>
          <t>Positivo</t>
        </is>
      </c>
      <c r="F319" s="101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97</v>
      </c>
      <c r="K319" s="5" t="n">
        <v>102</v>
      </c>
      <c r="L319" s="7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197-2025-12-31</t>
        </is>
      </c>
    </row>
    <row r="320" hidden="1">
      <c r="A320" s="26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01" t="n">
        <v>45107</v>
      </c>
      <c r="G320" s="5" t="n">
        <v>2023</v>
      </c>
      <c r="H320" s="5" t="inlineStr">
        <is>
          <t>Junio</t>
        </is>
      </c>
      <c r="I320" s="6" t="inlineStr">
        <is>
          <t>2023-1</t>
        </is>
      </c>
      <c r="J320" s="5" t="n">
        <v>95</v>
      </c>
      <c r="K320" s="5" t="n">
        <v>87.666666666667</v>
      </c>
      <c r="L320" s="7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199-2023-06-30</t>
        </is>
      </c>
    </row>
    <row r="321" hidden="1">
      <c r="A321" s="5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101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95</v>
      </c>
      <c r="K321" s="5" t="n">
        <v>87.67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199-2023-12-31</t>
        </is>
      </c>
    </row>
    <row r="322" hidden="1">
      <c r="A322" s="5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101" t="n">
        <v>45473</v>
      </c>
      <c r="G322" s="5" t="n">
        <v>2024</v>
      </c>
      <c r="H322" s="5" t="inlineStr">
        <is>
          <t>Junio</t>
        </is>
      </c>
      <c r="I322" s="6" t="inlineStr">
        <is>
          <t>2024-1</t>
        </is>
      </c>
      <c r="J322" s="5" t="n">
        <v>70</v>
      </c>
      <c r="K322" s="5" t="n">
        <v>92.19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199-2024-06-30</t>
        </is>
      </c>
    </row>
    <row r="323" hidden="1">
      <c r="A323" s="28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01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70</v>
      </c>
      <c r="K323" s="5" t="n">
        <v>92.81</v>
      </c>
      <c r="L323" s="7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n"/>
      <c r="O323" s="5" t="n"/>
      <c r="P323" s="5" t="n">
        <v>0</v>
      </c>
      <c r="Q323" s="5" t="n">
        <v>0</v>
      </c>
      <c r="R323" s="5" t="inlineStr">
        <is>
          <t>199-2024-12-31</t>
        </is>
      </c>
    </row>
    <row r="324" hidden="1">
      <c r="A324" s="26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101" t="n">
        <v>45838</v>
      </c>
      <c r="G324" s="5" t="n">
        <v>2025</v>
      </c>
      <c r="H324" s="5" t="inlineStr">
        <is>
          <t>Junio</t>
        </is>
      </c>
      <c r="I324" s="6" t="inlineStr">
        <is>
          <t>2025-1</t>
        </is>
      </c>
      <c r="J324" s="5" t="n">
        <v>80</v>
      </c>
      <c r="K324" s="5" t="n">
        <v>92.09999999999999</v>
      </c>
      <c r="L324" s="7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199-2025-06-30</t>
        </is>
      </c>
    </row>
    <row r="325" hidden="1">
      <c r="A325" s="5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Trimestral</t>
        </is>
      </c>
      <c r="E325" s="5" t="inlineStr">
        <is>
          <t>Positivo</t>
        </is>
      </c>
      <c r="F325" s="101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80</v>
      </c>
      <c r="K325" s="5" t="n">
        <v>92.89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199-2025-12-31</t>
        </is>
      </c>
    </row>
    <row r="326" hidden="1">
      <c r="A326" s="5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01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70</v>
      </c>
      <c r="K326" s="5" t="n"/>
      <c r="L326" s="14" t="n"/>
      <c r="M326" s="14" t="n"/>
      <c r="N326" s="5" t="inlineStr">
        <is>
          <t>%</t>
        </is>
      </c>
      <c r="O326" s="5" t="inlineStr">
        <is>
          <t>No Aplica</t>
        </is>
      </c>
      <c r="P326" s="5" t="n">
        <v>0</v>
      </c>
      <c r="Q326" s="5" t="n">
        <v>1</v>
      </c>
      <c r="R326" s="5" t="inlineStr">
        <is>
          <t>200-2022-12-31</t>
        </is>
      </c>
      <c r="S326" t="inlineStr">
        <is>
          <t>No Aplica</t>
        </is>
      </c>
    </row>
    <row r="327" hidden="1">
      <c r="A327" s="28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01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70</v>
      </c>
      <c r="K327" s="5" t="n">
        <v>90</v>
      </c>
      <c r="L327" s="7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Linea base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200-2023-12-31</t>
        </is>
      </c>
    </row>
    <row r="328" hidden="1">
      <c r="A328" s="26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01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80</v>
      </c>
      <c r="K328" s="5" t="n">
        <v>87.40000000000001</v>
      </c>
      <c r="L328" s="7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n"/>
      <c r="O328" s="5" t="n"/>
      <c r="P328" s="5" t="n">
        <v>0</v>
      </c>
      <c r="Q328" s="5" t="n">
        <v>0</v>
      </c>
      <c r="R328" s="5" t="inlineStr">
        <is>
          <t>200-2024-12-31</t>
        </is>
      </c>
    </row>
    <row r="329" hidden="1">
      <c r="A329" s="5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01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87</v>
      </c>
      <c r="K329" s="5" t="n">
        <v>90.84999999999999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1</v>
      </c>
      <c r="R329" s="5" t="inlineStr">
        <is>
          <t>200-2025-12-31</t>
        </is>
      </c>
    </row>
    <row r="330" hidden="1">
      <c r="A330" s="5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01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66</v>
      </c>
      <c r="K330" s="5" t="n">
        <v>64.7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n"/>
      <c r="O330" s="5" t="n"/>
      <c r="P330" s="5" t="n">
        <v>1</v>
      </c>
      <c r="Q330" s="5" t="n">
        <v>1</v>
      </c>
      <c r="R330" s="5" t="inlineStr">
        <is>
          <t>202-2023-12-31</t>
        </is>
      </c>
    </row>
    <row r="331" hidden="1">
      <c r="A331" s="34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01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0</v>
      </c>
      <c r="K331" s="5" t="n"/>
      <c r="L331" s="74" t="n"/>
      <c r="M331" s="14" t="n"/>
      <c r="N331" s="5" t="inlineStr">
        <is>
          <t>ENT</t>
        </is>
      </c>
      <c r="O331" s="5" t="inlineStr">
        <is>
          <t>N/A</t>
        </is>
      </c>
      <c r="P331" s="5" t="n">
        <v>0</v>
      </c>
      <c r="Q331" s="5" t="n">
        <v>0</v>
      </c>
      <c r="R331" s="5" t="inlineStr">
        <is>
          <t>202-2024-12-31</t>
        </is>
      </c>
    </row>
    <row r="332" hidden="1">
      <c r="A332" s="26" t="n">
        <v>202</v>
      </c>
      <c r="B332" s="5" t="inlineStr">
        <is>
          <t>Great Place to Work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01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68.7</v>
      </c>
      <c r="K332" s="5" t="n">
        <v>81</v>
      </c>
      <c r="L332" s="7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0</v>
      </c>
      <c r="R332" s="5" t="inlineStr">
        <is>
          <t>202-2025-12-31</t>
        </is>
      </c>
    </row>
    <row r="333" hidden="1">
      <c r="A333" s="28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01" t="n">
        <v>44742</v>
      </c>
      <c r="G333" s="5" t="n">
        <v>2022</v>
      </c>
      <c r="H333" s="5" t="inlineStr">
        <is>
          <t>Junio</t>
        </is>
      </c>
      <c r="I333" s="6" t="inlineStr">
        <is>
          <t>2022-1</t>
        </is>
      </c>
      <c r="J333" s="5" t="n">
        <v>113672</v>
      </c>
      <c r="K333" s="5" t="n">
        <v>119144</v>
      </c>
      <c r="L333" s="7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203-2022-06-30</t>
        </is>
      </c>
    </row>
    <row r="334" hidden="1">
      <c r="A334" s="26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01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110768</v>
      </c>
      <c r="K334" s="5" t="n">
        <v>121738</v>
      </c>
      <c r="L334" s="7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203-2022-12-31</t>
        </is>
      </c>
    </row>
    <row r="335" hidden="1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01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95</v>
      </c>
      <c r="K335" s="5" t="n">
        <v>104.63235542785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203-2023-06-30</t>
        </is>
      </c>
    </row>
    <row r="336" hidden="1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1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95</v>
      </c>
      <c r="K336" s="5" t="n">
        <v>103.36740380481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203-2023-12-31</t>
        </is>
      </c>
    </row>
    <row r="337" hidden="1">
      <c r="A337" s="34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1" t="n">
        <v>45473</v>
      </c>
      <c r="G337" s="5" t="n">
        <v>2024</v>
      </c>
      <c r="H337" s="5" t="inlineStr">
        <is>
          <t>Junio</t>
        </is>
      </c>
      <c r="I337" s="6" t="inlineStr">
        <is>
          <t>2024-1</t>
        </is>
      </c>
      <c r="J337" s="5" t="n">
        <v>95</v>
      </c>
      <c r="K337" s="5" t="n">
        <v>102.01</v>
      </c>
      <c r="L337" s="7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203-2024-06-30</t>
        </is>
      </c>
    </row>
    <row r="338" hidden="1">
      <c r="A338" s="26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1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95</v>
      </c>
      <c r="K338" s="5" t="n">
        <v>102.84</v>
      </c>
      <c r="L338" s="7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203-2024-12-31</t>
        </is>
      </c>
    </row>
    <row r="339" hidden="1">
      <c r="A339" s="28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1" t="n">
        <v>45838</v>
      </c>
      <c r="G339" s="5" t="n">
        <v>2025</v>
      </c>
      <c r="H339" s="5" t="inlineStr">
        <is>
          <t>Junio</t>
        </is>
      </c>
      <c r="I339" s="6" t="inlineStr">
        <is>
          <t>2025-1</t>
        </is>
      </c>
      <c r="J339" s="5" t="n">
        <v>95</v>
      </c>
      <c r="K339" s="5" t="n">
        <v>111.77</v>
      </c>
      <c r="L339" s="7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203-2025-06-30</t>
        </is>
      </c>
    </row>
    <row r="340" hidden="1">
      <c r="A340" s="26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01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95</v>
      </c>
      <c r="K340" s="5" t="n">
        <v>111.33</v>
      </c>
      <c r="L340" s="7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203-2025-12-31</t>
        </is>
      </c>
    </row>
    <row r="341" hidden="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1" t="n">
        <v>44742</v>
      </c>
      <c r="G341" s="5" t="n">
        <v>2022</v>
      </c>
      <c r="H341" s="5" t="inlineStr">
        <is>
          <t>Junio</t>
        </is>
      </c>
      <c r="I341" s="6" t="inlineStr">
        <is>
          <t>2022-1</t>
        </is>
      </c>
      <c r="J341" s="5" t="n">
        <v>58804</v>
      </c>
      <c r="K341" s="5" t="n">
        <v>37101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204-2022-06-30</t>
        </is>
      </c>
    </row>
    <row r="342" hidden="1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01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82987</v>
      </c>
      <c r="K342" s="5" t="n">
        <v>18386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204-2022-12-30</t>
        </is>
      </c>
    </row>
    <row r="343" hidden="1">
      <c r="A343" s="26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01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194.75668793403</v>
      </c>
      <c r="L343" s="7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204-2023-06-30</t>
        </is>
      </c>
    </row>
    <row r="344" hidden="1">
      <c r="A344" s="5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1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162.37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204-2023-12-31</t>
        </is>
      </c>
    </row>
    <row r="345" hidden="1">
      <c r="A345" s="26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1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133.55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204-2024-06-30</t>
        </is>
      </c>
    </row>
    <row r="346" hidden="1">
      <c r="A346" s="5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1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144.53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204-2024-12-31</t>
        </is>
      </c>
    </row>
    <row r="347" hidden="1">
      <c r="A347" s="34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1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86.89</v>
      </c>
      <c r="L347" s="7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204-2025-06-30</t>
        </is>
      </c>
    </row>
    <row r="348" hidden="1">
      <c r="A348" s="26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01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152.24</v>
      </c>
      <c r="L348" s="7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204-2025-12-31</t>
        </is>
      </c>
    </row>
    <row r="349" hidden="1">
      <c r="A349" s="28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01" t="n">
        <v>44925</v>
      </c>
      <c r="G349" s="5" t="n">
        <v>2022</v>
      </c>
      <c r="H349" s="5" t="inlineStr">
        <is>
          <t>Diciembre</t>
        </is>
      </c>
      <c r="I349" s="6" t="inlineStr">
        <is>
          <t>2022-2</t>
        </is>
      </c>
      <c r="J349" s="5" t="n">
        <v>2605</v>
      </c>
      <c r="K349" s="5" t="n">
        <v>2605</v>
      </c>
      <c r="L349" s="7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205-2022-12-30</t>
        </is>
      </c>
    </row>
    <row r="350" hidden="1">
      <c r="A350" s="26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1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95</v>
      </c>
      <c r="K350" s="5" t="n">
        <v>165.42728645151</v>
      </c>
      <c r="L350" s="7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205-2023-06-30</t>
        </is>
      </c>
    </row>
    <row r="351" hidden="1">
      <c r="A351" s="5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01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95</v>
      </c>
      <c r="K351" s="5" t="n">
        <v>426.51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205-2023-12-31</t>
        </is>
      </c>
    </row>
    <row r="352" hidden="1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1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95</v>
      </c>
      <c r="K352" s="5" t="n">
        <v>215.07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205-2024-06-30</t>
        </is>
      </c>
    </row>
    <row r="353" hidden="1">
      <c r="A353" s="26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01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95</v>
      </c>
      <c r="K353" s="5" t="n">
        <v>184.72</v>
      </c>
      <c r="L353" s="7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205-2024-12-31</t>
        </is>
      </c>
    </row>
    <row r="354" hidden="1">
      <c r="A354" s="26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01" t="n">
        <v>45838</v>
      </c>
      <c r="G354" s="5" t="n">
        <v>2025</v>
      </c>
      <c r="H354" s="5" t="inlineStr">
        <is>
          <t>Junio</t>
        </is>
      </c>
      <c r="I354" s="6" t="inlineStr">
        <is>
          <t>2025-1</t>
        </is>
      </c>
      <c r="J354" s="5" t="n">
        <v>95</v>
      </c>
      <c r="K354" s="5" t="n">
        <v>186.31</v>
      </c>
      <c r="L354" s="7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205-2025-06-30</t>
        </is>
      </c>
    </row>
    <row r="355" hidden="1">
      <c r="A355" s="5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Trimestral</t>
        </is>
      </c>
      <c r="E355" s="5" t="inlineStr">
        <is>
          <t>Positivo</t>
        </is>
      </c>
      <c r="F355" s="101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95</v>
      </c>
      <c r="K355" s="5" t="n">
        <v>123.05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205-2025-12-31</t>
        </is>
      </c>
    </row>
    <row r="356" hidden="1">
      <c r="A356" s="5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01" t="n">
        <v>45107</v>
      </c>
      <c r="G356" s="5" t="n">
        <v>2023</v>
      </c>
      <c r="H356" s="5" t="inlineStr">
        <is>
          <t>Junio</t>
        </is>
      </c>
      <c r="I356" s="6" t="inlineStr">
        <is>
          <t>2023-1</t>
        </is>
      </c>
      <c r="J356" s="5" t="n">
        <v>1</v>
      </c>
      <c r="K356" s="5" t="n">
        <v>1.2336951835584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206-2023-06-30</t>
        </is>
      </c>
    </row>
    <row r="357" hidden="1">
      <c r="A357" s="26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01" t="n">
        <v>45291</v>
      </c>
      <c r="G357" s="5" t="n">
        <v>2023</v>
      </c>
      <c r="H357" s="5" t="inlineStr">
        <is>
          <t>Diciembre</t>
        </is>
      </c>
      <c r="I357" s="6" t="inlineStr">
        <is>
          <t>2023-2</t>
        </is>
      </c>
      <c r="J357" s="5" t="n">
        <v>1</v>
      </c>
      <c r="K357" s="5" t="n">
        <v>4.606790289121734</v>
      </c>
      <c r="L357" s="7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206-2023-12-31</t>
        </is>
      </c>
    </row>
    <row r="358" hidden="1">
      <c r="A358" s="26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Positivo</t>
        </is>
      </c>
      <c r="F358" s="101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1</v>
      </c>
      <c r="K358" s="5" t="n">
        <v>1.37</v>
      </c>
      <c r="L358" s="7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206-2024-12-31</t>
        </is>
      </c>
    </row>
    <row r="359" hidden="1">
      <c r="A359" s="5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Anual</t>
        </is>
      </c>
      <c r="E359" s="5" t="inlineStr">
        <is>
          <t>Positivo</t>
        </is>
      </c>
      <c r="F359" s="101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</v>
      </c>
      <c r="K359" s="5" t="n">
        <v>2.14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2</v>
      </c>
      <c r="R359" s="5" t="inlineStr">
        <is>
          <t>206-2025-12-31</t>
        </is>
      </c>
    </row>
    <row r="360" hidden="1">
      <c r="A360" s="5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01" t="n">
        <v>45107</v>
      </c>
      <c r="G360" s="5" t="n">
        <v>2023</v>
      </c>
      <c r="H360" s="5" t="inlineStr">
        <is>
          <t>Junio</t>
        </is>
      </c>
      <c r="I360" s="6" t="inlineStr">
        <is>
          <t>2023-1</t>
        </is>
      </c>
      <c r="J360" s="5" t="n">
        <v>100</v>
      </c>
      <c r="K360" s="5" t="n">
        <v>101.19882903781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207-2023-06-30</t>
        </is>
      </c>
    </row>
    <row r="361" hidden="1">
      <c r="A361" s="26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01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100</v>
      </c>
      <c r="K361" s="5" t="n">
        <v>103.6</v>
      </c>
      <c r="L361" s="7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207-2023-12-31</t>
        </is>
      </c>
    </row>
    <row r="362" hidden="1">
      <c r="A362" s="26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101" t="n">
        <v>45473</v>
      </c>
      <c r="G362" s="5" t="n">
        <v>2024</v>
      </c>
      <c r="H362" s="5" t="inlineStr">
        <is>
          <t>Junio</t>
        </is>
      </c>
      <c r="I362" s="6" t="inlineStr">
        <is>
          <t>2024-1</t>
        </is>
      </c>
      <c r="J362" s="5" t="n">
        <v>100</v>
      </c>
      <c r="K362" s="5" t="n">
        <v>101.79</v>
      </c>
      <c r="L362" s="7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207-2024-06-30</t>
        </is>
      </c>
    </row>
    <row r="363" hidden="1">
      <c r="A363" s="5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01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100</v>
      </c>
      <c r="K363" s="5" t="n">
        <v>102.2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207-2024-12-31</t>
        </is>
      </c>
    </row>
    <row r="364" hidden="1">
      <c r="A364" s="5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01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100</v>
      </c>
      <c r="K364" s="5" t="n">
        <v>110.9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207-2025-06-30</t>
        </is>
      </c>
    </row>
    <row r="365" hidden="1">
      <c r="A365" s="21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Trimestral</t>
        </is>
      </c>
      <c r="E365" s="5" t="inlineStr">
        <is>
          <t>Negativo</t>
        </is>
      </c>
      <c r="F365" s="101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100</v>
      </c>
      <c r="K365" s="11" t="n">
        <v>110.62</v>
      </c>
      <c r="L365" s="7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207-2025-12-31</t>
        </is>
      </c>
    </row>
    <row r="366" hidden="1">
      <c r="A366" s="26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01" t="n">
        <v>44742</v>
      </c>
      <c r="G366" s="5" t="n">
        <v>2022</v>
      </c>
      <c r="H366" s="5" t="inlineStr">
        <is>
          <t>Junio</t>
        </is>
      </c>
      <c r="I366" s="6" t="inlineStr">
        <is>
          <t>2022-1</t>
        </is>
      </c>
      <c r="J366" s="5" t="n">
        <v>1700</v>
      </c>
      <c r="K366" s="5" t="n">
        <v>0</v>
      </c>
      <c r="L366" s="74">
        <f>IFERROR(IF(OR(J366=0,K366=""),"",IF(E366="Positivo",MIN(MAX(K366/J366,0),1.0),MIN(MAX(J366/K366,0),1.0))),"") </f>
        <v/>
      </c>
      <c r="M366" s="14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208-2022-06-30</t>
        </is>
      </c>
    </row>
    <row r="367" hidden="1">
      <c r="A367" s="21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01" t="n">
        <v>44926</v>
      </c>
      <c r="G367" s="5" t="n">
        <v>2022</v>
      </c>
      <c r="H367" s="5" t="inlineStr">
        <is>
          <t>Diciembre</t>
        </is>
      </c>
      <c r="I367" s="6" t="inlineStr">
        <is>
          <t>2022-2</t>
        </is>
      </c>
      <c r="J367" s="5" t="n">
        <v>1700</v>
      </c>
      <c r="K367" s="5" t="n">
        <v>0</v>
      </c>
      <c r="L367" s="14">
        <f>IFERROR(IF(OR(J367=0,K367=""),"",IF(E367="Positivo",MIN(MAX(K367/J367,0),1.0),MIN(MAX(J367/K367,0),1.0))),"") </f>
        <v/>
      </c>
      <c r="M367" s="14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208-2022-12-31</t>
        </is>
      </c>
    </row>
    <row r="368" hidden="1">
      <c r="A368" s="21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01" t="n">
        <v>45107</v>
      </c>
      <c r="G368" s="5" t="n">
        <v>2023</v>
      </c>
      <c r="H368" s="5" t="inlineStr">
        <is>
          <t>Junio</t>
        </is>
      </c>
      <c r="I368" s="6" t="inlineStr">
        <is>
          <t>2023-1</t>
        </is>
      </c>
      <c r="J368" s="5" t="n">
        <v>1700</v>
      </c>
      <c r="K368" s="5" t="n">
        <v>1093.216666666667</v>
      </c>
      <c r="L368" s="14">
        <f>IFERROR(IF(OR(J368=0,K368=""),"",IF(E368="Positivo",MIN(MAX(K368/J368,0),1.0),MIN(MAX(J368/K368,0),1.0))),"") </f>
        <v/>
      </c>
      <c r="M368" s="14">
        <f>IFERROR(IF(OR(J368=0,K368=""),"",IF(E368="Positivo",MAX(K368/J368,0),MAX(J368/K368,0))),"") </f>
        <v/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208-2023-06-30</t>
        </is>
      </c>
    </row>
    <row r="369" hidden="1">
      <c r="A369" s="21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01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1700</v>
      </c>
      <c r="K369" s="5" t="n">
        <v>1363.4</v>
      </c>
      <c r="L369" s="14">
        <f>IFERROR(IF(OR(J369=0,K369=""),"",IF(E369="Positivo",MIN(MAX(K369/J369,0),1.0),MIN(MAX(J369/K369,0),1.0))),"") </f>
        <v/>
      </c>
      <c r="M369" s="14">
        <f>IFERROR(IF(OR(J369=0,K369=""),"",IF(E369="Positivo",MAX(K369/J369,0),MAX(J369/K369,0))),"") </f>
        <v/>
      </c>
      <c r="N369" s="5" t="inlineStr">
        <is>
          <t>Linea base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208-2023-12-31</t>
        </is>
      </c>
    </row>
    <row r="370" hidden="1">
      <c r="A370" s="21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01" t="n">
        <v>45473</v>
      </c>
      <c r="G370" s="5" t="n">
        <v>2024</v>
      </c>
      <c r="H370" s="5" t="inlineStr">
        <is>
          <t>Junio</t>
        </is>
      </c>
      <c r="I370" s="6" t="inlineStr">
        <is>
          <t>2024-1</t>
        </is>
      </c>
      <c r="J370" s="5" t="n">
        <v>1700</v>
      </c>
      <c r="K370" s="5" t="n">
        <v>1407</v>
      </c>
      <c r="L370" s="14">
        <f>IFERROR(IF(OR(J370=0,K370=""),"",IF(E370="Positivo",MIN(MAX(K370/J370,0),1.0),MIN(MAX(J370/K370,0),1.0))),"") </f>
        <v/>
      </c>
      <c r="M370" s="14">
        <f>IFERROR(IF(OR(J370=0,K370=""),"",IF(E370="Positivo",MAX(K370/J370,0),MAX(J370/K370,0))),"") </f>
        <v/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208-2024-06-30</t>
        </is>
      </c>
    </row>
    <row r="371" hidden="1">
      <c r="A371" s="21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01" t="n">
        <v>45657</v>
      </c>
      <c r="G371" s="5" t="n">
        <v>2024</v>
      </c>
      <c r="H371" s="5" t="inlineStr">
        <is>
          <t>Diciembre</t>
        </is>
      </c>
      <c r="I371" s="6" t="inlineStr">
        <is>
          <t>2024-2</t>
        </is>
      </c>
      <c r="J371" s="5" t="n">
        <v>1700</v>
      </c>
      <c r="K371" s="5" t="n">
        <v>1205.416666666667</v>
      </c>
      <c r="L371" s="14">
        <f>IFERROR(IF(OR(J371=0,K371=""),"",IF(E371="Positivo",MIN(MAX(K371/J371,0),1.0),MIN(MAX(J371/K371,0),1.0))),"") </f>
        <v/>
      </c>
      <c r="M371" s="14">
        <f>IFERROR(IF(OR(J371=0,K371=""),"",IF(E371="Positivo",MAX(K371/J371,0),MAX(J371/K371,0))),"") </f>
        <v/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208-2024-12-31</t>
        </is>
      </c>
    </row>
    <row r="372" hidden="1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01" t="n">
        <v>45838</v>
      </c>
      <c r="G372" s="15" t="n">
        <v>2025</v>
      </c>
      <c r="H372" s="6" t="inlineStr">
        <is>
          <t>Junio</t>
        </is>
      </c>
      <c r="I372" s="6" t="inlineStr">
        <is>
          <t>2025-1</t>
        </is>
      </c>
      <c r="J372" s="5" t="n">
        <v>1700</v>
      </c>
      <c r="K372" s="7" t="n">
        <v>1225.416666666667</v>
      </c>
      <c r="L372" s="14">
        <f>IFERROR(IF(OR(J372=0,K372=""),"",IF(E372="Positivo",MIN(MAX(K372/J372,0),1.0),MIN(MAX(J372/K372,0),1.0))),"") </f>
        <v/>
      </c>
      <c r="M372" s="14">
        <f>IFERROR(IF(OR(J372=0,K372=""),"",IF(E372="Positivo",MAX(K372/J372,0),MAX(J372/K372,0))),"") </f>
        <v/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208-2025-06-30</t>
        </is>
      </c>
    </row>
    <row r="373" hidden="1">
      <c r="A373" s="5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01" t="n">
        <v>46022</v>
      </c>
      <c r="G373" s="15" t="n">
        <v>2025</v>
      </c>
      <c r="H373" s="6" t="inlineStr">
        <is>
          <t>Diciembre</t>
        </is>
      </c>
      <c r="I373" s="6" t="inlineStr">
        <is>
          <t>2025-2</t>
        </is>
      </c>
      <c r="J373" s="5" t="n">
        <v>1700</v>
      </c>
      <c r="K373" s="7" t="n">
        <v>1183.666666666667</v>
      </c>
      <c r="L373" s="14">
        <f>IFERROR(IF(OR(J373=0,K373=""),"",IF(E373="Positivo",MIN(MAX(K373/J373,0),1.0),MIN(MAX(J373/K373,0),1.0))),"") </f>
        <v/>
      </c>
      <c r="M373" s="14">
        <f>IFERROR(IF(OR(J373=0,K373=""),"",IF(E373="Positivo",MAX(K373/J373,0),MAX(J373/K373,0))),"") </f>
        <v/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208-2025-12-31</t>
        </is>
      </c>
    </row>
    <row r="374" hidden="1">
      <c r="A374" s="5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01" t="n">
        <v>46203</v>
      </c>
      <c r="G374" s="15" t="n">
        <v>2026</v>
      </c>
      <c r="H374" s="6" t="inlineStr">
        <is>
          <t>Junio</t>
        </is>
      </c>
      <c r="I374" s="6" t="inlineStr">
        <is>
          <t>2026-1</t>
        </is>
      </c>
      <c r="J374" s="5" t="n">
        <v>1700</v>
      </c>
      <c r="K374" s="7" t="n">
        <v>881</v>
      </c>
      <c r="L374" s="14">
        <f>IFERROR(IF(OR(J374=0,K374=""),"",IF(E374="Positivo",MIN(MAX(K374/J374,0),1.0),MIN(MAX(J374/K374,0),1.0))),"") </f>
        <v/>
      </c>
      <c r="M374" s="14">
        <f>IFERROR(IF(OR(J374=0,K374=""),"",IF(E374="Positivo",MAX(K374/J374,0),MAX(J374/K374,0))),"") </f>
        <v/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208-2026-06-30</t>
        </is>
      </c>
      <c r="S374" t="inlineStr"/>
    </row>
    <row r="375" hidden="1">
      <c r="A375" s="26" t="n">
        <v>210</v>
      </c>
      <c r="B375" s="5" t="inlineStr">
        <is>
          <t>Aporte de los Procesos a los Objetivos de Desarrollo Sostenible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Positivo</t>
        </is>
      </c>
      <c r="F375" s="101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/>
      <c r="K375" s="5" t="n">
        <v>0</v>
      </c>
      <c r="L375" s="14" t="n"/>
      <c r="M375" s="14" t="n"/>
      <c r="N375" s="5" t="n"/>
      <c r="O375" s="5" t="n"/>
      <c r="P375" s="5" t="n">
        <v>0</v>
      </c>
      <c r="Q375" s="5" t="n">
        <v>0</v>
      </c>
      <c r="R375" s="5" t="inlineStr">
        <is>
          <t>210-2023-12-31</t>
        </is>
      </c>
    </row>
    <row r="376" hidden="1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01" t="n">
        <v>44742</v>
      </c>
      <c r="G376" s="5" t="n">
        <v>2022</v>
      </c>
      <c r="H376" s="5" t="inlineStr">
        <is>
          <t>Junio</t>
        </is>
      </c>
      <c r="I376" s="6" t="inlineStr">
        <is>
          <t>2022-1</t>
        </is>
      </c>
      <c r="J376" s="5" t="n">
        <v>90</v>
      </c>
      <c r="K376" s="5" t="n">
        <v>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213-2022-06-30</t>
        </is>
      </c>
    </row>
    <row r="377" hidden="1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01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90</v>
      </c>
      <c r="K377" s="5" t="n">
        <v>0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213-2022-12-31</t>
        </is>
      </c>
    </row>
    <row r="378" hidden="1">
      <c r="A378" s="26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01" t="n">
        <v>45016</v>
      </c>
      <c r="G378" s="5" t="n">
        <v>2023</v>
      </c>
      <c r="H378" s="5" t="inlineStr">
        <is>
          <t>Marzo</t>
        </is>
      </c>
      <c r="I378" s="6" t="inlineStr">
        <is>
          <t>2023-1</t>
        </is>
      </c>
      <c r="J378" s="5" t="n">
        <v>90</v>
      </c>
      <c r="K378" s="5" t="n">
        <v>100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n"/>
      <c r="O378" s="5" t="n"/>
      <c r="P378" s="5" t="n">
        <v>1</v>
      </c>
      <c r="Q378" s="5" t="n">
        <v>1</v>
      </c>
      <c r="R378" s="5" t="inlineStr">
        <is>
          <t>213-2023-03-31</t>
        </is>
      </c>
    </row>
    <row r="379" hidden="1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01" t="n">
        <v>45107</v>
      </c>
      <c r="G379" s="5" t="n">
        <v>2023</v>
      </c>
      <c r="H379" s="5" t="inlineStr">
        <is>
          <t>Junio</t>
        </is>
      </c>
      <c r="I379" s="6" t="inlineStr">
        <is>
          <t>2023-1</t>
        </is>
      </c>
      <c r="J379" s="5" t="n">
        <v>90</v>
      </c>
      <c r="K379" s="5" t="n">
        <v>93.33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n"/>
      <c r="O379" s="5" t="n"/>
      <c r="P379" s="5" t="n">
        <v>1</v>
      </c>
      <c r="Q379" s="5" t="n">
        <v>1</v>
      </c>
      <c r="R379" s="5" t="inlineStr">
        <is>
          <t>213-2023-06-30</t>
        </is>
      </c>
    </row>
    <row r="380" hidden="1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100" t="n">
        <v>45199</v>
      </c>
      <c r="G380" s="15" t="n">
        <v>2023</v>
      </c>
      <c r="H380" s="6" t="inlineStr">
        <is>
          <t>Septiembre</t>
        </is>
      </c>
      <c r="I380" s="27" t="inlineStr">
        <is>
          <t>2023-2</t>
        </is>
      </c>
      <c r="J380" s="5" t="n">
        <v>90</v>
      </c>
      <c r="K380" s="5" t="n">
        <v>86.40000000000001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n"/>
      <c r="O380" s="5" t="n"/>
      <c r="P380" s="5" t="n">
        <v>1</v>
      </c>
      <c r="Q380" s="5" t="n">
        <v>1</v>
      </c>
      <c r="R380" s="5" t="inlineStr">
        <is>
          <t>213-2023-09-30</t>
        </is>
      </c>
    </row>
    <row r="381" hidden="1">
      <c r="A381" s="26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01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90</v>
      </c>
      <c r="K381" s="5" t="n">
        <v>100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n"/>
      <c r="O381" s="5" t="n"/>
      <c r="P381" s="5" t="n">
        <v>1</v>
      </c>
      <c r="Q381" s="5" t="n">
        <v>1</v>
      </c>
      <c r="R381" s="5" t="inlineStr">
        <is>
          <t>213-2023-12-31</t>
        </is>
      </c>
    </row>
    <row r="382" hidden="1">
      <c r="A382" s="5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01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90</v>
      </c>
      <c r="K382" s="5" t="n">
        <v>100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n"/>
      <c r="O382" s="5" t="n"/>
      <c r="P382" s="5" t="n">
        <v>0</v>
      </c>
      <c r="Q382" s="5" t="n">
        <v>0</v>
      </c>
      <c r="R382" s="5" t="inlineStr">
        <is>
          <t>213-2024-06-30</t>
        </is>
      </c>
    </row>
    <row r="383" hidden="1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01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100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n"/>
      <c r="O383" s="5" t="n"/>
      <c r="P383" s="5" t="n">
        <v>0</v>
      </c>
      <c r="Q383" s="5" t="n">
        <v>0</v>
      </c>
      <c r="R383" s="5" t="inlineStr">
        <is>
          <t>213-2024-12-31</t>
        </is>
      </c>
    </row>
    <row r="384" hidden="1">
      <c r="A384" s="26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01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90</v>
      </c>
      <c r="K384" s="5" t="n">
        <v>94.63</v>
      </c>
      <c r="L384" s="7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213-2025-06-30</t>
        </is>
      </c>
    </row>
    <row r="385" hidden="1">
      <c r="A385" s="5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Semestral</t>
        </is>
      </c>
      <c r="E385" s="5" t="inlineStr">
        <is>
          <t>Positivo</t>
        </is>
      </c>
      <c r="F385" s="101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90</v>
      </c>
      <c r="K385" s="5" t="n">
        <v>100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213-2025-12-31</t>
        </is>
      </c>
    </row>
    <row r="386" hidden="1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01" t="n">
        <v>44742</v>
      </c>
      <c r="G386" s="5" t="n">
        <v>2022</v>
      </c>
      <c r="H386" s="5" t="inlineStr">
        <is>
          <t>Junio</t>
        </is>
      </c>
      <c r="I386" s="6" t="inlineStr">
        <is>
          <t>2022-1</t>
        </is>
      </c>
      <c r="J386" s="5" t="n">
        <v>45000</v>
      </c>
      <c r="K386" s="5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214-2022-06-30</t>
        </is>
      </c>
    </row>
    <row r="387" hidden="1">
      <c r="A387" s="26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01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45000</v>
      </c>
      <c r="K387" s="5" t="n">
        <v>0</v>
      </c>
      <c r="L387" s="7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Kg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214-2022-12-31</t>
        </is>
      </c>
    </row>
    <row r="388" hidden="1">
      <c r="A388" s="5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00" t="n">
        <v>45107</v>
      </c>
      <c r="G388" s="15" t="n">
        <v>2023</v>
      </c>
      <c r="H388" s="6" t="inlineStr">
        <is>
          <t>Junio</t>
        </is>
      </c>
      <c r="I388" s="27" t="inlineStr">
        <is>
          <t>2023-1</t>
        </is>
      </c>
      <c r="J388" s="5" t="n">
        <v>45000</v>
      </c>
      <c r="K388" s="5" t="n">
        <v>13653.25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214-2023-06-30</t>
        </is>
      </c>
    </row>
    <row r="389" hidden="1">
      <c r="A389" s="26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01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45000</v>
      </c>
      <c r="K389" s="5" t="n">
        <v>31003.05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Linea base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214-2023-12-31</t>
        </is>
      </c>
    </row>
    <row r="390" hidden="1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00" t="n">
        <v>45473</v>
      </c>
      <c r="G390" s="15" t="n">
        <v>2024</v>
      </c>
      <c r="H390" s="6" t="inlineStr">
        <is>
          <t>Junio</t>
        </is>
      </c>
      <c r="I390" s="27" t="inlineStr">
        <is>
          <t>2024-1</t>
        </is>
      </c>
      <c r="J390" s="5" t="n">
        <v>45000</v>
      </c>
      <c r="K390" s="5" t="n">
        <v>32812.91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214-2024-06-30</t>
        </is>
      </c>
    </row>
    <row r="391" hidden="1">
      <c r="A391" s="26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01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45000</v>
      </c>
      <c r="K391" s="5" t="n">
        <v>0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214-2024-12-31</t>
        </is>
      </c>
    </row>
    <row r="392" hidden="1">
      <c r="A392" s="26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01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45000</v>
      </c>
      <c r="K392" s="5" t="n">
        <v>26991.16</v>
      </c>
      <c r="L392" s="7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214-2025-06-30</t>
        </is>
      </c>
    </row>
    <row r="393" hidden="1">
      <c r="A393" s="26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01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45000</v>
      </c>
      <c r="K393" s="5" t="n">
        <v>24331.41</v>
      </c>
      <c r="L393" s="7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214-2025-12-31</t>
        </is>
      </c>
    </row>
    <row r="394" hidden="1">
      <c r="A394" s="26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01" t="n">
        <v>46203</v>
      </c>
      <c r="G394" s="5" t="n">
        <v>2026</v>
      </c>
      <c r="H394" s="5" t="inlineStr">
        <is>
          <t>Junio</t>
        </is>
      </c>
      <c r="I394" s="6" t="inlineStr">
        <is>
          <t>2026-1</t>
        </is>
      </c>
      <c r="J394" s="5" t="n">
        <v>7500</v>
      </c>
      <c r="K394" s="5" t="n">
        <v>1139.249969482422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214-2026-06-30</t>
        </is>
      </c>
      <c r="S394" t="inlineStr"/>
    </row>
    <row r="395" hidden="1">
      <c r="A395" s="5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Trimestral</t>
        </is>
      </c>
      <c r="E395" s="5" t="inlineStr">
        <is>
          <t>Positivo</t>
        </is>
      </c>
      <c r="F395" s="101" t="n">
        <v>44926</v>
      </c>
      <c r="G395" s="5" t="n">
        <v>2022</v>
      </c>
      <c r="H395" s="5" t="inlineStr">
        <is>
          <t>Diciembre</t>
        </is>
      </c>
      <c r="I395" s="6" t="inlineStr">
        <is>
          <t>2022-2</t>
        </is>
      </c>
      <c r="J395" s="5" t="n">
        <v>1</v>
      </c>
      <c r="K395" s="5" t="n">
        <v>-23.628691983122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%</t>
        </is>
      </c>
      <c r="O395" s="5" t="inlineStr">
        <is>
          <t>%</t>
        </is>
      </c>
      <c r="P395" s="5" t="n">
        <v>2</v>
      </c>
      <c r="Q395" s="5" t="n">
        <v>2</v>
      </c>
      <c r="R395" s="5" t="inlineStr">
        <is>
          <t>215-2022-12-31</t>
        </is>
      </c>
    </row>
    <row r="396" hidden="1">
      <c r="A396" s="28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101" t="n">
        <v>45107</v>
      </c>
      <c r="G396" s="5" t="n">
        <v>2023</v>
      </c>
      <c r="H396" s="5" t="inlineStr">
        <is>
          <t>Junio</t>
        </is>
      </c>
      <c r="I396" s="6" t="inlineStr">
        <is>
          <t>2023-1</t>
        </is>
      </c>
      <c r="J396" s="5" t="n">
        <v>1</v>
      </c>
      <c r="K396" s="5" t="n">
        <v>-47.67</v>
      </c>
      <c r="L396" s="7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n"/>
      <c r="O396" s="5" t="n"/>
      <c r="P396" s="5" t="n">
        <v>2</v>
      </c>
      <c r="Q396" s="5" t="n">
        <v>2</v>
      </c>
      <c r="R396" s="5" t="inlineStr">
        <is>
          <t>215-2023-06-30</t>
        </is>
      </c>
    </row>
    <row r="397" hidden="1">
      <c r="A397" s="26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101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</v>
      </c>
      <c r="K397" s="5" t="n">
        <v>-124.72</v>
      </c>
      <c r="L397" s="7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n"/>
      <c r="O397" s="5" t="n"/>
      <c r="P397" s="5" t="n">
        <v>2</v>
      </c>
      <c r="Q397" s="5" t="n">
        <v>2</v>
      </c>
      <c r="R397" s="5" t="inlineStr">
        <is>
          <t>215-2023-12-31</t>
        </is>
      </c>
    </row>
    <row r="398" hidden="1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101" t="n">
        <v>45473</v>
      </c>
      <c r="G398" s="5" t="n">
        <v>2024</v>
      </c>
      <c r="H398" s="5" t="inlineStr">
        <is>
          <t>Junio</t>
        </is>
      </c>
      <c r="I398" s="6" t="inlineStr">
        <is>
          <t>2024-1</t>
        </is>
      </c>
      <c r="J398" s="5" t="n">
        <v>1</v>
      </c>
      <c r="K398" s="5" t="n">
        <v>8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215-2024-06-30</t>
        </is>
      </c>
    </row>
    <row r="399" hidden="1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Semestral</t>
        </is>
      </c>
      <c r="E399" s="5" t="inlineStr">
        <is>
          <t>Positivo</t>
        </is>
      </c>
      <c r="F399" s="101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1</v>
      </c>
      <c r="K399" s="5" t="n">
        <v>-45.65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215-2024-12-31</t>
        </is>
      </c>
    </row>
    <row r="400" hidden="1">
      <c r="A400" s="5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101" t="n">
        <v>45838</v>
      </c>
      <c r="G400" s="15" t="n">
        <v>2025</v>
      </c>
      <c r="H400" s="6" t="inlineStr">
        <is>
          <t>Junio</t>
        </is>
      </c>
      <c r="I400" s="6" t="inlineStr">
        <is>
          <t>2025-1</t>
        </is>
      </c>
      <c r="J400" s="5" t="n">
        <v>1</v>
      </c>
      <c r="K400" s="5" t="n">
        <v>-114.55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215-2025-06-30</t>
        </is>
      </c>
    </row>
    <row r="401" hidden="1">
      <c r="A401" s="26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Trimestral</t>
        </is>
      </c>
      <c r="E401" s="5" t="inlineStr">
        <is>
          <t>Positivo</t>
        </is>
      </c>
      <c r="F401" s="101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1</v>
      </c>
      <c r="K401" s="5" t="n">
        <v>-6.43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%</t>
        </is>
      </c>
      <c r="O401" s="5" t="inlineStr">
        <is>
          <t>%</t>
        </is>
      </c>
      <c r="P401" s="5" t="n">
        <v>2</v>
      </c>
      <c r="Q401" s="5" t="n">
        <v>2</v>
      </c>
      <c r="R401" s="5" t="inlineStr">
        <is>
          <t>215-2025-12-31</t>
        </is>
      </c>
    </row>
    <row r="402" hidden="1">
      <c r="A402" s="26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101" t="n">
        <v>44926</v>
      </c>
      <c r="G402" s="5" t="n">
        <v>2022</v>
      </c>
      <c r="H402" s="5" t="inlineStr">
        <is>
          <t>Diciembre</t>
        </is>
      </c>
      <c r="I402" s="6" t="inlineStr">
        <is>
          <t>2022-2</t>
        </is>
      </c>
      <c r="J402" s="5" t="n">
        <v>100</v>
      </c>
      <c r="K402" s="5" t="n">
        <v>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216-2022-12-31</t>
        </is>
      </c>
    </row>
    <row r="403" hidden="1">
      <c r="A403" s="26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101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100</v>
      </c>
      <c r="K403" s="5" t="n">
        <v>100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216-2023-12-31</t>
        </is>
      </c>
    </row>
    <row r="404" hidden="1">
      <c r="A404" s="26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101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100</v>
      </c>
      <c r="K404" s="5" t="n">
        <v>100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216-2024-12-31</t>
        </is>
      </c>
    </row>
    <row r="405" hidden="1">
      <c r="A405" s="26" t="n">
        <v>216</v>
      </c>
      <c r="B405" s="5" t="inlineStr">
        <is>
          <t>Disposición Ambientalmente Adecuada de Residuos Peligrosos</t>
        </is>
      </c>
      <c r="C405" s="5" t="inlineStr">
        <is>
          <t>GESTIÓN AMBIENTAL</t>
        </is>
      </c>
      <c r="D405" s="5" t="inlineStr">
        <is>
          <t>Anual</t>
        </is>
      </c>
      <c r="E405" s="5" t="inlineStr">
        <is>
          <t>Positivo</t>
        </is>
      </c>
      <c r="F405" s="101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100</v>
      </c>
      <c r="K405" s="5" t="n">
        <v>100</v>
      </c>
      <c r="L405" s="7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216-2025-12-31</t>
        </is>
      </c>
    </row>
    <row r="406" hidden="1">
      <c r="A406" s="26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01" t="n">
        <v>44957</v>
      </c>
      <c r="G406" s="5" t="n">
        <v>2023</v>
      </c>
      <c r="H406" s="5" t="inlineStr">
        <is>
          <t>Enero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7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217-2023-01-31</t>
        </is>
      </c>
    </row>
    <row r="407" hidden="1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01" t="n">
        <v>44985</v>
      </c>
      <c r="G407" s="5" t="n">
        <v>2023</v>
      </c>
      <c r="H407" s="5" t="inlineStr">
        <is>
          <t>Febrero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217-2023-02-28</t>
        </is>
      </c>
    </row>
    <row r="408" hidden="1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01" t="n">
        <v>45016</v>
      </c>
      <c r="G408" s="5" t="n">
        <v>2023</v>
      </c>
      <c r="H408" s="5" t="inlineStr">
        <is>
          <t>Marzo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217-2023-03-31</t>
        </is>
      </c>
    </row>
    <row r="409" hidden="1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1" t="n">
        <v>45046</v>
      </c>
      <c r="G409" s="5" t="n">
        <v>2023</v>
      </c>
      <c r="H409" s="5" t="inlineStr">
        <is>
          <t>Abril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7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217-2023-04-30</t>
        </is>
      </c>
    </row>
    <row r="410" hidden="1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1" t="n">
        <v>45077</v>
      </c>
      <c r="G410" s="5" t="n">
        <v>2023</v>
      </c>
      <c r="H410" s="5" t="inlineStr">
        <is>
          <t>Mayo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217-2023-05-31</t>
        </is>
      </c>
    </row>
    <row r="411" hidden="1">
      <c r="A411" s="28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1" t="n">
        <v>45107</v>
      </c>
      <c r="G411" s="5" t="n">
        <v>2023</v>
      </c>
      <c r="H411" s="5" t="inlineStr">
        <is>
          <t>Junio</t>
        </is>
      </c>
      <c r="I411" s="6" t="inlineStr">
        <is>
          <t>2023-1</t>
        </is>
      </c>
      <c r="J411" s="5" t="n">
        <v>120</v>
      </c>
      <c r="K411" s="5" t="n">
        <v>322.245187157396</v>
      </c>
      <c r="L411" s="7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217-2023-06-30</t>
        </is>
      </c>
    </row>
    <row r="412" hidden="1">
      <c r="A412" s="26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1" t="n">
        <v>45138</v>
      </c>
      <c r="G412" s="5" t="n">
        <v>2023</v>
      </c>
      <c r="H412" s="5" t="inlineStr">
        <is>
          <t>Julio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7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217-2023-07-31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1" t="n">
        <v>45169</v>
      </c>
      <c r="G413" s="5" t="n">
        <v>2023</v>
      </c>
      <c r="H413" s="5" t="inlineStr">
        <is>
          <t>Agosto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217-2023-08-31</t>
        </is>
      </c>
    </row>
    <row r="414" hidden="1">
      <c r="A414" s="5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01" t="n">
        <v>45199</v>
      </c>
      <c r="G414" s="5" t="n">
        <v>2023</v>
      </c>
      <c r="H414" s="5" t="inlineStr">
        <is>
          <t>Septiembre</t>
        </is>
      </c>
      <c r="I414" s="6" t="inlineStr">
        <is>
          <t>2023-2</t>
        </is>
      </c>
      <c r="J414" s="5" t="n">
        <v>120</v>
      </c>
      <c r="K414" s="10" t="n">
        <v>130.7838155698693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217-2023-09-30</t>
        </is>
      </c>
    </row>
    <row r="415" hidden="1">
      <c r="A415" s="28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01" t="n">
        <v>45230</v>
      </c>
      <c r="G415" s="5" t="n">
        <v>2023</v>
      </c>
      <c r="H415" s="5" t="inlineStr">
        <is>
          <t>Octubre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7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217-2023-10-31</t>
        </is>
      </c>
    </row>
    <row r="416" hidden="1">
      <c r="A416" s="26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01" t="n">
        <v>45260</v>
      </c>
      <c r="G416" s="5" t="n">
        <v>2023</v>
      </c>
      <c r="H416" s="5" t="inlineStr">
        <is>
          <t>Noviembre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7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217-2023-11-30</t>
        </is>
      </c>
    </row>
    <row r="417" hidden="1">
      <c r="A417" s="26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01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120</v>
      </c>
      <c r="K417" s="5" t="n">
        <v>130.7838155698693</v>
      </c>
      <c r="L417" s="7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217-2023-12-31</t>
        </is>
      </c>
    </row>
    <row r="418" hidden="1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01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120</v>
      </c>
      <c r="K418" s="5" t="n">
        <v>154.91</v>
      </c>
      <c r="L418" s="7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n"/>
      <c r="O418" s="5" t="n"/>
      <c r="P418" s="5" t="n">
        <v>0</v>
      </c>
      <c r="Q418" s="5" t="n">
        <v>0</v>
      </c>
      <c r="R418" s="5" t="inlineStr">
        <is>
          <t>217-2024-06-30</t>
        </is>
      </c>
    </row>
    <row r="419" hidden="1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01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120</v>
      </c>
      <c r="K419" s="5" t="n">
        <v>148.9927505108846</v>
      </c>
      <c r="L419" s="7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n"/>
      <c r="O419" s="5" t="n"/>
      <c r="P419" s="5" t="n">
        <v>0</v>
      </c>
      <c r="Q419" s="5" t="n">
        <v>0</v>
      </c>
      <c r="R419" s="5" t="inlineStr">
        <is>
          <t>217-2024-12-31</t>
        </is>
      </c>
    </row>
    <row r="420" hidden="1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01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120</v>
      </c>
      <c r="K420" s="5" t="n">
        <v>333.74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217-2025-06-30</t>
        </is>
      </c>
    </row>
    <row r="421" hidden="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01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120</v>
      </c>
      <c r="K421" s="5" t="n">
        <v>543.33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217-2025-12-31</t>
        </is>
      </c>
    </row>
    <row r="422" hidden="1">
      <c r="A422" s="28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01" t="n">
        <v>44742</v>
      </c>
      <c r="G422" s="5" t="n">
        <v>2022</v>
      </c>
      <c r="H422" s="5" t="inlineStr">
        <is>
          <t>Junio</t>
        </is>
      </c>
      <c r="I422" s="6" t="inlineStr">
        <is>
          <t>2022-1</t>
        </is>
      </c>
      <c r="J422" s="5" t="n">
        <v>1032000</v>
      </c>
      <c r="K422" s="5" t="n">
        <v>0</v>
      </c>
      <c r="L422" s="14">
        <f>IFERROR(IF(OR(J422=0,K422=""),"",IF(E422="Positivo",MIN(MAX(K422/J422,0),1.0),MIN(MAX(J422/K422,0),1.0))),"") </f>
        <v/>
      </c>
      <c r="M422" s="14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218-2022-06-30</t>
        </is>
      </c>
    </row>
    <row r="423" hidden="1">
      <c r="A423" s="26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01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1032000</v>
      </c>
      <c r="K423" s="5" t="n">
        <v>0</v>
      </c>
      <c r="L423" s="14">
        <f>IFERROR(IF(OR(J423=0,K423=""),"",IF(E423="Positivo",MIN(MAX(K423/J423,0),1.0),MIN(MAX(J423/K423,0),1.0))),"") </f>
        <v/>
      </c>
      <c r="M423" s="14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218-2022-12-31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01" t="n">
        <v>44957</v>
      </c>
      <c r="G424" s="5" t="n">
        <v>2023</v>
      </c>
      <c r="H424" s="5" t="inlineStr">
        <is>
          <t>Enero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4">
        <f>IFERROR(IF(OR(J424=0,K424=""),"",IF(E424="Positivo",MIN(MAX(K424/J424,0),1.0),MIN(MAX(J424/K424,0),1.0))),"") </f>
        <v/>
      </c>
      <c r="M424" s="14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218-2023-01-31</t>
        </is>
      </c>
    </row>
    <row r="425" hidden="1">
      <c r="A425" s="5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1" t="n">
        <v>44985</v>
      </c>
      <c r="G425" s="5" t="n">
        <v>2023</v>
      </c>
      <c r="H425" s="5" t="inlineStr">
        <is>
          <t>Febrero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4">
        <f>IFERROR(IF(OR(J425=0,K425=""),"",IF(E425="Positivo",MIN(MAX(K425/J425,0),1.0),MIN(MAX(J425/K425,0),1.0))),"") </f>
        <v/>
      </c>
      <c r="M425" s="14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218-2023-02-28</t>
        </is>
      </c>
    </row>
    <row r="426" hidden="1">
      <c r="A426" s="28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1" t="n">
        <v>45016</v>
      </c>
      <c r="G426" s="5" t="n">
        <v>2023</v>
      </c>
      <c r="H426" s="5" t="inlineStr">
        <is>
          <t>Marzo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4">
        <f>IFERROR(IF(OR(J426=0,K426=""),"",IF(E426="Positivo",MIN(MAX(K426/J426,0),1.0),MIN(MAX(J426/K426,0),1.0))),"") </f>
        <v/>
      </c>
      <c r="M426" s="14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218-2023-03-31</t>
        </is>
      </c>
    </row>
    <row r="427" hidden="1">
      <c r="A427" s="26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1" t="n">
        <v>45046</v>
      </c>
      <c r="G427" s="5" t="n">
        <v>2023</v>
      </c>
      <c r="H427" s="5" t="inlineStr">
        <is>
          <t>Abril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4">
        <f>IFERROR(IF(OR(J427=0,K427=""),"",IF(E427="Positivo",MIN(MAX(K427/J427,0),1.0),MIN(MAX(J427/K427,0),1.0))),"") </f>
        <v/>
      </c>
      <c r="M427" s="14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218-2023-04-30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1" t="n">
        <v>45077</v>
      </c>
      <c r="G428" s="5" t="n">
        <v>2023</v>
      </c>
      <c r="H428" s="5" t="inlineStr">
        <is>
          <t>Mayo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14">
        <f>IFERROR(IF(OR(J428=0,K428=""),"",IF(E428="Positivo",MIN(MAX(K428/J428,0),1.0),MIN(MAX(J428/K428,0),1.0))),"") </f>
        <v/>
      </c>
      <c r="M428" s="14">
        <f>IFERROR(IF(OR(J428=0,K428=""),"",IF(E428="Positivo",MAX(K428/J428,0),MAX(J428/K428,0))),"") </f>
        <v/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218-2023-05-31</t>
        </is>
      </c>
    </row>
    <row r="429" hidden="1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1" t="n">
        <v>45107</v>
      </c>
      <c r="G429" s="5" t="n">
        <v>2023</v>
      </c>
      <c r="H429" s="5" t="inlineStr">
        <is>
          <t>Junio</t>
        </is>
      </c>
      <c r="I429" s="6" t="inlineStr">
        <is>
          <t>2023-1</t>
        </is>
      </c>
      <c r="J429" s="5" t="n">
        <v>1032000</v>
      </c>
      <c r="K429" s="5" t="n">
        <v>809046.41</v>
      </c>
      <c r="L429" s="14">
        <f>IFERROR(IF(OR(J429=0,K429=""),"",IF(E429="Positivo",MIN(MAX(K429/J429,0),1.0),MIN(MAX(J429/K429,0),1.0))),"") </f>
        <v/>
      </c>
      <c r="M429" s="14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218-2023-06-30</t>
        </is>
      </c>
    </row>
    <row r="430" hidden="1">
      <c r="A430" s="28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1" t="n">
        <v>45138</v>
      </c>
      <c r="G430" s="5" t="n">
        <v>2023</v>
      </c>
      <c r="H430" s="5" t="inlineStr">
        <is>
          <t>Julio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14">
        <f>IFERROR(IF(OR(J430=0,K430=""),"",IF(E430="Positivo",MIN(MAX(K430/J430,0),1.0),MIN(MAX(J430/K430,0),1.0))),"") </f>
        <v/>
      </c>
      <c r="M430" s="14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218-2023-07-31</t>
        </is>
      </c>
    </row>
    <row r="431" hidden="1">
      <c r="A431" s="26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1" t="n">
        <v>45169</v>
      </c>
      <c r="G431" s="5" t="n">
        <v>2023</v>
      </c>
      <c r="H431" s="5" t="inlineStr">
        <is>
          <t>Agosto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14">
        <f>IFERROR(IF(OR(J431=0,K431=""),"",IF(E431="Positivo",MIN(MAX(K431/J431,0),1.0),MIN(MAX(J431/K431,0),1.0))),"") </f>
        <v/>
      </c>
      <c r="M431" s="14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218-2023-08-31</t>
        </is>
      </c>
    </row>
    <row r="432" hidden="1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01" t="n">
        <v>45199</v>
      </c>
      <c r="G432" s="5" t="n">
        <v>2023</v>
      </c>
      <c r="H432" s="5" t="inlineStr">
        <is>
          <t>Septiembre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14">
        <f>IFERROR(IF(OR(J432=0,K432=""),"",IF(E432="Positivo",MIN(MAX(K432/J432,0),1.0),MIN(MAX(J432/K432,0),1.0))),"") </f>
        <v/>
      </c>
      <c r="M432" s="14">
        <f>IFERROR(IF(OR(J432=0,K432=""),"",IF(E432="Positivo",MAX(K432/J432,0),MAX(J432/K432,0))),"") </f>
        <v/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218-2023-09-30</t>
        </is>
      </c>
    </row>
    <row r="433" hidden="1">
      <c r="A433" s="26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01" t="n">
        <v>45230</v>
      </c>
      <c r="G433" s="5" t="n">
        <v>2023</v>
      </c>
      <c r="H433" s="5" t="inlineStr">
        <is>
          <t>Octubre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74">
        <f>IFERROR(IF(OR(J433=0,K433=""),"",IF(E433="Positivo",MIN(MAX(K433/J433,0),1.0),MIN(MAX(J433/K433,0),1.0))),"") </f>
        <v/>
      </c>
      <c r="M433" s="14">
        <f>IFERROR(IF(OR(J433=0,K433=""),"",IF(E433="Positivo",MAX(K433/J433,0),MAX(J433/K433,0))),"") </f>
        <v/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218-2023-10-31</t>
        </is>
      </c>
    </row>
    <row r="434" hidden="1">
      <c r="A434" s="26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01" t="n">
        <v>45260</v>
      </c>
      <c r="G434" s="5" t="n">
        <v>2023</v>
      </c>
      <c r="H434" s="5" t="inlineStr">
        <is>
          <t>Noviembre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74">
        <f>IFERROR(IF(OR(J434=0,K434=""),"",IF(E434="Positivo",MIN(MAX(K434/J434,0),1.0),MIN(MAX(J434/K434,0),1.0))),"") </f>
        <v/>
      </c>
      <c r="M434" s="14">
        <f>IFERROR(IF(OR(J434=0,K434=""),"",IF(E434="Positivo",MAX(K434/J434,0),MAX(J434/K434,0))),"") </f>
        <v/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218-2023-11-30</t>
        </is>
      </c>
    </row>
    <row r="435" hidden="1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01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1032000</v>
      </c>
      <c r="K435" s="5" t="n">
        <v>795652.8199999999</v>
      </c>
      <c r="L435" s="14">
        <f>IFERROR(IF(OR(J435=0,K435=""),"",IF(E435="Positivo",MIN(MAX(K435/J435,0),1.0),MIN(MAX(J435/K435,0),1.0))),"") </f>
        <v/>
      </c>
      <c r="M435" s="14">
        <f>IFERROR(IF(OR(J435=0,K435=""),"",IF(E435="Positivo",MAX(K435/J435,0),MAX(J435/K435,0))),"") </f>
        <v/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218-2023-12-31</t>
        </is>
      </c>
    </row>
    <row r="436" hidden="1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01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1032000</v>
      </c>
      <c r="K436" s="5" t="n">
        <v>874910.97</v>
      </c>
      <c r="L436" s="14">
        <f>IFERROR(IF(OR(J436=0,K436=""),"",IF(E436="Positivo",MIN(MAX(K436/J436,0),1.0),MIN(MAX(J436/K436,0),1.0))),"") </f>
        <v/>
      </c>
      <c r="M436" s="14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218-2024-06-30</t>
        </is>
      </c>
    </row>
    <row r="437" hidden="1">
      <c r="A437" s="28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01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1032000</v>
      </c>
      <c r="K437" s="5" t="n">
        <v>849391.85</v>
      </c>
      <c r="L437" s="74">
        <f>IFERROR(IF(OR(J437=0,K437=""),"",IF(E437="Positivo",MIN(MAX(K437/J437,0),1.0),MIN(MAX(J437/K437,0),1.0))),"") </f>
        <v/>
      </c>
      <c r="M437" s="14">
        <f>IFERROR(IF(OR(J437=0,K437=""),"",IF(E437="Positivo",MAX(K437/J437,0),MAX(J437/K437,0))),"") </f>
        <v/>
      </c>
      <c r="N437" s="5" t="n"/>
      <c r="O437" s="5" t="n"/>
      <c r="P437" s="5" t="n">
        <v>0</v>
      </c>
      <c r="Q437" s="5" t="n">
        <v>0</v>
      </c>
      <c r="R437" s="5" t="inlineStr">
        <is>
          <t>218-2024-12-31</t>
        </is>
      </c>
    </row>
    <row r="438" hidden="1">
      <c r="A438" s="26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01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1032000</v>
      </c>
      <c r="K438" s="5" t="n">
        <v>820561.26</v>
      </c>
      <c r="L438" s="74">
        <f>IFERROR(IF(OR(J438=0,K438=""),"",IF(E438="Positivo",MIN(MAX(K438/J438,0),1.0),MIN(MAX(J438/K438,0),1.0))),"") </f>
        <v/>
      </c>
      <c r="M438" s="14">
        <f>IFERROR(IF(OR(J438=0,K438=""),"",IF(E438="Positivo",MAX(K438/J438,0),MAX(J438/K438,0))),"") </f>
        <v/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218-2025-06-30</t>
        </is>
      </c>
    </row>
    <row r="439" hidden="1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01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1032000</v>
      </c>
      <c r="K439" s="5" t="n">
        <v>841417.4</v>
      </c>
      <c r="L439" s="14">
        <f>IFERROR(IF(OR(J439=0,K439=""),"",IF(E439="Positivo",MIN(MAX(K439/J439,0),1.0),MIN(MAX(J439/K439,0),1.0))),"") </f>
        <v/>
      </c>
      <c r="M439" s="14">
        <f>IFERROR(IF(OR(J439=0,K439=""),"",IF(E439="Positivo",MAX(K439/J439,0),MAX(J439/K439,0))),"") </f>
        <v/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218-2025-12-31</t>
        </is>
      </c>
    </row>
    <row r="440" hidden="1">
      <c r="A440" s="5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01" t="n">
        <v>46203</v>
      </c>
      <c r="G440" s="5" t="n">
        <v>2026</v>
      </c>
      <c r="H440" s="5" t="inlineStr">
        <is>
          <t>Junio</t>
        </is>
      </c>
      <c r="I440" s="6" t="inlineStr">
        <is>
          <t>2026-1</t>
        </is>
      </c>
      <c r="J440" s="5" t="n">
        <v>172000</v>
      </c>
      <c r="K440" s="5" t="n">
        <v>88930.98890626431</v>
      </c>
      <c r="L440" s="14">
        <f>IFERROR(IF(OR(J440=0,K440=""),"",IF(E440="Positivo",MIN(MAX(K440/J440,0),1.0),MIN(MAX(J440/K440,0),1.0))),"") </f>
        <v/>
      </c>
      <c r="M440" s="14">
        <f>IFERROR(IF(OR(J440=0,K440=""),"",IF(E440="Positivo",MAX(K440/J440,0),MAX(J440/K440,0))),"") </f>
        <v/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218-2026-06-30</t>
        </is>
      </c>
      <c r="S440" t="inlineStr"/>
    </row>
    <row r="441" hidden="1">
      <c r="A441" s="28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01" t="n">
        <v>44742</v>
      </c>
      <c r="G441" s="5" t="n">
        <v>2022</v>
      </c>
      <c r="H441" s="5" t="inlineStr">
        <is>
          <t>Junio</t>
        </is>
      </c>
      <c r="I441" s="6" t="inlineStr">
        <is>
          <t>2022-1</t>
        </is>
      </c>
      <c r="J441" s="5" t="n">
        <v>1</v>
      </c>
      <c r="K441" s="5" t="n">
        <v>16.685183396325</v>
      </c>
      <c r="L441" s="7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219-2022-06-30</t>
        </is>
      </c>
    </row>
    <row r="442" hidden="1">
      <c r="A442" s="26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Trimestral</t>
        </is>
      </c>
      <c r="E442" s="5" t="inlineStr">
        <is>
          <t>Positivo</t>
        </is>
      </c>
      <c r="F442" s="101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5" t="n">
        <v>-68.789622683372</v>
      </c>
      <c r="L442" s="7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219-2022-12-31</t>
        </is>
      </c>
    </row>
    <row r="443" hidden="1">
      <c r="A443" s="5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01" t="n">
        <v>45107</v>
      </c>
      <c r="G443" s="5" t="n">
        <v>2023</v>
      </c>
      <c r="H443" s="5" t="inlineStr">
        <is>
          <t>Junio</t>
        </is>
      </c>
      <c r="I443" s="6" t="inlineStr">
        <is>
          <t>2023-1</t>
        </is>
      </c>
      <c r="J443" s="5" t="n">
        <v>1</v>
      </c>
      <c r="K443" s="5" t="n">
        <v>21.14703682627429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219-2023-06-30</t>
        </is>
      </c>
    </row>
    <row r="444" hidden="1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01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1</v>
      </c>
      <c r="K444" s="5" t="n">
        <v>-5.89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219-2023-12-31</t>
        </is>
      </c>
    </row>
    <row r="445" hidden="1">
      <c r="A445" s="28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01" t="n">
        <v>45473</v>
      </c>
      <c r="G445" s="5" t="n">
        <v>2024</v>
      </c>
      <c r="H445" s="5" t="inlineStr">
        <is>
          <t>Junio</t>
        </is>
      </c>
      <c r="I445" s="6" t="inlineStr">
        <is>
          <t>2024-1</t>
        </is>
      </c>
      <c r="J445" s="5" t="n">
        <v>1</v>
      </c>
      <c r="K445" s="5" t="n">
        <v>11.94</v>
      </c>
      <c r="L445" s="7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219-2024-06-30</t>
        </is>
      </c>
    </row>
    <row r="446" hidden="1">
      <c r="A446" s="26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Semestral</t>
        </is>
      </c>
      <c r="E446" s="5" t="inlineStr">
        <is>
          <t>Positivo</t>
        </is>
      </c>
      <c r="F446" s="101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1</v>
      </c>
      <c r="K446" s="5" t="n">
        <v>-12.53</v>
      </c>
      <c r="L446" s="7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n"/>
      <c r="O446" s="5" t="n"/>
      <c r="P446" s="5" t="n">
        <v>0</v>
      </c>
      <c r="Q446" s="5" t="n">
        <v>0</v>
      </c>
      <c r="R446" s="5" t="inlineStr">
        <is>
          <t>219-2024-12-31</t>
        </is>
      </c>
    </row>
    <row r="447" hidden="1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1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</v>
      </c>
      <c r="K447" s="5" t="n">
        <v>18.43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219-2025-06-30</t>
        </is>
      </c>
    </row>
    <row r="448" hidden="1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01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</v>
      </c>
      <c r="K448" s="5" t="n">
        <v>-18.28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219-2025-12-31</t>
        </is>
      </c>
    </row>
    <row r="449" hidden="1">
      <c r="A449" s="26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101" t="n">
        <v>44742</v>
      </c>
      <c r="G449" s="5" t="n">
        <v>2022</v>
      </c>
      <c r="H449" s="5" t="inlineStr">
        <is>
          <t>Junio</t>
        </is>
      </c>
      <c r="I449" s="6" t="inlineStr">
        <is>
          <t>2022-1</t>
        </is>
      </c>
      <c r="J449" s="5" t="n">
        <v>1</v>
      </c>
      <c r="K449" s="5" t="n">
        <v>-88.60356590106301</v>
      </c>
      <c r="L449" s="7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220-2022-06-30</t>
        </is>
      </c>
    </row>
    <row r="450" hidden="1">
      <c r="A450" s="28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Trimestral</t>
        </is>
      </c>
      <c r="E450" s="5" t="inlineStr">
        <is>
          <t>Positivo</t>
        </is>
      </c>
      <c r="F450" s="101" t="n">
        <v>44926</v>
      </c>
      <c r="G450" s="5" t="n">
        <v>2022</v>
      </c>
      <c r="H450" s="5" t="inlineStr">
        <is>
          <t>Diciembre</t>
        </is>
      </c>
      <c r="I450" s="6" t="inlineStr">
        <is>
          <t>2022-2</t>
        </is>
      </c>
      <c r="J450" s="5" t="n">
        <v>1</v>
      </c>
      <c r="K450" s="5" t="n">
        <v>-85.889409840455</v>
      </c>
      <c r="L450" s="7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220-2022-12-31</t>
        </is>
      </c>
    </row>
    <row r="451" hidden="1">
      <c r="A451" s="26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01" t="n">
        <v>45107</v>
      </c>
      <c r="G451" s="5" t="n">
        <v>2023</v>
      </c>
      <c r="H451" s="5" t="inlineStr">
        <is>
          <t>Junio</t>
        </is>
      </c>
      <c r="I451" s="6" t="inlineStr">
        <is>
          <t>2023-1</t>
        </is>
      </c>
      <c r="J451" s="5" t="n">
        <v>1</v>
      </c>
      <c r="K451" s="5" t="n">
        <v>40.67840779343521</v>
      </c>
      <c r="L451" s="7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220-2023-06-30</t>
        </is>
      </c>
    </row>
    <row r="452" hidden="1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01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1</v>
      </c>
      <c r="K452" s="5" t="n">
        <v>-38.58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220-2023-12-31</t>
        </is>
      </c>
    </row>
    <row r="453" hidden="1">
      <c r="A453" s="5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101" t="n">
        <v>45473</v>
      </c>
      <c r="G453" s="5" t="n">
        <v>2024</v>
      </c>
      <c r="H453" s="5" t="inlineStr">
        <is>
          <t>Junio</t>
        </is>
      </c>
      <c r="I453" s="6" t="inlineStr">
        <is>
          <t>2024-1</t>
        </is>
      </c>
      <c r="J453" s="5" t="n">
        <v>1</v>
      </c>
      <c r="K453" s="5" t="n">
        <v>3.58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220-2024-06-30</t>
        </is>
      </c>
    </row>
    <row r="454" hidden="1">
      <c r="A454" s="28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Semestral</t>
        </is>
      </c>
      <c r="E454" s="5" t="inlineStr">
        <is>
          <t>Positivo</t>
        </is>
      </c>
      <c r="F454" s="101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</v>
      </c>
      <c r="K454" s="5" t="n">
        <v>13.05</v>
      </c>
      <c r="L454" s="7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n"/>
      <c r="O454" s="5" t="n"/>
      <c r="P454" s="5" t="n">
        <v>0</v>
      </c>
      <c r="Q454" s="5" t="n">
        <v>0</v>
      </c>
      <c r="R454" s="5" t="inlineStr">
        <is>
          <t>220-2024-12-31</t>
        </is>
      </c>
    </row>
    <row r="455" hidden="1">
      <c r="A455" s="26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01" t="n">
        <v>45838</v>
      </c>
      <c r="G455" s="5" t="n">
        <v>2025</v>
      </c>
      <c r="H455" s="5" t="inlineStr">
        <is>
          <t>Junio</t>
        </is>
      </c>
      <c r="I455" s="6" t="inlineStr">
        <is>
          <t>2025-1</t>
        </is>
      </c>
      <c r="J455" s="5" t="n">
        <v>1</v>
      </c>
      <c r="K455" s="5" t="n">
        <v>33.98</v>
      </c>
      <c r="L455" s="7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220-2025-06-30</t>
        </is>
      </c>
    </row>
    <row r="456" hidden="1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01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1</v>
      </c>
      <c r="K456" s="5" t="n">
        <v>-10.18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220-2025-12-31</t>
        </is>
      </c>
    </row>
    <row r="457" hidden="1">
      <c r="A457" s="5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01" t="n">
        <v>44926</v>
      </c>
      <c r="G457" s="5" t="n">
        <v>2022</v>
      </c>
      <c r="H457" s="5" t="inlineStr">
        <is>
          <t>Diciembre</t>
        </is>
      </c>
      <c r="I457" s="6" t="inlineStr">
        <is>
          <t>2022-2</t>
        </is>
      </c>
      <c r="J457" s="5" t="n">
        <v>100</v>
      </c>
      <c r="K457" s="5" t="n">
        <v>0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221-2022-12-31</t>
        </is>
      </c>
    </row>
    <row r="458" hidden="1">
      <c r="A458" s="28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01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100</v>
      </c>
      <c r="K458" s="5" t="n">
        <v>100</v>
      </c>
      <c r="L458" s="7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221-2023-12-31</t>
        </is>
      </c>
    </row>
    <row r="459" hidden="1">
      <c r="A459" s="26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01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100</v>
      </c>
      <c r="K459" s="5" t="n">
        <v>33.33</v>
      </c>
      <c r="L459" s="7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n"/>
      <c r="O459" s="5" t="n"/>
      <c r="P459" s="5" t="n">
        <v>0</v>
      </c>
      <c r="Q459" s="5" t="n">
        <v>0</v>
      </c>
      <c r="R459" s="5" t="inlineStr">
        <is>
          <t>221-2024-12-31</t>
        </is>
      </c>
    </row>
    <row r="460" hidden="1">
      <c r="A460" s="5" t="n">
        <v>221</v>
      </c>
      <c r="B460" s="5" t="inlineStr">
        <is>
          <t>Riesgo de la Calidad del Agua Potable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1" t="n">
        <v>46022</v>
      </c>
      <c r="G460" s="5" t="n">
        <v>2025</v>
      </c>
      <c r="H460" s="5" t="inlineStr">
        <is>
          <t>Diciembre</t>
        </is>
      </c>
      <c r="I460" s="6" t="inlineStr">
        <is>
          <t>2025-2</t>
        </is>
      </c>
      <c r="J460" s="5" t="n">
        <v>100</v>
      </c>
      <c r="K460" s="5" t="n">
        <v>27.5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221-2025-12-31</t>
        </is>
      </c>
    </row>
    <row r="461" hidden="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1" t="n">
        <v>44926</v>
      </c>
      <c r="G461" s="5" t="n">
        <v>2022</v>
      </c>
      <c r="H461" s="5" t="inlineStr">
        <is>
          <t>Diciembre</t>
        </is>
      </c>
      <c r="I461" s="6" t="inlineStr">
        <is>
          <t>2022-2</t>
        </is>
      </c>
      <c r="J461" s="5" t="n">
        <v>90</v>
      </c>
      <c r="K461" s="5" t="n">
        <v>93.75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222-2022-12-31</t>
        </is>
      </c>
    </row>
    <row r="462" hidden="1">
      <c r="A462" s="28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1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>
        <v>90</v>
      </c>
      <c r="K462" s="5" t="n">
        <v>68.75</v>
      </c>
      <c r="L462" s="7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222-2023-12-31</t>
        </is>
      </c>
    </row>
    <row r="463" hidden="1">
      <c r="A463" s="26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1" t="n">
        <v>45657</v>
      </c>
      <c r="G463" s="5" t="n">
        <v>2024</v>
      </c>
      <c r="H463" s="5" t="inlineStr">
        <is>
          <t>Diciembre</t>
        </is>
      </c>
      <c r="I463" s="6" t="inlineStr">
        <is>
          <t>2024-2</t>
        </is>
      </c>
      <c r="J463" s="5" t="n">
        <v>90</v>
      </c>
      <c r="K463" s="5" t="n">
        <v>68.75</v>
      </c>
      <c r="L463" s="7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n"/>
      <c r="O463" s="5" t="n"/>
      <c r="P463" s="5" t="n">
        <v>0</v>
      </c>
      <c r="Q463" s="5" t="n">
        <v>0</v>
      </c>
      <c r="R463" s="5" t="inlineStr">
        <is>
          <t>222-2024-12-31</t>
        </is>
      </c>
    </row>
    <row r="464" hidden="1">
      <c r="A464" s="5" t="n">
        <v>222</v>
      </c>
      <c r="B464" s="5" t="inlineStr">
        <is>
          <t>Calidad de las Aguas Residuales Domesticas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01" t="n">
        <v>46022</v>
      </c>
      <c r="G464" s="5" t="n">
        <v>2025</v>
      </c>
      <c r="H464" s="5" t="inlineStr">
        <is>
          <t>Diciembre</t>
        </is>
      </c>
      <c r="I464" s="6" t="inlineStr">
        <is>
          <t>2025-2</t>
        </is>
      </c>
      <c r="J464" s="5" t="n">
        <v>90</v>
      </c>
      <c r="K464" s="5" t="n">
        <v>68.75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222-2025-12-31</t>
        </is>
      </c>
    </row>
    <row r="465" hidden="1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01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100</v>
      </c>
      <c r="K465" s="5" t="n">
        <v>0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223-2022-12-31</t>
        </is>
      </c>
    </row>
    <row r="466" hidden="1">
      <c r="A466" s="26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01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>
        <v>100</v>
      </c>
      <c r="K466" s="15" t="n">
        <v>100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223-2023-12-31</t>
        </is>
      </c>
    </row>
    <row r="467" hidden="1">
      <c r="A467" s="5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01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>
        <v>100</v>
      </c>
      <c r="K467" s="5" t="n">
        <v>94.12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223-2024-12-31</t>
        </is>
      </c>
    </row>
    <row r="468" hidden="1">
      <c r="A468" s="28" t="n">
        <v>223</v>
      </c>
      <c r="B468" s="5" t="inlineStr">
        <is>
          <t>Registro de Publicidad Exterior Visual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01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>
        <v>100</v>
      </c>
      <c r="K468" s="5" t="n">
        <v>91.67</v>
      </c>
      <c r="L468" s="7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223-2025-12-31</t>
        </is>
      </c>
    </row>
    <row r="469" hidden="1">
      <c r="A469" s="26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01" t="n">
        <v>44926</v>
      </c>
      <c r="G469" s="5" t="n">
        <v>2022</v>
      </c>
      <c r="H469" s="5" t="inlineStr">
        <is>
          <t>Diciembre</t>
        </is>
      </c>
      <c r="I469" s="6" t="inlineStr">
        <is>
          <t>2022-2</t>
        </is>
      </c>
      <c r="J469" s="5" t="n">
        <v>100</v>
      </c>
      <c r="K469" s="5" t="n">
        <v>71.42857142857143</v>
      </c>
      <c r="L469" s="7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224-2022-12-31</t>
        </is>
      </c>
    </row>
    <row r="470" hidden="1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01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100</v>
      </c>
      <c r="K470" s="5" t="n">
        <v>40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224-2023-12-31</t>
        </is>
      </c>
    </row>
    <row r="471" hidden="1">
      <c r="A471" s="5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01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100</v>
      </c>
      <c r="K471" s="5" t="n">
        <v>100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224-2024-12-31</t>
        </is>
      </c>
    </row>
    <row r="472" hidden="1">
      <c r="A472" s="5" t="n">
        <v>224</v>
      </c>
      <c r="B472" s="5" t="inlineStr">
        <is>
          <t>Cumplimiento Nivel de Emisión de Ruido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00" t="n">
        <v>46022</v>
      </c>
      <c r="G472" s="15" t="n">
        <v>2025</v>
      </c>
      <c r="H472" s="6" t="inlineStr">
        <is>
          <t>Diciembre</t>
        </is>
      </c>
      <c r="I472" s="27" t="inlineStr">
        <is>
          <t>2025-2</t>
        </is>
      </c>
      <c r="J472" s="5" t="n">
        <v>100</v>
      </c>
      <c r="K472" s="3" t="n">
        <v>100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224-2025-12-31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01" t="n">
        <v>44742</v>
      </c>
      <c r="G473" s="5" t="n">
        <v>2022</v>
      </c>
      <c r="H473" s="5" t="inlineStr">
        <is>
          <t>Junio</t>
        </is>
      </c>
      <c r="I473" s="6" t="inlineStr">
        <is>
          <t>2022-1</t>
        </is>
      </c>
      <c r="J473" s="5" t="n">
        <v>1</v>
      </c>
      <c r="K473" s="3" t="n">
        <v>0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225-2022-06-30</t>
        </is>
      </c>
    </row>
    <row r="474" hidden="1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01" t="n">
        <v>44926</v>
      </c>
      <c r="G474" s="5" t="n">
        <v>2022</v>
      </c>
      <c r="H474" s="5" t="inlineStr">
        <is>
          <t>Diciembre</t>
        </is>
      </c>
      <c r="I474" s="6" t="inlineStr">
        <is>
          <t>2022-2</t>
        </is>
      </c>
      <c r="J474" s="16" t="n">
        <v>1</v>
      </c>
      <c r="K474" s="62" t="n">
        <v>0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225-2022-12-31</t>
        </is>
      </c>
    </row>
    <row r="475" hidden="1">
      <c r="A475" s="5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01" t="n">
        <v>44957</v>
      </c>
      <c r="G475" s="5" t="n">
        <v>2023</v>
      </c>
      <c r="H475" s="5" t="inlineStr">
        <is>
          <t>Enero</t>
        </is>
      </c>
      <c r="I475" s="6" t="inlineStr">
        <is>
          <t>2023-1</t>
        </is>
      </c>
      <c r="J475" s="5" t="n">
        <v>1</v>
      </c>
      <c r="K475" s="3" t="n">
        <v>21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225-2023-01-31</t>
        </is>
      </c>
    </row>
    <row r="476" hidden="1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1" t="n">
        <v>44985</v>
      </c>
      <c r="G476" s="5" t="n">
        <v>2023</v>
      </c>
      <c r="H476" s="5" t="inlineStr">
        <is>
          <t>Febrero</t>
        </is>
      </c>
      <c r="I476" s="6" t="inlineStr">
        <is>
          <t>2023-1</t>
        </is>
      </c>
      <c r="J476" s="5" t="n">
        <v>1</v>
      </c>
      <c r="K476" s="5" t="n">
        <v>21</v>
      </c>
      <c r="L476" s="7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225-2023-02-28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1" t="n">
        <v>45016</v>
      </c>
      <c r="G477" s="5" t="n">
        <v>2023</v>
      </c>
      <c r="H477" s="5" t="inlineStr">
        <is>
          <t>Marzo</t>
        </is>
      </c>
      <c r="I477" s="6" t="inlineStr">
        <is>
          <t>2023-1</t>
        </is>
      </c>
      <c r="J477" s="5" t="n">
        <v>1</v>
      </c>
      <c r="K477" s="5" t="n">
        <v>21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225-2023-03-31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1" t="n">
        <v>45046</v>
      </c>
      <c r="G478" s="5" t="n">
        <v>2023</v>
      </c>
      <c r="H478" s="5" t="inlineStr">
        <is>
          <t>Abril</t>
        </is>
      </c>
      <c r="I478" s="6" t="inlineStr">
        <is>
          <t>2023-1</t>
        </is>
      </c>
      <c r="J478" s="5" t="n">
        <v>1</v>
      </c>
      <c r="K478" s="5" t="n">
        <v>21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225-2023-04-30</t>
        </is>
      </c>
    </row>
    <row r="479" hidden="1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0" t="n">
        <v>45077</v>
      </c>
      <c r="G479" s="15" t="n">
        <v>2023</v>
      </c>
      <c r="H479" s="6" t="inlineStr">
        <is>
          <t>Mayo</t>
        </is>
      </c>
      <c r="I479" s="27" t="inlineStr">
        <is>
          <t>2023-1</t>
        </is>
      </c>
      <c r="J479" s="5" t="n">
        <v>1</v>
      </c>
      <c r="K479" s="5" t="n">
        <v>21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225-2023-05-31</t>
        </is>
      </c>
    </row>
    <row r="480" hidden="1">
      <c r="A480" s="26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1" t="n">
        <v>45107</v>
      </c>
      <c r="G480" s="5" t="n">
        <v>2023</v>
      </c>
      <c r="H480" s="5" t="inlineStr">
        <is>
          <t>Junio</t>
        </is>
      </c>
      <c r="I480" s="6" t="inlineStr">
        <is>
          <t>2023-1</t>
        </is>
      </c>
      <c r="J480" s="5" t="n">
        <v>1</v>
      </c>
      <c r="K480" s="5" t="n">
        <v>21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n"/>
      <c r="O480" s="5" t="n"/>
      <c r="P480" s="5" t="n">
        <v>0</v>
      </c>
      <c r="Q480" s="5" t="n">
        <v>0</v>
      </c>
      <c r="R480" s="5" t="inlineStr">
        <is>
          <t>225-2023-06-30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0" t="n">
        <v>45138</v>
      </c>
      <c r="G481" s="15" t="n">
        <v>2023</v>
      </c>
      <c r="H481" s="6" t="inlineStr">
        <is>
          <t>Julio</t>
        </is>
      </c>
      <c r="I481" s="6" t="inlineStr">
        <is>
          <t>2023-2</t>
        </is>
      </c>
      <c r="J481" s="5" t="n">
        <v>1</v>
      </c>
      <c r="K481" s="5" t="n">
        <v>19.83333333333333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n"/>
      <c r="O481" s="5" t="n"/>
      <c r="P481" s="5" t="n">
        <v>0</v>
      </c>
      <c r="Q481" s="5" t="n">
        <v>0</v>
      </c>
      <c r="R481" s="5" t="inlineStr">
        <is>
          <t>225-2023-07-31</t>
        </is>
      </c>
    </row>
    <row r="482" hidden="1">
      <c r="A482" s="5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01" t="n">
        <v>45169</v>
      </c>
      <c r="G482" s="5" t="n">
        <v>2023</v>
      </c>
      <c r="H482" s="5" t="inlineStr">
        <is>
          <t>Agosto</t>
        </is>
      </c>
      <c r="I482" s="6" t="inlineStr">
        <is>
          <t>2023-2</t>
        </is>
      </c>
      <c r="J482" s="5" t="n">
        <v>1</v>
      </c>
      <c r="K482" s="5" t="n">
        <v>19.83333333333333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225-2023-08-31</t>
        </is>
      </c>
    </row>
    <row r="483" hidden="1">
      <c r="A483" s="28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01" t="n">
        <v>45199</v>
      </c>
      <c r="G483" s="5" t="n">
        <v>2023</v>
      </c>
      <c r="H483" s="5" t="inlineStr">
        <is>
          <t>Septiembre</t>
        </is>
      </c>
      <c r="I483" s="6" t="inlineStr">
        <is>
          <t>2023-2</t>
        </is>
      </c>
      <c r="J483" s="5" t="n">
        <v>1</v>
      </c>
      <c r="K483" s="5" t="n">
        <v>19.83333333333333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225-2023-09-30</t>
        </is>
      </c>
    </row>
    <row r="484" hidden="1">
      <c r="A484" s="26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01" t="n">
        <v>45230</v>
      </c>
      <c r="G484" s="5" t="n">
        <v>2023</v>
      </c>
      <c r="H484" s="5" t="inlineStr">
        <is>
          <t>Octubre</t>
        </is>
      </c>
      <c r="I484" s="6" t="inlineStr">
        <is>
          <t>2023-2</t>
        </is>
      </c>
      <c r="J484" s="5" t="n">
        <v>1</v>
      </c>
      <c r="K484" s="5" t="n">
        <v>19.83333333333333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225-2023-10-31</t>
        </is>
      </c>
    </row>
    <row r="485" hidden="1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00" t="n">
        <v>45260</v>
      </c>
      <c r="G485" s="5" t="n">
        <v>2023</v>
      </c>
      <c r="H485" s="5" t="inlineStr">
        <is>
          <t>Noviembre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n"/>
      <c r="O485" s="5" t="n"/>
      <c r="P485" s="5" t="n">
        <v>0</v>
      </c>
      <c r="Q485" s="5" t="n">
        <v>0</v>
      </c>
      <c r="R485" s="5" t="inlineStr">
        <is>
          <t>225-2023-11-30</t>
        </is>
      </c>
    </row>
    <row r="486" hidden="1">
      <c r="A486" s="5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01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1</v>
      </c>
      <c r="K486" s="5" t="n">
        <v>19.83333333333333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n"/>
      <c r="O486" s="5" t="n"/>
      <c r="P486" s="5" t="n">
        <v>0</v>
      </c>
      <c r="Q486" s="5" t="n">
        <v>0</v>
      </c>
      <c r="R486" s="5" t="inlineStr">
        <is>
          <t>225-2023-12-31</t>
        </is>
      </c>
    </row>
    <row r="487" hidden="1">
      <c r="A487" s="28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01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1</v>
      </c>
      <c r="K487" s="5" t="n">
        <v>20.5</v>
      </c>
      <c r="L487" s="7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225-2024-06-30</t>
        </is>
      </c>
    </row>
    <row r="488" hidden="1">
      <c r="A488" s="26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01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</v>
      </c>
      <c r="K488" s="5" t="n">
        <v>20.5</v>
      </c>
      <c r="L488" s="7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n"/>
      <c r="O488" s="5" t="n"/>
      <c r="P488" s="5" t="n">
        <v>0</v>
      </c>
      <c r="Q488" s="5" t="n">
        <v>0</v>
      </c>
      <c r="R488" s="5" t="inlineStr">
        <is>
          <t>225-2024-12-31</t>
        </is>
      </c>
    </row>
    <row r="489" hidden="1">
      <c r="A489" s="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01" t="n">
        <v>45838</v>
      </c>
      <c r="G489" s="5" t="n">
        <v>2025</v>
      </c>
      <c r="H489" s="5" t="inlineStr">
        <is>
          <t>Junio</t>
        </is>
      </c>
      <c r="I489" s="6" t="inlineStr">
        <is>
          <t>2025-1</t>
        </is>
      </c>
      <c r="J489" s="5" t="n">
        <v>1</v>
      </c>
      <c r="K489" s="5" t="n">
        <v>23.83333333333333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225-2025-06-30</t>
        </is>
      </c>
    </row>
    <row r="490" hidden="1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01" t="n">
        <v>46022</v>
      </c>
      <c r="G490" s="5" t="n">
        <v>2025</v>
      </c>
      <c r="H490" s="5" t="inlineStr">
        <is>
          <t>Diciembre</t>
        </is>
      </c>
      <c r="I490" s="6" t="inlineStr">
        <is>
          <t>2025-2</t>
        </is>
      </c>
      <c r="J490" s="5" t="n">
        <v>1</v>
      </c>
      <c r="K490" s="5" t="n">
        <v>15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225-2025-12-31</t>
        </is>
      </c>
    </row>
    <row r="491" hidden="1">
      <c r="A491" s="28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01" t="n">
        <v>44926</v>
      </c>
      <c r="G491" s="5" t="n">
        <v>2022</v>
      </c>
      <c r="H491" s="5" t="inlineStr">
        <is>
          <t>Diciembre</t>
        </is>
      </c>
      <c r="I491" s="6" t="inlineStr">
        <is>
          <t>2022-2</t>
        </is>
      </c>
      <c r="J491" s="5" t="n">
        <v>2</v>
      </c>
      <c r="K491" s="5" t="n">
        <v>476.4899959564209</v>
      </c>
      <c r="L491" s="7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tCO2e</t>
        </is>
      </c>
      <c r="O491" s="5" t="inlineStr">
        <is>
          <t>tCO2e</t>
        </is>
      </c>
      <c r="P491" s="5" t="n">
        <v>0</v>
      </c>
      <c r="Q491" s="5" t="n">
        <v>0</v>
      </c>
      <c r="R491" s="5" t="inlineStr">
        <is>
          <t>226-2022-12-31</t>
        </is>
      </c>
    </row>
    <row r="492" hidden="1">
      <c r="A492" s="26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101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2</v>
      </c>
      <c r="K492" s="5" t="n">
        <v>622.6900000000001</v>
      </c>
      <c r="L492" s="7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226-2023-12-31</t>
        </is>
      </c>
    </row>
    <row r="493" hidden="1">
      <c r="A493" s="28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101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2</v>
      </c>
      <c r="K493" s="5" t="n">
        <v>3531.11</v>
      </c>
      <c r="L493" s="7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226-2024-12-31</t>
        </is>
      </c>
    </row>
    <row r="494" hidden="1">
      <c r="A494" s="26" t="n">
        <v>226</v>
      </c>
      <c r="B494" s="5" t="inlineStr">
        <is>
          <t>Generación de Gases de Efecto Invernadero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Positivo</t>
        </is>
      </c>
      <c r="F494" s="101" t="n">
        <v>46022</v>
      </c>
      <c r="G494" s="5" t="n">
        <v>2025</v>
      </c>
      <c r="H494" s="5" t="inlineStr">
        <is>
          <t>Diciembre</t>
        </is>
      </c>
      <c r="I494" s="6" t="inlineStr">
        <is>
          <t>2025-2</t>
        </is>
      </c>
      <c r="J494" s="5" t="n">
        <v>2</v>
      </c>
      <c r="K494" s="5" t="n"/>
      <c r="L494" s="74" t="n"/>
      <c r="M494" s="14" t="n"/>
      <c r="N494" s="5" t="inlineStr">
        <is>
          <t>%</t>
        </is>
      </c>
      <c r="O494" s="5" t="inlineStr">
        <is>
          <t>No Aplica</t>
        </is>
      </c>
      <c r="P494" s="5" t="n">
        <v>0</v>
      </c>
      <c r="Q494" s="5" t="n">
        <v>0</v>
      </c>
      <c r="R494" s="5" t="inlineStr">
        <is>
          <t>226-2025-12-31</t>
        </is>
      </c>
      <c r="S494" t="inlineStr">
        <is>
          <t>No Aplica</t>
        </is>
      </c>
    </row>
    <row r="495" hidden="1">
      <c r="A495" s="28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01" t="n">
        <v>44926</v>
      </c>
      <c r="G495" s="5" t="n">
        <v>2022</v>
      </c>
      <c r="H495" s="5" t="inlineStr">
        <is>
          <t>Diciembre</t>
        </is>
      </c>
      <c r="I495" s="6" t="inlineStr">
        <is>
          <t>2022-2</t>
        </is>
      </c>
      <c r="J495" s="5" t="n">
        <v>0.3</v>
      </c>
      <c r="K495" s="5" t="n">
        <v>0.01</v>
      </c>
      <c r="L495" s="7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227-2022-12-31</t>
        </is>
      </c>
    </row>
    <row r="496" hidden="1">
      <c r="A496" s="26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101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0.3</v>
      </c>
      <c r="K496" s="5" t="n">
        <v>0.01</v>
      </c>
      <c r="L496" s="7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n"/>
      <c r="O496" s="5" t="n"/>
      <c r="P496" s="5" t="n">
        <v>0</v>
      </c>
      <c r="Q496" s="5" t="n">
        <v>0</v>
      </c>
      <c r="R496" s="5" t="inlineStr">
        <is>
          <t>227-2023-12-31</t>
        </is>
      </c>
    </row>
    <row r="497" hidden="1">
      <c r="A497" s="28" t="n">
        <v>227</v>
      </c>
      <c r="B497" s="5" t="inlineStr">
        <is>
          <t>Generación de  Gases de Efecto Invernadero per Cápita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Negativo</t>
        </is>
      </c>
      <c r="F497" s="101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11" t="n">
        <v>0.3</v>
      </c>
      <c r="K497" s="5" t="n">
        <v>3531.11</v>
      </c>
      <c r="L497" s="7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11" t="n"/>
      <c r="O497" s="11" t="n"/>
      <c r="P497" s="5" t="n">
        <v>0</v>
      </c>
      <c r="Q497" s="5" t="n">
        <v>0</v>
      </c>
      <c r="R497" s="5" t="inlineStr">
        <is>
          <t>227-2024-12-31</t>
        </is>
      </c>
    </row>
    <row r="498" hidden="1">
      <c r="A498" s="26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01" t="n">
        <v>44926</v>
      </c>
      <c r="G498" s="5" t="n">
        <v>2022</v>
      </c>
      <c r="H498" s="5" t="inlineStr">
        <is>
          <t>Diciembre</t>
        </is>
      </c>
      <c r="I498" s="6" t="inlineStr">
        <is>
          <t>2022-2</t>
        </is>
      </c>
      <c r="J498" s="11" t="n">
        <v>100</v>
      </c>
      <c r="K498" s="5" t="n">
        <v>100.1070326764465</v>
      </c>
      <c r="L498" s="7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11" t="n"/>
      <c r="O498" s="11" t="n"/>
      <c r="P498" s="5" t="n">
        <v>1</v>
      </c>
      <c r="Q498" s="5" t="n">
        <v>1</v>
      </c>
      <c r="R498" s="5" t="inlineStr">
        <is>
          <t>228-2022-12-31</t>
        </is>
      </c>
    </row>
    <row r="499" hidden="1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01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100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11" t="inlineStr">
        <is>
          <t>tCO2e</t>
        </is>
      </c>
      <c r="O499" s="11" t="inlineStr">
        <is>
          <t>tCO2e</t>
        </is>
      </c>
      <c r="P499" s="5" t="n">
        <v>1</v>
      </c>
      <c r="Q499" s="5" t="n">
        <v>1</v>
      </c>
      <c r="R499" s="5" t="inlineStr">
        <is>
          <t>228-2023-12-31</t>
        </is>
      </c>
    </row>
    <row r="500" hidden="1">
      <c r="A500" s="5" t="n">
        <v>228</v>
      </c>
      <c r="B500" s="5" t="inlineStr">
        <is>
          <t>Compensación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01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100</v>
      </c>
      <c r="K500" s="5" t="n">
        <v>3531.11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11" t="n"/>
      <c r="O500" s="11" t="n"/>
      <c r="P500" s="5" t="n">
        <v>0</v>
      </c>
      <c r="Q500" s="5" t="n">
        <v>0</v>
      </c>
      <c r="R500" s="5" t="inlineStr">
        <is>
          <t>228-2024-12-31</t>
        </is>
      </c>
    </row>
    <row r="501" hidden="1">
      <c r="A501" s="28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01" t="n">
        <v>45107</v>
      </c>
      <c r="G501" s="5" t="n">
        <v>2023</v>
      </c>
      <c r="H501" s="5" t="inlineStr">
        <is>
          <t>Junio</t>
        </is>
      </c>
      <c r="I501" s="6" t="inlineStr">
        <is>
          <t>2023-1</t>
        </is>
      </c>
      <c r="J501" s="5" t="n">
        <v>90</v>
      </c>
      <c r="K501" s="5" t="n">
        <v>100</v>
      </c>
      <c r="L501" s="7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230-2023-06-30</t>
        </is>
      </c>
    </row>
    <row r="502" hidden="1">
      <c r="A502" s="26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01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90</v>
      </c>
      <c r="K502" s="5" t="n">
        <v>100</v>
      </c>
      <c r="L502" s="7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n"/>
      <c r="O502" s="5" t="n"/>
      <c r="P502" s="5" t="n">
        <v>0</v>
      </c>
      <c r="Q502" s="5" t="n">
        <v>0</v>
      </c>
      <c r="R502" s="5" t="inlineStr">
        <is>
          <t>230-2023-12-31</t>
        </is>
      </c>
    </row>
    <row r="503" hidden="1">
      <c r="A503" s="5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01" t="n">
        <v>45473</v>
      </c>
      <c r="G503" s="5" t="n">
        <v>2024</v>
      </c>
      <c r="H503" s="5" t="inlineStr">
        <is>
          <t>Junio</t>
        </is>
      </c>
      <c r="I503" s="6" t="inlineStr">
        <is>
          <t>2024-1</t>
        </is>
      </c>
      <c r="J503" s="5" t="n">
        <v>90</v>
      </c>
      <c r="K503" s="5" t="n">
        <v>100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230-2024-06-30</t>
        </is>
      </c>
    </row>
    <row r="504" hidden="1">
      <c r="A504" s="5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01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90</v>
      </c>
      <c r="K504" s="5" t="n">
        <v>100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230-2024-12-31</t>
        </is>
      </c>
    </row>
    <row r="505" hidden="1">
      <c r="A505" s="28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101" t="n">
        <v>45838</v>
      </c>
      <c r="G505" s="5" t="n">
        <v>2025</v>
      </c>
      <c r="H505" s="5" t="inlineStr">
        <is>
          <t>Junio</t>
        </is>
      </c>
      <c r="I505" s="6" t="inlineStr">
        <is>
          <t>2025-1</t>
        </is>
      </c>
      <c r="J505" s="5" t="n">
        <v>90</v>
      </c>
      <c r="K505" s="5" t="n">
        <v>96.77</v>
      </c>
      <c r="L505" s="7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230-2025-06-30</t>
        </is>
      </c>
    </row>
    <row r="506" hidden="1">
      <c r="A506" s="26" t="n">
        <v>230</v>
      </c>
      <c r="B506" s="5" t="inlineStr">
        <is>
          <t>Ejecución de Eventos de Formación en Materia Ambiental</t>
        </is>
      </c>
      <c r="C506" s="5" t="inlineStr">
        <is>
          <t>GESTIÓN AMBIENTAL</t>
        </is>
      </c>
      <c r="D506" s="5" t="inlineStr">
        <is>
          <t>Trimestral</t>
        </is>
      </c>
      <c r="E506" s="5" t="inlineStr">
        <is>
          <t>Positivo</t>
        </is>
      </c>
      <c r="F506" s="101" t="n">
        <v>46022</v>
      </c>
      <c r="G506" s="5" t="n">
        <v>2025</v>
      </c>
      <c r="H506" s="5" t="inlineStr">
        <is>
          <t>Diciembre</t>
        </is>
      </c>
      <c r="I506" s="6" t="inlineStr">
        <is>
          <t>2025-2</t>
        </is>
      </c>
      <c r="J506" s="5" t="n">
        <v>90</v>
      </c>
      <c r="K506" s="5" t="n">
        <v>96.72</v>
      </c>
      <c r="L506" s="7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230-2025-12-31</t>
        </is>
      </c>
    </row>
    <row r="507" hidden="1">
      <c r="A507" s="28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1" t="n">
        <v>45107</v>
      </c>
      <c r="G507" s="5" t="n">
        <v>2023</v>
      </c>
      <c r="H507" s="5" t="inlineStr">
        <is>
          <t>Junio</t>
        </is>
      </c>
      <c r="I507" s="6" t="inlineStr">
        <is>
          <t>2023-1</t>
        </is>
      </c>
      <c r="J507" s="5" t="n">
        <v>35</v>
      </c>
      <c r="K507" s="5" t="n">
        <v>40.58</v>
      </c>
      <c r="L507" s="7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231-2023-06-30</t>
        </is>
      </c>
    </row>
    <row r="508" hidden="1">
      <c r="A508" s="26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01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35</v>
      </c>
      <c r="K508" s="5" t="n">
        <v>96.44</v>
      </c>
      <c r="L508" s="7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n"/>
      <c r="P508" s="5" t="n">
        <v>0</v>
      </c>
      <c r="Q508" s="5" t="n">
        <v>0</v>
      </c>
      <c r="R508" s="5" t="inlineStr">
        <is>
          <t>231-2023-12-31</t>
        </is>
      </c>
    </row>
    <row r="509" hidden="1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01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35</v>
      </c>
      <c r="K509" s="5" t="n">
        <v>96.75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n"/>
      <c r="O509" s="5" t="n"/>
      <c r="P509" s="5" t="n">
        <v>0</v>
      </c>
      <c r="Q509" s="5" t="n">
        <v>0</v>
      </c>
      <c r="R509" s="5" t="inlineStr">
        <is>
          <t>231-2024-06-30</t>
        </is>
      </c>
    </row>
    <row r="510" hidden="1">
      <c r="A510" s="5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01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35</v>
      </c>
      <c r="K510" s="5" t="n">
        <v>104.19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231-2024-12-31</t>
        </is>
      </c>
    </row>
    <row r="511" hidden="1">
      <c r="A511" s="28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01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5" t="n">
        <v>35</v>
      </c>
      <c r="K511" s="5" t="n">
        <v>570.89</v>
      </c>
      <c r="L511" s="7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231-2025-06-30</t>
        </is>
      </c>
    </row>
    <row r="512" hidden="1">
      <c r="A512" s="26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1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35</v>
      </c>
      <c r="K512" s="5" t="n">
        <v>7277.98</v>
      </c>
      <c r="L512" s="7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231-2025-12-31</t>
        </is>
      </c>
    </row>
    <row r="513" hidden="1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01" t="n">
        <v>45107</v>
      </c>
      <c r="G513" s="5" t="n">
        <v>2023</v>
      </c>
      <c r="H513" s="5" t="inlineStr">
        <is>
          <t>Junio</t>
        </is>
      </c>
      <c r="I513" s="6" t="inlineStr">
        <is>
          <t>2023-1</t>
        </is>
      </c>
      <c r="J513" s="5" t="n">
        <v>90</v>
      </c>
      <c r="K513" s="5" t="n">
        <v>100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232-2023-06-30</t>
        </is>
      </c>
    </row>
    <row r="514" hidden="1">
      <c r="A514" s="5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01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90</v>
      </c>
      <c r="K514" s="5" t="n">
        <v>91.3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232-2023-12-31</t>
        </is>
      </c>
    </row>
    <row r="515" hidden="1">
      <c r="A515" s="28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01" t="n">
        <v>45473</v>
      </c>
      <c r="G515" s="5" t="n">
        <v>2024</v>
      </c>
      <c r="H515" s="5" t="inlineStr">
        <is>
          <t>Junio</t>
        </is>
      </c>
      <c r="I515" s="6" t="inlineStr">
        <is>
          <t>2024-1</t>
        </is>
      </c>
      <c r="J515" s="5" t="n">
        <v>90</v>
      </c>
      <c r="K515" s="5" t="n">
        <v>95.45</v>
      </c>
      <c r="L515" s="7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232-2024-06-30</t>
        </is>
      </c>
    </row>
    <row r="516" hidden="1">
      <c r="A516" s="26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1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90</v>
      </c>
      <c r="K516" s="5" t="n">
        <v>100</v>
      </c>
      <c r="L516" s="7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n"/>
      <c r="O516" s="5" t="n"/>
      <c r="P516" s="5" t="n">
        <v>0</v>
      </c>
      <c r="Q516" s="5" t="n">
        <v>0</v>
      </c>
      <c r="R516" s="5" t="inlineStr">
        <is>
          <t>232-2024-12-31</t>
        </is>
      </c>
    </row>
    <row r="517" hidden="1">
      <c r="A517" s="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01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90</v>
      </c>
      <c r="K517" s="5" t="n">
        <v>85.70999999999999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232-2025-06-30</t>
        </is>
      </c>
    </row>
    <row r="518" hidden="1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1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90</v>
      </c>
      <c r="K518" s="5" t="n">
        <v>80.84999999999999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232-2025-12-31</t>
        </is>
      </c>
    </row>
    <row r="519" hidden="1">
      <c r="A519" s="34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1" t="n">
        <v>45016</v>
      </c>
      <c r="G519" s="5" t="n">
        <v>2023</v>
      </c>
      <c r="H519" s="5" t="inlineStr">
        <is>
          <t>Marzo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7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233-2023-03-31</t>
        </is>
      </c>
    </row>
    <row r="520" hidden="1">
      <c r="A520" s="26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01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20</v>
      </c>
      <c r="K520" s="5" t="n">
        <v>45.98682434455237</v>
      </c>
      <c r="L520" s="7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233-2023-06-30</t>
        </is>
      </c>
    </row>
    <row r="521" hidden="1">
      <c r="A521" s="28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1" t="n">
        <v>45199</v>
      </c>
      <c r="G521" s="5" t="n">
        <v>2023</v>
      </c>
      <c r="H521" s="5" t="inlineStr">
        <is>
          <t>Septiembre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7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233-2023-09-30</t>
        </is>
      </c>
    </row>
    <row r="522" hidden="1">
      <c r="A522" s="26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1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20</v>
      </c>
      <c r="K522" s="5" t="n">
        <v>18.51932731582877</v>
      </c>
      <c r="L522" s="7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233-2023-12-31</t>
        </is>
      </c>
    </row>
    <row r="523" hidden="1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01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20</v>
      </c>
      <c r="K523" s="5" t="n">
        <v>33.45861575395625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n"/>
      <c r="O523" s="5" t="n"/>
      <c r="P523" s="5" t="n">
        <v>0</v>
      </c>
      <c r="Q523" s="5" t="n">
        <v>0</v>
      </c>
      <c r="R523" s="5" t="inlineStr">
        <is>
          <t>233-2024-06-30</t>
        </is>
      </c>
    </row>
    <row r="524" hidden="1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01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20</v>
      </c>
      <c r="K524" s="5" t="n">
        <v>31.82123655913979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233-2024-12-31</t>
        </is>
      </c>
    </row>
    <row r="525" hidden="1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Semestral</t>
        </is>
      </c>
      <c r="E525" s="5" t="inlineStr">
        <is>
          <t>Positivo</t>
        </is>
      </c>
      <c r="F525" s="101" t="n">
        <v>45838</v>
      </c>
      <c r="G525" s="15" t="n">
        <v>2025</v>
      </c>
      <c r="H525" s="6" t="inlineStr">
        <is>
          <t>Junio</t>
        </is>
      </c>
      <c r="I525" s="6" t="inlineStr">
        <is>
          <t>2025-1</t>
        </is>
      </c>
      <c r="J525" s="5" t="n">
        <v>20</v>
      </c>
      <c r="K525" s="5" t="n">
        <v>22.315</v>
      </c>
      <c r="L525" s="7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233-2025-06-30</t>
        </is>
      </c>
    </row>
    <row r="526" hidden="1">
      <c r="A526" s="26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01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7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234-2023-03-31</t>
        </is>
      </c>
    </row>
    <row r="527" hidden="1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01" t="n">
        <v>45107</v>
      </c>
      <c r="G527" s="15" t="n">
        <v>2023</v>
      </c>
      <c r="H527" s="6" t="inlineStr">
        <is>
          <t>Junio</t>
        </is>
      </c>
      <c r="I527" s="6" t="inlineStr">
        <is>
          <t>2023-1</t>
        </is>
      </c>
      <c r="J527" s="5" t="n">
        <v>4000</v>
      </c>
      <c r="K527" s="5" t="n">
        <v>5267.875</v>
      </c>
      <c r="L527" s="7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234-2023-06-30</t>
        </is>
      </c>
    </row>
    <row r="528" hidden="1">
      <c r="A528" s="5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01" t="n">
        <v>45199</v>
      </c>
      <c r="G528" s="15" t="n">
        <v>2023</v>
      </c>
      <c r="H528" s="6" t="inlineStr">
        <is>
          <t>Septiembre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7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234-2023-09-30</t>
        </is>
      </c>
    </row>
    <row r="529" hidden="1">
      <c r="A529" s="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1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4000</v>
      </c>
      <c r="K529" s="5" t="n">
        <v>8303.625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234-2023-12-31</t>
        </is>
      </c>
    </row>
    <row r="530" hidden="1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1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4000</v>
      </c>
      <c r="K530" s="5" t="n">
        <v>4343.791666666666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234-2024-06-30</t>
        </is>
      </c>
    </row>
    <row r="531" hidden="1">
      <c r="A531" s="28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1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4000</v>
      </c>
      <c r="K531" s="5" t="n">
        <v>4218</v>
      </c>
      <c r="L531" s="7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234-2024-12-31</t>
        </is>
      </c>
    </row>
    <row r="532" hidden="1">
      <c r="A532" s="26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01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4000</v>
      </c>
      <c r="K532" s="5" t="n">
        <v>10577.25</v>
      </c>
      <c r="L532" s="7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234-2025-06-30</t>
        </is>
      </c>
    </row>
    <row r="533" hidden="1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01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100</v>
      </c>
      <c r="K533" s="5" t="n">
        <v>81.65289256198299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235-2023-12-31</t>
        </is>
      </c>
    </row>
    <row r="534" hidden="1">
      <c r="A534" s="5" t="n">
        <v>235</v>
      </c>
      <c r="B534" s="5" t="inlineStr">
        <is>
          <t>Cumplimiento de Requisitos Legales Ambientales Aplicables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Positivo</t>
        </is>
      </c>
      <c r="F534" s="101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100</v>
      </c>
      <c r="K534" s="5" t="n">
        <v>92.012779552716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235-2024-12-31</t>
        </is>
      </c>
    </row>
    <row r="535" hidden="1">
      <c r="A535" s="28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01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0</v>
      </c>
      <c r="K535" s="5" t="n">
        <v>0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n"/>
      <c r="O535" s="5" t="n"/>
      <c r="P535" s="5" t="n">
        <v>0</v>
      </c>
      <c r="Q535" s="5" t="n">
        <v>0</v>
      </c>
      <c r="R535" s="5" t="inlineStr">
        <is>
          <t>236-2023-12-31</t>
        </is>
      </c>
    </row>
    <row r="536" hidden="1">
      <c r="A536" s="26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01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0</v>
      </c>
      <c r="K536" s="5" t="n">
        <v>0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n"/>
      <c r="O536" s="5" t="n"/>
      <c r="P536" s="5" t="n">
        <v>0</v>
      </c>
      <c r="Q536" s="5" t="n">
        <v>0</v>
      </c>
      <c r="R536" s="5" t="inlineStr">
        <is>
          <t>236-2024-12-31</t>
        </is>
      </c>
    </row>
    <row r="537" hidden="1">
      <c r="A537" s="5" t="n">
        <v>236</v>
      </c>
      <c r="B537" s="5" t="inlineStr">
        <is>
          <t>Actos Administrativos o Decisiones Judiciales Ambientales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Negativo</t>
        </is>
      </c>
      <c r="F537" s="101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0</v>
      </c>
      <c r="K537" s="5" t="n">
        <v>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236-2025-12-31</t>
        </is>
      </c>
    </row>
    <row r="538" hidden="1">
      <c r="A538" s="5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01" t="n">
        <v>45016</v>
      </c>
      <c r="G538" s="5" t="n">
        <v>2023</v>
      </c>
      <c r="H538" s="5" t="inlineStr">
        <is>
          <t>Marzo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n"/>
      <c r="O538" s="5" t="n"/>
      <c r="P538" s="5" t="n">
        <v>0</v>
      </c>
      <c r="Q538" s="5" t="n">
        <v>0</v>
      </c>
      <c r="R538" s="5" t="inlineStr">
        <is>
          <t>238-2023-03-31</t>
        </is>
      </c>
    </row>
    <row r="539" hidden="1">
      <c r="A539" s="28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01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90</v>
      </c>
      <c r="K539" s="5" t="n">
        <v>95.43650793650795</v>
      </c>
      <c r="L539" s="7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n"/>
      <c r="O539" s="5" t="n"/>
      <c r="P539" s="5" t="n">
        <v>0</v>
      </c>
      <c r="Q539" s="5" t="n">
        <v>0</v>
      </c>
      <c r="R539" s="5" t="inlineStr">
        <is>
          <t>238-2023-06-30</t>
        </is>
      </c>
    </row>
    <row r="540" hidden="1">
      <c r="A540" s="26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01" t="n">
        <v>45199</v>
      </c>
      <c r="G540" s="5" t="n">
        <v>2023</v>
      </c>
      <c r="H540" s="5" t="inlineStr">
        <is>
          <t>Septiembre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7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n"/>
      <c r="O540" s="5" t="n"/>
      <c r="P540" s="5" t="n">
        <v>0</v>
      </c>
      <c r="Q540" s="5" t="n">
        <v>0</v>
      </c>
      <c r="R540" s="5" t="inlineStr">
        <is>
          <t>238-2023-09-30</t>
        </is>
      </c>
    </row>
    <row r="541" hidden="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01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90</v>
      </c>
      <c r="K541" s="5" t="n">
        <v>79.60526315789474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n"/>
      <c r="O541" s="5" t="n"/>
      <c r="P541" s="5" t="n">
        <v>0</v>
      </c>
      <c r="Q541" s="5" t="n">
        <v>0</v>
      </c>
      <c r="R541" s="5" t="inlineStr">
        <is>
          <t>238-2023-12-31</t>
        </is>
      </c>
    </row>
    <row r="542" hidden="1">
      <c r="A542" s="5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01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90</v>
      </c>
      <c r="K542" s="5" t="n">
        <v>77.1577380952381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238-2024-06-30</t>
        </is>
      </c>
    </row>
    <row r="543" hidden="1">
      <c r="A543" s="28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01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90</v>
      </c>
      <c r="K543" s="5" t="n">
        <v>82.10526315789474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n"/>
      <c r="O543" s="5" t="n"/>
      <c r="P543" s="5" t="n">
        <v>0</v>
      </c>
      <c r="Q543" s="5" t="n">
        <v>0</v>
      </c>
      <c r="R543" s="5" t="inlineStr">
        <is>
          <t>238-2024-12-31</t>
        </is>
      </c>
    </row>
    <row r="544" hidden="1">
      <c r="A544" s="26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101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90</v>
      </c>
      <c r="K544" s="5" t="n">
        <v>92.80000000000001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238-2025-06-30</t>
        </is>
      </c>
    </row>
    <row r="545" hidden="1">
      <c r="A545" s="5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Semestral</t>
        </is>
      </c>
      <c r="E545" s="5" t="inlineStr">
        <is>
          <t>Positivo</t>
        </is>
      </c>
      <c r="F545" s="101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90</v>
      </c>
      <c r="K545" s="5" t="n">
        <v>68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Sin Reporte</t>
        </is>
      </c>
      <c r="O545" s="5" t="inlineStr">
        <is>
          <t>Sin Reporte</t>
        </is>
      </c>
      <c r="P545" s="5" t="n">
        <v>0</v>
      </c>
      <c r="Q545" s="5" t="n">
        <v>0</v>
      </c>
      <c r="R545" s="5" t="inlineStr">
        <is>
          <t>238-2025-12-31</t>
        </is>
      </c>
    </row>
    <row r="546" hidden="1">
      <c r="A546" s="5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101" t="n">
        <v>44742</v>
      </c>
      <c r="G546" s="5" t="n">
        <v>2022</v>
      </c>
      <c r="H546" s="5" t="inlineStr">
        <is>
          <t>Junio</t>
        </is>
      </c>
      <c r="I546" s="6" t="inlineStr">
        <is>
          <t>2022-1</t>
        </is>
      </c>
      <c r="J546" s="5" t="n"/>
      <c r="K546" s="5" t="n">
        <v>0</v>
      </c>
      <c r="L546" s="14" t="n"/>
      <c r="M546" s="14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239-2022-06-30</t>
        </is>
      </c>
      <c r="S546" t="inlineStr">
        <is>
          <t>Metrica</t>
        </is>
      </c>
    </row>
    <row r="547" hidden="1">
      <c r="A547" s="28" t="n">
        <v>239</v>
      </c>
      <c r="B547" s="5" t="inlineStr">
        <is>
          <t>Portafolio de Proyectos - Metrica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101" t="n">
        <v>44926</v>
      </c>
      <c r="G547" s="5" t="n">
        <v>2022</v>
      </c>
      <c r="H547" s="5" t="inlineStr">
        <is>
          <t>Diciembre</t>
        </is>
      </c>
      <c r="I547" s="6" t="inlineStr">
        <is>
          <t>2022-2</t>
        </is>
      </c>
      <c r="J547" s="5" t="n"/>
      <c r="K547" s="5" t="n">
        <v>0</v>
      </c>
      <c r="L547" s="74" t="n"/>
      <c r="M547" s="14" t="n"/>
      <c r="N547" s="5" t="inlineStr">
        <is>
          <t>Metrica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239-2022-12-31</t>
        </is>
      </c>
      <c r="S547" t="inlineStr">
        <is>
          <t>Metrica</t>
        </is>
      </c>
    </row>
    <row r="548" hidden="1">
      <c r="A548" s="26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01" t="n">
        <v>45107</v>
      </c>
      <c r="G548" s="5" t="n">
        <v>2023</v>
      </c>
      <c r="H548" s="5" t="inlineStr">
        <is>
          <t>Junio</t>
        </is>
      </c>
      <c r="I548" s="6" t="inlineStr">
        <is>
          <t>2023-1</t>
        </is>
      </c>
      <c r="J548" s="5" t="n"/>
      <c r="K548" s="5" t="n">
        <v>19</v>
      </c>
      <c r="L548" s="74" t="n"/>
      <c r="M548" s="14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239-2023-06-30</t>
        </is>
      </c>
    </row>
    <row r="549" hidden="1">
      <c r="A549" s="26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01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/>
      <c r="K549" s="5" t="n">
        <v>0</v>
      </c>
      <c r="L549" s="74" t="n"/>
      <c r="M549" s="14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239-2023-12-31</t>
        </is>
      </c>
    </row>
    <row r="550" hidden="1">
      <c r="A550" s="5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01" t="n">
        <v>45473</v>
      </c>
      <c r="G550" s="5" t="n">
        <v>2024</v>
      </c>
      <c r="H550" s="5" t="inlineStr">
        <is>
          <t>Junio</t>
        </is>
      </c>
      <c r="I550" s="6" t="inlineStr">
        <is>
          <t>2024-1</t>
        </is>
      </c>
      <c r="J550" s="5" t="n"/>
      <c r="K550" s="5" t="n">
        <v>29</v>
      </c>
      <c r="L550" s="14" t="n"/>
      <c r="M550" s="14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239-2024-06-30</t>
        </is>
      </c>
    </row>
    <row r="551" hidden="1">
      <c r="A551" s="26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1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/>
      <c r="K551" s="5" t="n">
        <v>0</v>
      </c>
      <c r="L551" s="14" t="n"/>
      <c r="M551" s="14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239-2024-12-31</t>
        </is>
      </c>
    </row>
    <row r="552" hidden="1">
      <c r="A552" s="34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1" t="n">
        <v>45838</v>
      </c>
      <c r="G552" s="5" t="n">
        <v>2025</v>
      </c>
      <c r="H552" s="5" t="inlineStr">
        <is>
          <t>Junio</t>
        </is>
      </c>
      <c r="I552" s="6" t="inlineStr">
        <is>
          <t>2025-1</t>
        </is>
      </c>
      <c r="J552" s="5" t="n"/>
      <c r="K552" s="5" t="n">
        <v>41</v>
      </c>
      <c r="L552" s="74" t="n"/>
      <c r="M552" s="14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239-2025-06-30</t>
        </is>
      </c>
    </row>
    <row r="553" hidden="1">
      <c r="A553" s="26" t="n">
        <v>239</v>
      </c>
      <c r="B553" s="5" t="inlineStr">
        <is>
          <t>Portafolio de Proyectos - Metrica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1" t="n">
        <v>46022</v>
      </c>
      <c r="G553" s="5" t="n">
        <v>2025</v>
      </c>
      <c r="H553" s="5" t="inlineStr">
        <is>
          <t>Diciembre</t>
        </is>
      </c>
      <c r="I553" s="6" t="inlineStr">
        <is>
          <t>2025-2</t>
        </is>
      </c>
      <c r="J553" s="5" t="n"/>
      <c r="K553" s="5" t="n">
        <v>44</v>
      </c>
      <c r="L553" s="74" t="n"/>
      <c r="M553" s="14" t="n"/>
      <c r="N553" s="5" t="inlineStr">
        <is>
          <t>Metrica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239-2025-12-31</t>
        </is>
      </c>
      <c r="S553" t="inlineStr">
        <is>
          <t>Metrica</t>
        </is>
      </c>
    </row>
    <row r="554" hidden="1">
      <c r="A554" s="28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101" t="n">
        <v>45107</v>
      </c>
      <c r="G554" s="5" t="n">
        <v>2023</v>
      </c>
      <c r="H554" s="5" t="inlineStr">
        <is>
          <t>Junio</t>
        </is>
      </c>
      <c r="I554" s="6" t="inlineStr">
        <is>
          <t>2023-1</t>
        </is>
      </c>
      <c r="J554" s="5" t="n">
        <v>100</v>
      </c>
      <c r="K554" s="5" t="n">
        <v>50</v>
      </c>
      <c r="L554" s="7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240-2023-06-30</t>
        </is>
      </c>
    </row>
    <row r="555" hidden="1">
      <c r="A555" s="26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101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100</v>
      </c>
      <c r="K555" s="5" t="n">
        <v>80</v>
      </c>
      <c r="L555" s="7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240-2023-12-31</t>
        </is>
      </c>
    </row>
    <row r="556" hidden="1">
      <c r="A556" s="5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01" t="n">
        <v>45473</v>
      </c>
      <c r="G556" s="5" t="n">
        <v>2024</v>
      </c>
      <c r="H556" s="5" t="inlineStr">
        <is>
          <t>Junio</t>
        </is>
      </c>
      <c r="I556" s="6" t="inlineStr">
        <is>
          <t>2024-1</t>
        </is>
      </c>
      <c r="J556" s="5" t="n">
        <v>100</v>
      </c>
      <c r="K556" s="5" t="n">
        <v>95.83333333333333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240-2024-06-30</t>
        </is>
      </c>
    </row>
    <row r="557" hidden="1">
      <c r="A557" s="34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01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100</v>
      </c>
      <c r="L557" s="7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240-2024-12-31</t>
        </is>
      </c>
    </row>
    <row r="558" hidden="1">
      <c r="A558" s="26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01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>
        <v>100</v>
      </c>
      <c r="K558" s="5" t="n">
        <v>100</v>
      </c>
      <c r="L558" s="7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240-2025-06-30</t>
        </is>
      </c>
    </row>
    <row r="559" hidden="1">
      <c r="A559" s="28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Semestral</t>
        </is>
      </c>
      <c r="E559" s="5" t="inlineStr">
        <is>
          <t>Positivo</t>
        </is>
      </c>
      <c r="F559" s="101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>
        <v>100</v>
      </c>
      <c r="K559" s="5" t="n">
        <v>100</v>
      </c>
      <c r="L559" s="7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240-2025-12-31</t>
        </is>
      </c>
    </row>
    <row r="560" hidden="1">
      <c r="A560" s="26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01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94.19191919191917</v>
      </c>
      <c r="L560" s="7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n"/>
      <c r="O560" s="5" t="n"/>
      <c r="P560" s="5" t="n">
        <v>0</v>
      </c>
      <c r="Q560" s="5" t="n">
        <v>0</v>
      </c>
      <c r="R560" s="5" t="inlineStr">
        <is>
          <t>241-2023-06-30</t>
        </is>
      </c>
    </row>
    <row r="561" hidden="1">
      <c r="A561" s="5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01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90.90666666666668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n"/>
      <c r="O561" s="5" t="n"/>
      <c r="P561" s="5" t="n">
        <v>0</v>
      </c>
      <c r="Q561" s="5" t="n">
        <v>0</v>
      </c>
      <c r="R561" s="5" t="inlineStr">
        <is>
          <t>241-2023-12-31</t>
        </is>
      </c>
    </row>
    <row r="562" hidden="1">
      <c r="A562" s="5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01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88.53775853775853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n"/>
      <c r="O562" s="5" t="n"/>
      <c r="P562" s="5" t="n">
        <v>0</v>
      </c>
      <c r="Q562" s="5" t="n">
        <v>0</v>
      </c>
      <c r="R562" s="5" t="inlineStr">
        <is>
          <t>241-2024-06-30</t>
        </is>
      </c>
    </row>
    <row r="563" hidden="1">
      <c r="A563" s="28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01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89.34065934065934</v>
      </c>
      <c r="L563" s="7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n"/>
      <c r="O563" s="5" t="n"/>
      <c r="P563" s="5" t="n">
        <v>0</v>
      </c>
      <c r="Q563" s="5" t="n">
        <v>0</v>
      </c>
      <c r="R563" s="5" t="inlineStr">
        <is>
          <t>241-2024-12-31</t>
        </is>
      </c>
    </row>
    <row r="564" hidden="1">
      <c r="A564" s="26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01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7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n"/>
      <c r="O564" s="5" t="n"/>
      <c r="P564" s="5" t="n">
        <v>0</v>
      </c>
      <c r="Q564" s="5" t="n">
        <v>0</v>
      </c>
      <c r="R564" s="5" t="inlineStr">
        <is>
          <t>241-2025-06-30</t>
        </is>
      </c>
    </row>
    <row r="565" hidden="1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01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98.61166666666666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241-2025-12-31</t>
        </is>
      </c>
    </row>
    <row r="566" hidden="1">
      <c r="A566" s="5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01" t="n">
        <v>46203</v>
      </c>
      <c r="G566" s="5" t="n">
        <v>2026</v>
      </c>
      <c r="H566" s="5" t="inlineStr">
        <is>
          <t>Junio</t>
        </is>
      </c>
      <c r="I566" s="6" t="inlineStr">
        <is>
          <t>2026-1</t>
        </is>
      </c>
      <c r="J566" s="5" t="n">
        <v>80</v>
      </c>
      <c r="K566" s="5" t="n">
        <v>90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241-2026-06-30</t>
        </is>
      </c>
      <c r="S566" t="inlineStr"/>
    </row>
    <row r="567" hidden="1">
      <c r="A567" s="28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01" t="n">
        <v>45107</v>
      </c>
      <c r="G567" s="5" t="n">
        <v>2023</v>
      </c>
      <c r="H567" s="5" t="inlineStr">
        <is>
          <t>Junio</t>
        </is>
      </c>
      <c r="I567" s="6" t="inlineStr">
        <is>
          <t>2023-1</t>
        </is>
      </c>
      <c r="J567" s="5" t="n">
        <v>90</v>
      </c>
      <c r="K567" s="5" t="n">
        <v>97.68000000000001</v>
      </c>
      <c r="L567" s="7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242-2023-06-30</t>
        </is>
      </c>
    </row>
    <row r="568" hidden="1">
      <c r="A568" s="26" t="n">
        <v>242</v>
      </c>
      <c r="B568" s="5" t="inlineStr">
        <is>
          <t>Cumplimiento a cronograma de proyectos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01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90</v>
      </c>
      <c r="K568" s="5" t="n">
        <v>95.44</v>
      </c>
      <c r="L568" s="7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242-2023-12-31</t>
        </is>
      </c>
    </row>
    <row r="569" hidden="1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01" t="n">
        <v>44957</v>
      </c>
      <c r="G569" s="5" t="n">
        <v>2023</v>
      </c>
      <c r="H569" s="5" t="inlineStr">
        <is>
          <t>Enero</t>
        </is>
      </c>
      <c r="I569" s="6" t="inlineStr">
        <is>
          <t>2023-1</t>
        </is>
      </c>
      <c r="J569" s="5" t="n">
        <v>0</v>
      </c>
      <c r="K569" s="5" t="n">
        <v>0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243-2023-01-31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01" t="n">
        <v>44985</v>
      </c>
      <c r="G570" s="5" t="n">
        <v>2023</v>
      </c>
      <c r="H570" s="5" t="inlineStr">
        <is>
          <t>Febrero</t>
        </is>
      </c>
      <c r="I570" s="6" t="inlineStr">
        <is>
          <t>2023-1</t>
        </is>
      </c>
      <c r="J570" s="5" t="n">
        <v>0</v>
      </c>
      <c r="K570" s="5" t="n">
        <v>0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243-2023-02-28</t>
        </is>
      </c>
    </row>
    <row r="571" hidden="1">
      <c r="A571" s="28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01" t="n">
        <v>45016</v>
      </c>
      <c r="G571" s="5" t="n">
        <v>2023</v>
      </c>
      <c r="H571" s="5" t="inlineStr">
        <is>
          <t>Marzo</t>
        </is>
      </c>
      <c r="I571" s="6" t="inlineStr">
        <is>
          <t>2023-1</t>
        </is>
      </c>
      <c r="J571" s="5" t="n">
        <v>0</v>
      </c>
      <c r="K571" s="5" t="n">
        <v>0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243-2023-03-31</t>
        </is>
      </c>
    </row>
    <row r="572" hidden="1">
      <c r="A572" s="26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01" t="n">
        <v>45046</v>
      </c>
      <c r="G572" s="5" t="n">
        <v>2023</v>
      </c>
      <c r="H572" s="5" t="inlineStr">
        <is>
          <t>Abril</t>
        </is>
      </c>
      <c r="I572" s="6" t="inlineStr">
        <is>
          <t>2023-1</t>
        </is>
      </c>
      <c r="J572" s="5" t="n">
        <v>0</v>
      </c>
      <c r="K572" s="5" t="n">
        <v>0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243-2023-04-30</t>
        </is>
      </c>
    </row>
    <row r="573" hidden="1">
      <c r="A573" s="5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01" t="n">
        <v>45077</v>
      </c>
      <c r="G573" s="5" t="n">
        <v>2023</v>
      </c>
      <c r="H573" s="5" t="inlineStr">
        <is>
          <t>Mayo</t>
        </is>
      </c>
      <c r="I573" s="6" t="inlineStr">
        <is>
          <t>2023-1</t>
        </is>
      </c>
      <c r="J573" s="5" t="n">
        <v>0</v>
      </c>
      <c r="K573" s="5" t="n">
        <v>0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243-2023-05-31</t>
        </is>
      </c>
    </row>
    <row r="574" hidden="1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01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0</v>
      </c>
      <c r="K574" s="10" t="n">
        <v>8.33333333333333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243-2023-06-30</t>
        </is>
      </c>
    </row>
    <row r="575" hidden="1">
      <c r="A575" s="26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01" t="n">
        <v>45138</v>
      </c>
      <c r="G575" s="5" t="n">
        <v>2023</v>
      </c>
      <c r="H575" s="5" t="inlineStr">
        <is>
          <t>Julio</t>
        </is>
      </c>
      <c r="I575" s="6" t="inlineStr">
        <is>
          <t>2023-2</t>
        </is>
      </c>
      <c r="J575" s="5" t="n">
        <v>0</v>
      </c>
      <c r="K575" s="5" t="n">
        <v>16.666666666667</v>
      </c>
      <c r="L575" s="7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243-2023-07-31</t>
        </is>
      </c>
    </row>
    <row r="576" hidden="1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01" t="n">
        <v>45169</v>
      </c>
      <c r="G576" s="5" t="n">
        <v>2023</v>
      </c>
      <c r="H576" s="5" t="inlineStr">
        <is>
          <t>Agosto</t>
        </is>
      </c>
      <c r="I576" s="6" t="inlineStr">
        <is>
          <t>2023-2</t>
        </is>
      </c>
      <c r="J576" s="5" t="n">
        <v>0</v>
      </c>
      <c r="K576" s="5" t="n">
        <v>9.09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243-2023-08-31</t>
        </is>
      </c>
    </row>
    <row r="577" hidden="1">
      <c r="A577" s="26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01" t="n">
        <v>45199</v>
      </c>
      <c r="G577" s="5" t="n">
        <v>2023</v>
      </c>
      <c r="H577" s="5" t="inlineStr">
        <is>
          <t>Septiembre</t>
        </is>
      </c>
      <c r="I577" s="6" t="inlineStr">
        <is>
          <t>2023-2</t>
        </is>
      </c>
      <c r="J577" s="5" t="n">
        <v>0</v>
      </c>
      <c r="K577" s="5" t="n">
        <v>0</v>
      </c>
      <c r="L577" s="7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243-2023-09-30</t>
        </is>
      </c>
    </row>
    <row r="578" hidden="1">
      <c r="A578" s="28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01" t="n">
        <v>45230</v>
      </c>
      <c r="G578" s="5" t="n">
        <v>2023</v>
      </c>
      <c r="H578" s="5" t="inlineStr">
        <is>
          <t>Octubre</t>
        </is>
      </c>
      <c r="I578" s="6" t="inlineStr">
        <is>
          <t>2023-2</t>
        </is>
      </c>
      <c r="J578" s="5" t="n">
        <v>0</v>
      </c>
      <c r="K578" s="5" t="n">
        <v>11.11</v>
      </c>
      <c r="L578" s="7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243-2023-10-31</t>
        </is>
      </c>
    </row>
    <row r="579" hidden="1">
      <c r="A579" s="26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01" t="n">
        <v>45260</v>
      </c>
      <c r="G579" s="5" t="n">
        <v>2023</v>
      </c>
      <c r="H579" s="5" t="inlineStr">
        <is>
          <t>Noviembre</t>
        </is>
      </c>
      <c r="I579" s="6" t="inlineStr">
        <is>
          <t>2023-2</t>
        </is>
      </c>
      <c r="J579" s="5" t="n">
        <v>0</v>
      </c>
      <c r="K579" s="5" t="n">
        <v>0</v>
      </c>
      <c r="L579" s="7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243-2023-11-30</t>
        </is>
      </c>
    </row>
    <row r="580" hidden="1">
      <c r="A580" s="5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01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0</v>
      </c>
      <c r="K580" s="5" t="n">
        <v>14.29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243-2023-12-31</t>
        </is>
      </c>
    </row>
    <row r="581" hidden="1">
      <c r="A581" s="5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101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25</v>
      </c>
      <c r="K581" s="5" t="n">
        <v>24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n"/>
      <c r="O581" s="5" t="n"/>
      <c r="P581" s="5" t="n">
        <v>0</v>
      </c>
      <c r="Q581" s="5" t="n">
        <v>0</v>
      </c>
      <c r="R581" s="5" t="inlineStr">
        <is>
          <t>244-2023-12-31</t>
        </is>
      </c>
    </row>
    <row r="582" hidden="1">
      <c r="A582" s="28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01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25</v>
      </c>
      <c r="K582" s="5" t="n">
        <v>25</v>
      </c>
      <c r="L582" s="7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n"/>
      <c r="O582" s="5" t="n"/>
      <c r="P582" s="5" t="n">
        <v>0</v>
      </c>
      <c r="Q582" s="5" t="n">
        <v>0</v>
      </c>
      <c r="R582" s="5" t="inlineStr">
        <is>
          <t>244-2024-12-31</t>
        </is>
      </c>
    </row>
    <row r="583" hidden="1">
      <c r="A583" s="26" t="n">
        <v>244</v>
      </c>
      <c r="B583" s="5" t="inlineStr">
        <is>
          <t>GreenMetric - Nacional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101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25</v>
      </c>
      <c r="K583" s="5" t="n">
        <v>13</v>
      </c>
      <c r="L583" s="7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244-2025-12-31</t>
        </is>
      </c>
    </row>
    <row r="584" hidden="1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101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87</v>
      </c>
      <c r="K584" s="5" t="n">
        <v>97.84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245-2023-06-30</t>
        </is>
      </c>
    </row>
    <row r="585" hidden="1">
      <c r="A585" s="5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01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87</v>
      </c>
      <c r="K585" s="5" t="n">
        <v>98.14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245-2023-12-31</t>
        </is>
      </c>
    </row>
    <row r="586" hidden="1">
      <c r="A586" s="28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01" t="n">
        <v>45473</v>
      </c>
      <c r="G586" s="5" t="n">
        <v>2024</v>
      </c>
      <c r="H586" s="5" t="inlineStr">
        <is>
          <t>Junio</t>
        </is>
      </c>
      <c r="I586" s="6" t="inlineStr">
        <is>
          <t>2024-1</t>
        </is>
      </c>
      <c r="J586" s="5" t="n">
        <v>100</v>
      </c>
      <c r="K586" s="3" t="n">
        <v>100.15</v>
      </c>
      <c r="L586" s="7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245-2024-06-30</t>
        </is>
      </c>
    </row>
    <row r="587" hidden="1">
      <c r="A587" s="26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01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3" t="n">
        <v>100.22</v>
      </c>
      <c r="L587" s="7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245-2024-12-31</t>
        </is>
      </c>
    </row>
    <row r="588" hidden="1">
      <c r="A588" s="5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01" t="n">
        <v>45838</v>
      </c>
      <c r="G588" s="5" t="n">
        <v>2025</v>
      </c>
      <c r="H588" s="5" t="inlineStr">
        <is>
          <t>Junio</t>
        </is>
      </c>
      <c r="I588" s="6" t="inlineStr">
        <is>
          <t>2025-1</t>
        </is>
      </c>
      <c r="J588" s="5" t="n">
        <v>100</v>
      </c>
      <c r="K588" s="5" t="n">
        <v>100.93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245-2025-06-30</t>
        </is>
      </c>
    </row>
    <row r="589" hidden="1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01" t="n">
        <v>46022</v>
      </c>
      <c r="G589" s="5" t="n">
        <v>2025</v>
      </c>
      <c r="H589" s="5" t="inlineStr">
        <is>
          <t>Diciembre</t>
        </is>
      </c>
      <c r="I589" s="6" t="inlineStr">
        <is>
          <t>2025-2</t>
        </is>
      </c>
      <c r="J589" s="5" t="n">
        <v>100</v>
      </c>
      <c r="K589" s="5" t="n">
        <v>100.12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245-2025-12-31</t>
        </is>
      </c>
    </row>
    <row r="590" hidden="1">
      <c r="A590" s="28" t="n">
        <v>246</v>
      </c>
      <c r="B590" s="5" t="inlineStr">
        <is>
          <t>Satisfacción del proceso de grados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101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85</v>
      </c>
      <c r="K590" s="3" t="n">
        <v>61.4</v>
      </c>
      <c r="L590" s="7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246-2023-12-31</t>
        </is>
      </c>
    </row>
    <row r="591" hidden="1">
      <c r="A591" s="26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01" t="n">
        <v>45473</v>
      </c>
      <c r="G591" s="5" t="n">
        <v>2024</v>
      </c>
      <c r="H591" s="5" t="inlineStr">
        <is>
          <t>Junio</t>
        </is>
      </c>
      <c r="I591" s="6" t="inlineStr">
        <is>
          <t>2024-1</t>
        </is>
      </c>
      <c r="J591" s="5" t="n">
        <v>67.5</v>
      </c>
      <c r="K591" s="3" t="n">
        <v>92.5</v>
      </c>
      <c r="L591" s="7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246-2024-06-30</t>
        </is>
      </c>
    </row>
    <row r="592" hidden="1">
      <c r="A592" s="5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01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67.5</v>
      </c>
      <c r="K592" s="5" t="n">
        <v>94.40000000000001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246-2024-12-31</t>
        </is>
      </c>
    </row>
    <row r="593" hidden="1">
      <c r="A593" s="5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Semestral</t>
        </is>
      </c>
      <c r="E593" s="5" t="inlineStr">
        <is>
          <t>Positivo</t>
        </is>
      </c>
      <c r="F593" s="101" t="n">
        <v>45838</v>
      </c>
      <c r="G593" s="5" t="n">
        <v>2025</v>
      </c>
      <c r="H593" s="5" t="inlineStr">
        <is>
          <t>Junio</t>
        </is>
      </c>
      <c r="I593" s="6" t="inlineStr">
        <is>
          <t>2025-1</t>
        </is>
      </c>
      <c r="J593" s="5" t="n">
        <v>90</v>
      </c>
      <c r="K593" s="5" t="n">
        <v>90.09999999999999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246-2025-06-30</t>
        </is>
      </c>
    </row>
    <row r="594" hidden="1">
      <c r="A594" s="28" t="n">
        <v>246</v>
      </c>
      <c r="B594" s="5" t="inlineStr">
        <is>
          <t>Satisfacción del proceso de grados presencial</t>
        </is>
      </c>
      <c r="C594" s="5" t="inlineStr">
        <is>
          <t>Registro y Control</t>
        </is>
      </c>
      <c r="D594" s="5" t="inlineStr">
        <is>
          <t>Trimestral</t>
        </is>
      </c>
      <c r="E594" s="5" t="inlineStr">
        <is>
          <t>Positivo</t>
        </is>
      </c>
      <c r="F594" s="101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90</v>
      </c>
      <c r="K594" s="5" t="n">
        <v>92.7</v>
      </c>
      <c r="L594" s="7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246-2025-12-31</t>
        </is>
      </c>
    </row>
    <row r="595" hidden="1">
      <c r="A595" s="26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101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0</v>
      </c>
      <c r="K595" s="5" t="n">
        <v>70.54000000000001</v>
      </c>
      <c r="L595" s="7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n"/>
      <c r="O595" s="5" t="n"/>
      <c r="P595" s="5" t="n">
        <v>1</v>
      </c>
      <c r="Q595" s="5" t="n">
        <v>1</v>
      </c>
      <c r="R595" s="5" t="inlineStr">
        <is>
          <t>247-2023-06-30</t>
        </is>
      </c>
    </row>
    <row r="596" hidden="1">
      <c r="A596" s="5" t="n">
        <v>247</v>
      </c>
      <c r="B596" s="5" t="inlineStr">
        <is>
          <t>Solicitud de certificados</t>
        </is>
      </c>
      <c r="C596" s="5" t="inlineStr">
        <is>
          <t>Registro y Control</t>
        </is>
      </c>
      <c r="D596" s="5" t="inlineStr">
        <is>
          <t>Mensual</t>
        </is>
      </c>
      <c r="E596" s="5" t="inlineStr">
        <is>
          <t>Positivo</t>
        </is>
      </c>
      <c r="F596" s="101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0</v>
      </c>
      <c r="K596" s="5" t="n">
        <v>69.08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n"/>
      <c r="O596" s="5" t="n"/>
      <c r="P596" s="5" t="n">
        <v>1</v>
      </c>
      <c r="Q596" s="5" t="n">
        <v>1</v>
      </c>
      <c r="R596" s="5" t="inlineStr">
        <is>
          <t>247-2023-12-31</t>
        </is>
      </c>
    </row>
    <row r="597" hidden="1">
      <c r="A597" s="5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101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27</v>
      </c>
      <c r="K597" s="5" t="n">
        <v>27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n"/>
      <c r="O597" s="5" t="n"/>
      <c r="P597" s="5" t="n">
        <v>0</v>
      </c>
      <c r="Q597" s="5" t="n">
        <v>0</v>
      </c>
      <c r="R597" s="5" t="inlineStr">
        <is>
          <t>248-2023-06-30</t>
        </is>
      </c>
    </row>
    <row r="598" hidden="1">
      <c r="A598" s="28" t="n">
        <v>248</v>
      </c>
      <c r="B598" s="5" t="inlineStr">
        <is>
          <t>Programas con reforzamiento curricular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01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17</v>
      </c>
      <c r="K598" s="5" t="n">
        <v>17</v>
      </c>
      <c r="L598" s="7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n"/>
      <c r="O598" s="5" t="n"/>
      <c r="P598" s="5" t="n">
        <v>0</v>
      </c>
      <c r="Q598" s="5" t="n">
        <v>0</v>
      </c>
      <c r="R598" s="5" t="inlineStr">
        <is>
          <t>248-2023-12-31</t>
        </is>
      </c>
    </row>
    <row r="599" hidden="1">
      <c r="A599" s="26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01" t="n">
        <v>45107</v>
      </c>
      <c r="G599" s="5" t="n">
        <v>2023</v>
      </c>
      <c r="H599" s="5" t="inlineStr">
        <is>
          <t>Junio</t>
        </is>
      </c>
      <c r="I599" s="6" t="inlineStr">
        <is>
          <t>2023-1</t>
        </is>
      </c>
      <c r="J599" s="5" t="n">
        <v>72</v>
      </c>
      <c r="K599" s="5" t="n">
        <v>72</v>
      </c>
      <c r="L599" s="7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n"/>
      <c r="O599" s="5" t="n"/>
      <c r="P599" s="5" t="n">
        <v>0</v>
      </c>
      <c r="Q599" s="5" t="n">
        <v>0</v>
      </c>
      <c r="R599" s="5" t="inlineStr">
        <is>
          <t>249-2023-06-30</t>
        </is>
      </c>
    </row>
    <row r="600" hidden="1">
      <c r="A600" s="5" t="n">
        <v>249</v>
      </c>
      <c r="B600" s="5" t="inlineStr">
        <is>
          <t>Programas con matriz de resultado de aprendizaje</t>
        </is>
      </c>
      <c r="C600" s="5" t="inlineStr">
        <is>
          <t>Gestión, Evaluación e Innovación Curricular</t>
        </is>
      </c>
      <c r="D600" s="5" t="inlineStr">
        <is>
          <t>Semestral</t>
        </is>
      </c>
      <c r="E600" s="5" t="inlineStr">
        <is>
          <t>Positivo</t>
        </is>
      </c>
      <c r="F600" s="101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26</v>
      </c>
      <c r="K600" s="5" t="n">
        <v>26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n"/>
      <c r="O600" s="5" t="n"/>
      <c r="P600" s="5" t="n">
        <v>0</v>
      </c>
      <c r="Q600" s="5" t="n">
        <v>0</v>
      </c>
      <c r="R600" s="5" t="inlineStr">
        <is>
          <t>249-2023-12-31</t>
        </is>
      </c>
    </row>
    <row r="601" hidden="1">
      <c r="A601" s="5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101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100</v>
      </c>
      <c r="K601" s="5" t="n">
        <v>93.87755102040816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251-2023-06-30</t>
        </is>
      </c>
    </row>
    <row r="602" hidden="1">
      <c r="A602" s="28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01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100</v>
      </c>
      <c r="K602" s="5" t="n">
        <v>100</v>
      </c>
      <c r="L602" s="7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251-2023-12-31</t>
        </is>
      </c>
    </row>
    <row r="603" hidden="1">
      <c r="A603" s="26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01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100</v>
      </c>
      <c r="K603" s="5" t="n">
        <v>92.45283018867924</v>
      </c>
      <c r="L603" s="7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251-2024-06-30</t>
        </is>
      </c>
    </row>
    <row r="604" hidden="1">
      <c r="A604" s="5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01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100</v>
      </c>
      <c r="K604" s="5" t="n">
        <v>96.22641509433964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251-2024-12-31</t>
        </is>
      </c>
    </row>
    <row r="605" hidden="1">
      <c r="A605" s="5" t="n">
        <v>251</v>
      </c>
      <c r="B605" s="5" t="inlineStr">
        <is>
          <t>Subprocesos Con CMI Estructurado</t>
        </is>
      </c>
      <c r="C605" s="5" t="inlineStr">
        <is>
          <t>Desempeño Institucional</t>
        </is>
      </c>
      <c r="D605" s="5" t="inlineStr">
        <is>
          <t>Trimestral</t>
        </is>
      </c>
      <c r="E605" s="5" t="inlineStr">
        <is>
          <t>Positivo</t>
        </is>
      </c>
      <c r="F605" s="101" t="n">
        <v>45838</v>
      </c>
      <c r="G605" s="5" t="n">
        <v>2025</v>
      </c>
      <c r="H605" s="5" t="inlineStr">
        <is>
          <t>Junio</t>
        </is>
      </c>
      <c r="I605" s="6" t="inlineStr">
        <is>
          <t>2025-1</t>
        </is>
      </c>
      <c r="J605" s="5" t="n">
        <v>100</v>
      </c>
      <c r="K605" s="5" t="n">
        <v>82.34999999999999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251-2025-06-30</t>
        </is>
      </c>
    </row>
    <row r="606" hidden="1">
      <c r="A606" s="28" t="n">
        <v>251</v>
      </c>
      <c r="B606" s="5" t="inlineStr">
        <is>
          <t>Subprocesos Con indicadores definidos</t>
        </is>
      </c>
      <c r="C606" s="5" t="inlineStr">
        <is>
          <t>Desempeño Institucional</t>
        </is>
      </c>
      <c r="D606" s="5" t="inlineStr">
        <is>
          <t>Semestral</t>
        </is>
      </c>
      <c r="E606" s="5" t="inlineStr">
        <is>
          <t>Positivo</t>
        </is>
      </c>
      <c r="F606" s="101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100</v>
      </c>
      <c r="K606" s="5" t="n">
        <v>100</v>
      </c>
      <c r="L606" s="7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251-2025-12-31</t>
        </is>
      </c>
    </row>
    <row r="607" hidden="1">
      <c r="A607" s="26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101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68</v>
      </c>
      <c r="K607" s="5" t="n">
        <v>98.81</v>
      </c>
      <c r="L607" s="7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252-2023-06-30</t>
        </is>
      </c>
    </row>
    <row r="608" hidden="1">
      <c r="A608" s="5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01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68</v>
      </c>
      <c r="K608" s="9" t="n">
        <v>109.91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2</v>
      </c>
      <c r="Q608" s="5" t="n">
        <v>2</v>
      </c>
      <c r="R608" s="5" t="inlineStr">
        <is>
          <t>252-2023-12-31</t>
        </is>
      </c>
    </row>
    <row r="609" hidden="1">
      <c r="A609" s="5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01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68.5</v>
      </c>
      <c r="K609" s="9" t="n">
        <v>104.47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252-2024-06-30</t>
        </is>
      </c>
    </row>
    <row r="610" hidden="1">
      <c r="A610" s="28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01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72.90000000000001</v>
      </c>
      <c r="K610" s="5" t="n">
        <v>99.48999999999999</v>
      </c>
      <c r="L610" s="7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252-2024-12-31</t>
        </is>
      </c>
    </row>
    <row r="611" hidden="1">
      <c r="A611" s="26" t="n">
        <v>252</v>
      </c>
      <c r="B611" s="5" t="inlineStr">
        <is>
          <t>Permanencia intersemestral ingresantes</t>
        </is>
      </c>
      <c r="C611" s="5" t="inlineStr">
        <is>
          <t>Permanencia</t>
        </is>
      </c>
      <c r="D611" s="5" t="inlineStr">
        <is>
          <t>Semestral</t>
        </is>
      </c>
      <c r="E611" s="5" t="inlineStr">
        <is>
          <t>Positivo</t>
        </is>
      </c>
      <c r="F611" s="101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99.58</v>
      </c>
      <c r="L611" s="7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252-2025-06-30</t>
        </is>
      </c>
    </row>
    <row r="612" hidden="1">
      <c r="A612" s="5" t="n">
        <v>252</v>
      </c>
      <c r="B612" s="5" t="inlineStr">
        <is>
          <t>Tasa de Permanencia Intersemestral de Estudiantes Ingresantes</t>
        </is>
      </c>
      <c r="C612" s="5" t="inlineStr">
        <is>
          <t>Permanencia</t>
        </is>
      </c>
      <c r="D612" s="5" t="inlineStr">
        <is>
          <t>Trimestral</t>
        </is>
      </c>
      <c r="E612" s="5" t="inlineStr">
        <is>
          <t>Positivo</t>
        </is>
      </c>
      <c r="F612" s="101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104.31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1</v>
      </c>
      <c r="Q612" s="5" t="n">
        <v>1</v>
      </c>
      <c r="R612" s="5" t="inlineStr">
        <is>
          <t>252-2025-12-31</t>
        </is>
      </c>
    </row>
    <row r="613" hidden="1">
      <c r="A613" s="5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101" t="n">
        <v>45046</v>
      </c>
      <c r="G613" s="5" t="n">
        <v>2023</v>
      </c>
      <c r="H613" s="5" t="inlineStr">
        <is>
          <t>Abril</t>
        </is>
      </c>
      <c r="I613" s="6" t="inlineStr">
        <is>
          <t>2023-1</t>
        </is>
      </c>
      <c r="J613" s="5" t="n">
        <v>8</v>
      </c>
      <c r="K613" s="5" t="n">
        <v>8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253-2023-04-30</t>
        </is>
      </c>
    </row>
    <row r="614" hidden="1">
      <c r="A614" s="28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01" t="n">
        <v>45107</v>
      </c>
      <c r="G614" s="5" t="n">
        <v>2023</v>
      </c>
      <c r="H614" s="5" t="inlineStr">
        <is>
          <t>Junio</t>
        </is>
      </c>
      <c r="I614" s="6" t="inlineStr">
        <is>
          <t>2023-1</t>
        </is>
      </c>
      <c r="J614" s="5" t="n">
        <v>8</v>
      </c>
      <c r="K614" s="5" t="n">
        <v>4.5</v>
      </c>
      <c r="L614" s="7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253-2023-06-30</t>
        </is>
      </c>
    </row>
    <row r="615" hidden="1">
      <c r="A615" s="26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01" t="n">
        <v>45169</v>
      </c>
      <c r="G615" s="5" t="n">
        <v>2023</v>
      </c>
      <c r="H615" s="5" t="inlineStr">
        <is>
          <t>Agosto</t>
        </is>
      </c>
      <c r="I615" s="6" t="inlineStr">
        <is>
          <t>2023-2</t>
        </is>
      </c>
      <c r="J615" s="5" t="n">
        <v>8</v>
      </c>
      <c r="K615" s="5" t="n">
        <v>4.5</v>
      </c>
      <c r="L615" s="7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253-2023-08-31</t>
        </is>
      </c>
    </row>
    <row r="616" hidden="1">
      <c r="A616" s="5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01" t="n">
        <v>45230</v>
      </c>
      <c r="G616" s="5" t="n">
        <v>2023</v>
      </c>
      <c r="H616" s="5" t="inlineStr">
        <is>
          <t>Octubre</t>
        </is>
      </c>
      <c r="I616" s="6" t="inlineStr">
        <is>
          <t>2023-2</t>
        </is>
      </c>
      <c r="J616" s="5" t="n">
        <v>8</v>
      </c>
      <c r="K616" s="5" t="n">
        <v>5.8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253-2023-10-31</t>
        </is>
      </c>
    </row>
    <row r="617" hidden="1">
      <c r="A617" s="5" t="n">
        <v>253</v>
      </c>
      <c r="B617" s="5" t="inlineStr">
        <is>
          <t>Oportunidad en la entrega de informes de auditoria</t>
        </is>
      </c>
      <c r="C617" s="5" t="inlineStr">
        <is>
          <t>AUDITORÍA INTERNA</t>
        </is>
      </c>
      <c r="D617" s="5" t="inlineStr">
        <is>
          <t>Bimestral</t>
        </is>
      </c>
      <c r="E617" s="5" t="inlineStr">
        <is>
          <t>Negativo</t>
        </is>
      </c>
      <c r="F617" s="101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8</v>
      </c>
      <c r="K617" s="5" t="n">
        <v>5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Días</t>
        </is>
      </c>
      <c r="O617" s="5" t="inlineStr">
        <is>
          <t>Días</t>
        </is>
      </c>
      <c r="P617" s="5" t="n">
        <v>0</v>
      </c>
      <c r="Q617" s="5" t="n">
        <v>0</v>
      </c>
      <c r="R617" s="5" t="inlineStr">
        <is>
          <t>253-2023-12-31</t>
        </is>
      </c>
    </row>
    <row r="618" hidden="1">
      <c r="A618" s="28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101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100</v>
      </c>
      <c r="K618" s="5" t="n">
        <v>100</v>
      </c>
      <c r="L618" s="7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254-2023-06-30</t>
        </is>
      </c>
    </row>
    <row r="619" hidden="1">
      <c r="A619" s="26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01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100</v>
      </c>
      <c r="K619" s="5" t="n">
        <v>100</v>
      </c>
      <c r="L619" s="7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254-2023-12-31</t>
        </is>
      </c>
    </row>
    <row r="620" hidden="1">
      <c r="A620" s="26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01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100</v>
      </c>
      <c r="K620" s="5" t="n">
        <v>100</v>
      </c>
      <c r="L620" s="7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254-2024-06-30</t>
        </is>
      </c>
    </row>
    <row r="621" hidden="1">
      <c r="A621" s="5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01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100</v>
      </c>
      <c r="K621" s="5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254-2024-12-31</t>
        </is>
      </c>
    </row>
    <row r="622" hidden="1">
      <c r="A622" s="28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Trimestral</t>
        </is>
      </c>
      <c r="E622" s="5" t="inlineStr">
        <is>
          <t>Positivo</t>
        </is>
      </c>
      <c r="F622" s="101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100</v>
      </c>
      <c r="L622" s="7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254-2025-06-30</t>
        </is>
      </c>
    </row>
    <row r="623" hidden="1">
      <c r="A623" s="26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Semestral</t>
        </is>
      </c>
      <c r="E623" s="5" t="inlineStr">
        <is>
          <t>Positivo</t>
        </is>
      </c>
      <c r="F623" s="101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7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254-2025-12-31</t>
        </is>
      </c>
    </row>
    <row r="624" hidden="1">
      <c r="A624" s="5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101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100</v>
      </c>
      <c r="K624" s="5" t="n">
        <v>18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255-2023-12-31</t>
        </is>
      </c>
    </row>
    <row r="625" hidden="1">
      <c r="A625" s="28" t="n">
        <v>255</v>
      </c>
      <c r="B625" s="5" t="inlineStr">
        <is>
          <t>Informe anual de variación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01" t="n">
        <v>45657</v>
      </c>
      <c r="G625" s="5" t="n">
        <v>2024</v>
      </c>
      <c r="H625" s="5" t="inlineStr">
        <is>
          <t>Diciembre</t>
        </is>
      </c>
      <c r="I625" s="6" t="inlineStr">
        <is>
          <t>2024-2</t>
        </is>
      </c>
      <c r="J625" s="5" t="n">
        <v>100</v>
      </c>
      <c r="K625" s="5" t="n">
        <v>15</v>
      </c>
      <c r="L625" s="7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n"/>
      <c r="O625" s="5" t="n"/>
      <c r="P625" s="5" t="n">
        <v>0</v>
      </c>
      <c r="Q625" s="5" t="n">
        <v>0</v>
      </c>
      <c r="R625" s="5" t="inlineStr">
        <is>
          <t>255-2024-12-31</t>
        </is>
      </c>
    </row>
    <row r="626" hidden="1">
      <c r="A626" s="26" t="n">
        <v>255</v>
      </c>
      <c r="B626" s="5" t="inlineStr">
        <is>
          <t>Informe anual de índice H</t>
        </is>
      </c>
      <c r="C626" s="5" t="inlineStr">
        <is>
          <t>Editorial y Publicaciones</t>
        </is>
      </c>
      <c r="D626" s="5" t="inlineStr">
        <is>
          <t>Anual</t>
        </is>
      </c>
      <c r="E626" s="5" t="inlineStr">
        <is>
          <t>Positivo</t>
        </is>
      </c>
      <c r="F626" s="101" t="n">
        <v>46022</v>
      </c>
      <c r="G626" s="5" t="n">
        <v>2025</v>
      </c>
      <c r="H626" s="5" t="inlineStr">
        <is>
          <t>Diciembre</t>
        </is>
      </c>
      <c r="I626" s="6" t="inlineStr">
        <is>
          <t>2025-2</t>
        </is>
      </c>
      <c r="J626" s="5" t="n"/>
      <c r="K626" s="5" t="n">
        <v>17.5</v>
      </c>
      <c r="L626" s="74" t="n"/>
      <c r="M626" s="14" t="n"/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255-2025-12-31</t>
        </is>
      </c>
    </row>
    <row r="627" hidden="1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101" t="n">
        <v>45107</v>
      </c>
      <c r="G627" s="5" t="n">
        <v>2023</v>
      </c>
      <c r="H627" s="5" t="inlineStr">
        <is>
          <t>Junio</t>
        </is>
      </c>
      <c r="I627" s="6" t="inlineStr">
        <is>
          <t>2023-1</t>
        </is>
      </c>
      <c r="J627" s="5" t="n">
        <v>100</v>
      </c>
      <c r="K627" s="5" t="n">
        <v>123.52941176471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256-2023-06-30</t>
        </is>
      </c>
    </row>
    <row r="628" hidden="1">
      <c r="A628" s="5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01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100</v>
      </c>
      <c r="K628" s="5" t="n">
        <v>123.53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256-2023-12-31</t>
        </is>
      </c>
    </row>
    <row r="629" hidden="1">
      <c r="A629" s="28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01" t="n">
        <v>45473</v>
      </c>
      <c r="G629" s="5" t="n">
        <v>2024</v>
      </c>
      <c r="H629" s="5" t="inlineStr">
        <is>
          <t>Junio</t>
        </is>
      </c>
      <c r="I629" s="6" t="inlineStr">
        <is>
          <t>2024-1</t>
        </is>
      </c>
      <c r="J629" s="5" t="n">
        <v>100</v>
      </c>
      <c r="K629" s="5" t="n">
        <v>117.65</v>
      </c>
      <c r="L629" s="7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256-2024-06-30</t>
        </is>
      </c>
    </row>
    <row r="630" hidden="1">
      <c r="A630" s="26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01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100</v>
      </c>
      <c r="K630" s="5" t="n">
        <v>152.94</v>
      </c>
      <c r="L630" s="7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256-2024-12-31</t>
        </is>
      </c>
    </row>
    <row r="631" hidden="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Semestral</t>
        </is>
      </c>
      <c r="E631" s="5" t="inlineStr">
        <is>
          <t>Positivo</t>
        </is>
      </c>
      <c r="F631" s="101" t="n">
        <v>45838</v>
      </c>
      <c r="G631" s="5" t="n">
        <v>2025</v>
      </c>
      <c r="H631" s="5" t="inlineStr">
        <is>
          <t>Junio</t>
        </is>
      </c>
      <c r="I631" s="6" t="inlineStr">
        <is>
          <t>2025-1</t>
        </is>
      </c>
      <c r="J631" s="5" t="n">
        <v>100</v>
      </c>
      <c r="K631" s="5" t="n">
        <v>100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256-2025-06-30</t>
        </is>
      </c>
    </row>
    <row r="632" hidden="1">
      <c r="A632" s="5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Trimestral</t>
        </is>
      </c>
      <c r="E632" s="5" t="inlineStr">
        <is>
          <t>Positivo</t>
        </is>
      </c>
      <c r="F632" s="101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100</v>
      </c>
      <c r="K632" s="5" t="n">
        <v>170.59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256-2025-12-31</t>
        </is>
      </c>
    </row>
    <row r="633" hidden="1">
      <c r="A633" s="28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01" t="n">
        <v>45107</v>
      </c>
      <c r="G633" s="5" t="n">
        <v>2023</v>
      </c>
      <c r="H633" s="5" t="inlineStr">
        <is>
          <t>Junio</t>
        </is>
      </c>
      <c r="I633" s="6" t="inlineStr">
        <is>
          <t>2023-1</t>
        </is>
      </c>
      <c r="J633" s="5" t="n">
        <v>18</v>
      </c>
      <c r="K633" s="5" t="n">
        <v>15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n"/>
      <c r="O633" s="5" t="n"/>
      <c r="P633" s="5" t="n">
        <v>0</v>
      </c>
      <c r="Q633" s="5" t="n">
        <v>0</v>
      </c>
      <c r="R633" s="5" t="inlineStr">
        <is>
          <t>257-2023-06-30</t>
        </is>
      </c>
    </row>
    <row r="634" hidden="1">
      <c r="A634" s="26" t="n">
        <v>257</v>
      </c>
      <c r="B634" s="5" t="inlineStr">
        <is>
          <t>N de publicaciones aprobadas en convocatorias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01" t="n">
        <v>45291</v>
      </c>
      <c r="G634" s="5" t="n">
        <v>2023</v>
      </c>
      <c r="H634" s="5" t="inlineStr">
        <is>
          <t>Diciembre</t>
        </is>
      </c>
      <c r="I634" s="6" t="inlineStr">
        <is>
          <t>2023-2</t>
        </is>
      </c>
      <c r="J634" s="5" t="n">
        <v>24</v>
      </c>
      <c r="K634" s="5" t="n">
        <v>24</v>
      </c>
      <c r="L634" s="7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n"/>
      <c r="O634" s="5" t="n"/>
      <c r="P634" s="5" t="n">
        <v>0</v>
      </c>
      <c r="Q634" s="5" t="n">
        <v>0</v>
      </c>
      <c r="R634" s="5" t="inlineStr">
        <is>
          <t>257-2023-12-31</t>
        </is>
      </c>
    </row>
    <row r="635" hidden="1">
      <c r="A635" s="5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101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100</v>
      </c>
      <c r="K635" s="5" t="n">
        <v>60.526315789474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259-2023-06-30</t>
        </is>
      </c>
    </row>
    <row r="636" hidden="1">
      <c r="A636" s="5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01" t="n">
        <v>45199</v>
      </c>
      <c r="G636" s="5" t="n">
        <v>2023</v>
      </c>
      <c r="H636" s="5" t="inlineStr">
        <is>
          <t>Septiembre</t>
        </is>
      </c>
      <c r="I636" s="6" t="inlineStr">
        <is>
          <t>2023-2</t>
        </is>
      </c>
      <c r="J636" s="5" t="n">
        <v>100</v>
      </c>
      <c r="K636" s="5" t="n">
        <v>68.75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259-2023-09-30</t>
        </is>
      </c>
    </row>
    <row r="637" hidden="1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00" t="n">
        <v>45291</v>
      </c>
      <c r="G637" s="15" t="n">
        <v>2023</v>
      </c>
      <c r="H637" s="6" t="inlineStr">
        <is>
          <t>Diciembre</t>
        </is>
      </c>
      <c r="I637" s="27" t="inlineStr">
        <is>
          <t>2023-2</t>
        </is>
      </c>
      <c r="J637" s="5" t="n">
        <v>100</v>
      </c>
      <c r="K637" s="5" t="n">
        <v>70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259-2023-12-31</t>
        </is>
      </c>
    </row>
    <row r="638" hidden="1">
      <c r="A638" s="26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01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90</v>
      </c>
      <c r="K638" s="5" t="n">
        <v>34.69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n"/>
      <c r="O638" s="5" t="n"/>
      <c r="P638" s="5" t="n">
        <v>0</v>
      </c>
      <c r="Q638" s="5" t="n">
        <v>0</v>
      </c>
      <c r="R638" s="5" t="inlineStr">
        <is>
          <t>259-2024-06-30</t>
        </is>
      </c>
    </row>
    <row r="639" hidden="1">
      <c r="A639" s="26" t="n">
        <v>259</v>
      </c>
      <c r="B639" s="5" t="inlineStr">
        <is>
          <t>Subprocesos con indicadores reportados oportunamente</t>
        </is>
      </c>
      <c r="C639" s="5" t="inlineStr">
        <is>
          <t>Desempeño Institucional</t>
        </is>
      </c>
      <c r="D639" s="5" t="inlineStr">
        <is>
          <t>Trimestral</t>
        </is>
      </c>
      <c r="E639" s="5" t="inlineStr">
        <is>
          <t>Positivo</t>
        </is>
      </c>
      <c r="F639" s="100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90</v>
      </c>
      <c r="K639" s="5" t="n">
        <v>78.43000000000001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n"/>
      <c r="O639" s="5" t="n"/>
      <c r="P639" s="5" t="n">
        <v>0</v>
      </c>
      <c r="Q639" s="5" t="n">
        <v>0</v>
      </c>
      <c r="R639" s="5" t="inlineStr">
        <is>
          <t>259-2024-12-31</t>
        </is>
      </c>
    </row>
    <row r="640" hidden="1">
      <c r="A640" s="26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100" t="n">
        <v>45107</v>
      </c>
      <c r="G640" s="5" t="n">
        <v>2023</v>
      </c>
      <c r="H640" s="5" t="inlineStr">
        <is>
          <t>Junio</t>
        </is>
      </c>
      <c r="I640" s="6" t="inlineStr">
        <is>
          <t>2023-1</t>
        </is>
      </c>
      <c r="J640" s="5" t="n">
        <v>3</v>
      </c>
      <c r="K640" s="5" t="n">
        <v>2.8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260-2023-06-30</t>
        </is>
      </c>
    </row>
    <row r="641" hidden="1">
      <c r="A641" s="28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01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3</v>
      </c>
      <c r="K641" s="5" t="n">
        <v>2.9</v>
      </c>
      <c r="L641" s="7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DEC</t>
        </is>
      </c>
      <c r="O641" s="5" t="inlineStr">
        <is>
          <t>DEC</t>
        </is>
      </c>
      <c r="P641" s="5" t="n">
        <v>0</v>
      </c>
      <c r="Q641" s="5" t="n">
        <v>1</v>
      </c>
      <c r="R641" s="5" t="inlineStr">
        <is>
          <t>260-2023-12-31</t>
        </is>
      </c>
    </row>
    <row r="642" hidden="1">
      <c r="A642" s="26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01" t="n">
        <v>45473</v>
      </c>
      <c r="G642" s="5" t="n">
        <v>2024</v>
      </c>
      <c r="H642" s="5" t="inlineStr">
        <is>
          <t>Junio</t>
        </is>
      </c>
      <c r="I642" s="6" t="inlineStr">
        <is>
          <t>2024-1</t>
        </is>
      </c>
      <c r="J642" s="5" t="n">
        <v>2.8</v>
      </c>
      <c r="K642" s="5" t="n">
        <v>2.51</v>
      </c>
      <c r="L642" s="7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260-2024-06-30</t>
        </is>
      </c>
    </row>
    <row r="643" hidden="1">
      <c r="A643" s="5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01" t="n">
        <v>45657</v>
      </c>
      <c r="G643" s="5" t="n">
        <v>2024</v>
      </c>
      <c r="H643" s="5" t="inlineStr">
        <is>
          <t>Diciembre</t>
        </is>
      </c>
      <c r="I643" s="6" t="inlineStr">
        <is>
          <t>2024-2</t>
        </is>
      </c>
      <c r="J643" s="5" t="n">
        <v>2.8</v>
      </c>
      <c r="K643" s="5" t="n">
        <v>2.1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260-2024-12-31</t>
        </is>
      </c>
    </row>
    <row r="644" hidden="1">
      <c r="A644" s="5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Semestral</t>
        </is>
      </c>
      <c r="E644" s="5" t="inlineStr">
        <is>
          <t>Negativo</t>
        </is>
      </c>
      <c r="F644" s="101" t="n">
        <v>45838</v>
      </c>
      <c r="G644" s="5" t="n">
        <v>2025</v>
      </c>
      <c r="H644" s="5" t="inlineStr">
        <is>
          <t>Junio</t>
        </is>
      </c>
      <c r="I644" s="6" t="inlineStr">
        <is>
          <t>2025-1</t>
        </is>
      </c>
      <c r="J644" s="5" t="n">
        <v>2.2</v>
      </c>
      <c r="K644" s="5" t="n">
        <v>1.9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260-2025-06-30</t>
        </is>
      </c>
    </row>
    <row r="645" hidden="1">
      <c r="A645" s="5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Trimestral</t>
        </is>
      </c>
      <c r="E645" s="5" t="inlineStr">
        <is>
          <t>Negativo</t>
        </is>
      </c>
      <c r="F645" s="100" t="n">
        <v>46022</v>
      </c>
      <c r="G645" s="15" t="n">
        <v>2025</v>
      </c>
      <c r="H645" s="6" t="inlineStr">
        <is>
          <t>Diciembre</t>
        </is>
      </c>
      <c r="I645" s="27" t="inlineStr">
        <is>
          <t>2025-2</t>
        </is>
      </c>
      <c r="J645" s="5" t="n">
        <v>2.1</v>
      </c>
      <c r="K645" s="5" t="n">
        <v>1.9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DEC</t>
        </is>
      </c>
      <c r="O645" s="5" t="inlineStr">
        <is>
          <t>DEC</t>
        </is>
      </c>
      <c r="P645" s="5" t="n">
        <v>1</v>
      </c>
      <c r="Q645" s="5" t="n">
        <v>1</v>
      </c>
      <c r="R645" s="5" t="inlineStr">
        <is>
          <t>260-2025-12-31</t>
        </is>
      </c>
    </row>
    <row r="646" hidden="1">
      <c r="A646" s="26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101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3</v>
      </c>
      <c r="K646" s="5" t="n">
        <v>1.98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261-2023-06-30</t>
        </is>
      </c>
    </row>
    <row r="647" hidden="1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01" t="n">
        <v>45291</v>
      </c>
      <c r="G647" s="5" t="n">
        <v>2023</v>
      </c>
      <c r="H647" s="5" t="inlineStr">
        <is>
          <t>Diciembre</t>
        </is>
      </c>
      <c r="I647" s="6" t="inlineStr">
        <is>
          <t>2023-2</t>
        </is>
      </c>
      <c r="J647" s="5" t="n">
        <v>3</v>
      </c>
      <c r="K647" s="10" t="n">
        <v>2.06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261-2023-12-31</t>
        </is>
      </c>
    </row>
    <row r="648" hidden="1">
      <c r="A648" s="5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01" t="n">
        <v>45473</v>
      </c>
      <c r="G648" s="5" t="n">
        <v>2024</v>
      </c>
      <c r="H648" s="5" t="inlineStr">
        <is>
          <t>Junio</t>
        </is>
      </c>
      <c r="I648" s="6" t="inlineStr">
        <is>
          <t>2024-1</t>
        </is>
      </c>
      <c r="J648" s="5" t="n">
        <v>3</v>
      </c>
      <c r="K648" s="10" t="n">
        <v>2.2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261-2024-06-30</t>
        </is>
      </c>
    </row>
    <row r="649" hidden="1">
      <c r="A649" s="26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01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3</v>
      </c>
      <c r="K649" s="5" t="n">
        <v>2.2</v>
      </c>
      <c r="L649" s="7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DEC</t>
        </is>
      </c>
      <c r="P649" s="5" t="n">
        <v>0</v>
      </c>
      <c r="Q649" s="5" t="n">
        <v>1</v>
      </c>
      <c r="R649" s="5" t="inlineStr">
        <is>
          <t>261-2024-12-31</t>
        </is>
      </c>
    </row>
    <row r="650" hidden="1">
      <c r="A650" s="5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Negativo</t>
        </is>
      </c>
      <c r="F650" s="101" t="n">
        <v>45838</v>
      </c>
      <c r="G650" s="5" t="n">
        <v>2025</v>
      </c>
      <c r="H650" s="5" t="inlineStr">
        <is>
          <t>Junio</t>
        </is>
      </c>
      <c r="I650" s="6" t="inlineStr">
        <is>
          <t>2025-1</t>
        </is>
      </c>
      <c r="J650" s="5" t="n">
        <v>3</v>
      </c>
      <c r="K650" s="5" t="n">
        <v>2.3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DEC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261-2025-06-30</t>
        </is>
      </c>
    </row>
    <row r="651" hidden="1">
      <c r="A651" s="28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Trimestral</t>
        </is>
      </c>
      <c r="E651" s="5" t="inlineStr">
        <is>
          <t>Negativo</t>
        </is>
      </c>
      <c r="F651" s="101" t="n">
        <v>46022</v>
      </c>
      <c r="G651" s="5" t="n">
        <v>2025</v>
      </c>
      <c r="H651" s="5" t="inlineStr">
        <is>
          <t>Diciembre</t>
        </is>
      </c>
      <c r="I651" s="6" t="inlineStr">
        <is>
          <t>2025-2</t>
        </is>
      </c>
      <c r="J651" s="5" t="n">
        <v>3</v>
      </c>
      <c r="K651" s="5" t="n">
        <v>2.1</v>
      </c>
      <c r="L651" s="7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ENT</t>
        </is>
      </c>
      <c r="O651" s="5" t="inlineStr">
        <is>
          <t>DEC</t>
        </is>
      </c>
      <c r="P651" s="5" t="n">
        <v>1</v>
      </c>
      <c r="Q651" s="5" t="n">
        <v>1</v>
      </c>
      <c r="R651" s="5" t="inlineStr">
        <is>
          <t>261-2025-12-31</t>
        </is>
      </c>
    </row>
    <row r="652" hidden="1">
      <c r="A652" s="26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101" t="n">
        <v>45107</v>
      </c>
      <c r="G652" s="5" t="n">
        <v>2023</v>
      </c>
      <c r="H652" s="5" t="inlineStr">
        <is>
          <t>Junio</t>
        </is>
      </c>
      <c r="I652" s="6" t="inlineStr">
        <is>
          <t>2023-1</t>
        </is>
      </c>
      <c r="J652" s="5" t="n">
        <v>20</v>
      </c>
      <c r="K652" s="5" t="n">
        <v>0</v>
      </c>
      <c r="L652" s="7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262-2023-06-30</t>
        </is>
      </c>
    </row>
    <row r="653" hidden="1">
      <c r="A653" s="5" t="n">
        <v>262</v>
      </c>
      <c r="B653" s="5" t="inlineStr">
        <is>
          <t>Evitar erogación de dinero por multas asociadas en contra del POLI por los procesos en curso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01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20</v>
      </c>
      <c r="K653" s="10" t="n">
        <v>11.11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262-2023-12-31</t>
        </is>
      </c>
    </row>
    <row r="654" hidden="1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01" t="n">
        <v>45473</v>
      </c>
      <c r="G654" s="5" t="n">
        <v>2024</v>
      </c>
      <c r="H654" s="5" t="inlineStr">
        <is>
          <t>Junio</t>
        </is>
      </c>
      <c r="I654" s="6" t="inlineStr">
        <is>
          <t>2024-1</t>
        </is>
      </c>
      <c r="J654" s="5" t="n">
        <v>20</v>
      </c>
      <c r="K654" s="5" t="n">
        <v>0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262-2024-06-30</t>
        </is>
      </c>
    </row>
    <row r="655" hidden="1">
      <c r="A655" s="26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01" t="n">
        <v>45657</v>
      </c>
      <c r="G655" s="5" t="n">
        <v>2024</v>
      </c>
      <c r="H655" s="5" t="inlineStr">
        <is>
          <t>Diciembre</t>
        </is>
      </c>
      <c r="I655" s="6" t="inlineStr">
        <is>
          <t>2024-2</t>
        </is>
      </c>
      <c r="J655" s="5" t="n">
        <v>20</v>
      </c>
      <c r="K655" s="5" t="n">
        <v>0</v>
      </c>
      <c r="L655" s="7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262-2024-12-31</t>
        </is>
      </c>
    </row>
    <row r="656" hidden="1">
      <c r="A656" s="5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Negativo</t>
        </is>
      </c>
      <c r="F656" s="101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10</v>
      </c>
      <c r="K656" s="5" t="n">
        <v>0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262-2025-06-30</t>
        </is>
      </c>
    </row>
    <row r="657" hidden="1">
      <c r="A657" s="26" t="n">
        <v>262</v>
      </c>
      <c r="B657" s="5" t="inlineStr">
        <is>
          <t>Reducción de número de sentencias condenatorias en contra del Poli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Negativo</t>
        </is>
      </c>
      <c r="F657" s="101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10</v>
      </c>
      <c r="K657" s="5" t="n">
        <v>0</v>
      </c>
      <c r="L657" s="7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262-2025-12-31</t>
        </is>
      </c>
    </row>
    <row r="658" hidden="1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101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100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263-2023-06-30</t>
        </is>
      </c>
    </row>
    <row r="659" hidden="1">
      <c r="A659" s="26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01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100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263-2023-12-31</t>
        </is>
      </c>
    </row>
    <row r="660" hidden="1">
      <c r="A660" s="26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01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100</v>
      </c>
      <c r="K660" s="5" t="n">
        <v>100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263-2024-06-30</t>
        </is>
      </c>
    </row>
    <row r="661" hidden="1">
      <c r="A661" s="5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00" t="n">
        <v>45657</v>
      </c>
      <c r="G661" s="15" t="n">
        <v>2024</v>
      </c>
      <c r="H661" s="6" t="inlineStr">
        <is>
          <t>Diciembre</t>
        </is>
      </c>
      <c r="I661" s="27" t="inlineStr">
        <is>
          <t>2024-2</t>
        </is>
      </c>
      <c r="J661" s="5" t="n">
        <v>100</v>
      </c>
      <c r="K661" s="5" t="n">
        <v>100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263-2024-12-31</t>
        </is>
      </c>
    </row>
    <row r="662" hidden="1">
      <c r="A662" s="26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Positivo</t>
        </is>
      </c>
      <c r="F662" s="101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100</v>
      </c>
      <c r="K662" s="5" t="n">
        <v>100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263-2025-06-30</t>
        </is>
      </c>
    </row>
    <row r="663" hidden="1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01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100</v>
      </c>
      <c r="K663" s="10" t="n">
        <v>100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263-2025-12-31</t>
        </is>
      </c>
    </row>
    <row r="664" hidden="1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01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100</v>
      </c>
      <c r="K664" s="5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264-2023-06-30</t>
        </is>
      </c>
    </row>
    <row r="665" hidden="1">
      <c r="A665" s="26" t="n">
        <v>264</v>
      </c>
      <c r="B665" s="5" t="inlineStr">
        <is>
          <t>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01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100</v>
      </c>
      <c r="K665" s="5" t="n">
        <v>100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264-2023-12-31</t>
        </is>
      </c>
    </row>
    <row r="666" hidden="1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01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100</v>
      </c>
      <c r="K666" s="5" t="n">
        <v>100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n"/>
      <c r="O666" s="5" t="n"/>
      <c r="P666" s="5" t="n">
        <v>0</v>
      </c>
      <c r="Q666" s="5" t="n">
        <v>0</v>
      </c>
      <c r="R666" s="5" t="inlineStr">
        <is>
          <t>264-2024-06-30</t>
        </is>
      </c>
    </row>
    <row r="667" hidden="1">
      <c r="A667" s="26" t="n">
        <v>264</v>
      </c>
      <c r="B667" s="5" t="inlineStr">
        <is>
          <t>Eficiencia Emisión De Conceptos Jurídicos (Educación)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01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100</v>
      </c>
      <c r="K667" s="5" t="n">
        <v>100</v>
      </c>
      <c r="L667" s="7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n"/>
      <c r="O667" s="5" t="n"/>
      <c r="P667" s="5" t="n">
        <v>0</v>
      </c>
      <c r="Q667" s="5" t="n">
        <v>0</v>
      </c>
      <c r="R667" s="5" t="inlineStr">
        <is>
          <t>264-2024-12-31</t>
        </is>
      </c>
    </row>
    <row r="668" hidden="1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1" t="n">
        <v>45107</v>
      </c>
      <c r="G668" s="5" t="n">
        <v>2023</v>
      </c>
      <c r="H668" s="5" t="inlineStr">
        <is>
          <t>Junio</t>
        </is>
      </c>
      <c r="I668" s="6" t="inlineStr">
        <is>
          <t>2023-1</t>
        </is>
      </c>
      <c r="J668" s="5" t="n">
        <v>100</v>
      </c>
      <c r="K668" s="5" t="n">
        <v>80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265-2023-06-30</t>
        </is>
      </c>
    </row>
    <row r="669" hidden="1">
      <c r="A669" s="26" t="n">
        <v>265</v>
      </c>
      <c r="B669" s="5" t="inlineStr">
        <is>
          <t>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1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100</v>
      </c>
      <c r="K669" s="5" t="n">
        <v>97.13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265-2023-12-31</t>
        </is>
      </c>
    </row>
    <row r="670" hidden="1">
      <c r="A670" s="5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01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95</v>
      </c>
      <c r="K670" s="5" t="n">
        <v>100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265-2024-06-30</t>
        </is>
      </c>
    </row>
    <row r="671" hidden="1">
      <c r="A671" s="28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01" t="n">
        <v>45657</v>
      </c>
      <c r="G671" s="5" t="n">
        <v>2024</v>
      </c>
      <c r="H671" s="5" t="inlineStr">
        <is>
          <t>Diciembre</t>
        </is>
      </c>
      <c r="I671" s="6" t="inlineStr">
        <is>
          <t>2024-2</t>
        </is>
      </c>
      <c r="J671" s="5" t="n">
        <v>95</v>
      </c>
      <c r="K671" s="5" t="n">
        <v>100</v>
      </c>
      <c r="L671" s="7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265-2024-12-31</t>
        </is>
      </c>
    </row>
    <row r="672" hidden="1">
      <c r="A672" s="26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01" t="n">
        <v>45838</v>
      </c>
      <c r="G672" s="5" t="n">
        <v>2025</v>
      </c>
      <c r="H672" s="5" t="inlineStr">
        <is>
          <t>Junio</t>
        </is>
      </c>
      <c r="I672" s="6" t="inlineStr">
        <is>
          <t>2025-1</t>
        </is>
      </c>
      <c r="J672" s="5" t="n">
        <v>95</v>
      </c>
      <c r="K672" s="5" t="n">
        <v>100</v>
      </c>
      <c r="L672" s="7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265-2025-06-30</t>
        </is>
      </c>
    </row>
    <row r="673" hidden="1">
      <c r="A673" s="5" t="n">
        <v>265</v>
      </c>
      <c r="B673" s="5" t="inlineStr">
        <is>
          <t>Eficiencia Emisión De Conceptos Jurídicos (Jurídicos)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01" t="n">
        <v>46022</v>
      </c>
      <c r="G673" s="5" t="n">
        <v>2025</v>
      </c>
      <c r="H673" s="5" t="inlineStr">
        <is>
          <t>Diciembre</t>
        </is>
      </c>
      <c r="I673" s="6" t="inlineStr">
        <is>
          <t>2025-2</t>
        </is>
      </c>
      <c r="J673" s="5" t="n">
        <v>95</v>
      </c>
      <c r="K673" s="5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265-2025-12-31</t>
        </is>
      </c>
    </row>
    <row r="674" hidden="1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01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95</v>
      </c>
      <c r="K674" s="5" t="n">
        <v>89.907038512616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266-2023-06-30</t>
        </is>
      </c>
    </row>
    <row r="675" hidden="1">
      <c r="A675" s="28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01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95</v>
      </c>
      <c r="K675" s="5" t="n">
        <v>97.06999999999999</v>
      </c>
      <c r="L675" s="7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266-2023-12-31</t>
        </is>
      </c>
    </row>
    <row r="676" hidden="1">
      <c r="A676" s="26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01" t="n">
        <v>45473</v>
      </c>
      <c r="G676" s="5" t="n">
        <v>2024</v>
      </c>
      <c r="H676" s="5" t="inlineStr">
        <is>
          <t>Junio</t>
        </is>
      </c>
      <c r="I676" s="6" t="inlineStr">
        <is>
          <t>2024-1</t>
        </is>
      </c>
      <c r="J676" s="5" t="n">
        <v>95</v>
      </c>
      <c r="K676" s="5" t="n">
        <v>95.02</v>
      </c>
      <c r="L676" s="7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266-2024-06-30</t>
        </is>
      </c>
    </row>
    <row r="677" hidden="1">
      <c r="A677" s="28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01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5" t="n">
        <v>95</v>
      </c>
      <c r="K677" s="5" t="n">
        <v>81.93000000000001</v>
      </c>
      <c r="L677" s="7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266-2024-12-31</t>
        </is>
      </c>
    </row>
    <row r="678" hidden="1">
      <c r="A678" s="28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01" t="n">
        <v>45838</v>
      </c>
      <c r="G678" s="5" t="n">
        <v>2025</v>
      </c>
      <c r="H678" s="5" t="inlineStr">
        <is>
          <t>Junio</t>
        </is>
      </c>
      <c r="I678" s="6" t="inlineStr">
        <is>
          <t>2025-1</t>
        </is>
      </c>
      <c r="J678" s="5" t="n">
        <v>95</v>
      </c>
      <c r="K678" s="5" t="n">
        <v>53.15</v>
      </c>
      <c r="L678" s="7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266-2025-06-30</t>
        </is>
      </c>
    </row>
    <row r="679" hidden="1">
      <c r="A679" s="26" t="n">
        <v>266</v>
      </c>
      <c r="B679" s="5" t="inlineStr">
        <is>
          <t>Oportunidad en la elaboración de contratos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01" t="n">
        <v>46022</v>
      </c>
      <c r="G679" s="5" t="n">
        <v>2025</v>
      </c>
      <c r="H679" s="5" t="inlineStr">
        <is>
          <t>Diciembre</t>
        </is>
      </c>
      <c r="I679" s="6" t="inlineStr">
        <is>
          <t>2025-2</t>
        </is>
      </c>
      <c r="J679" s="5" t="n">
        <v>95</v>
      </c>
      <c r="K679" s="5" t="n">
        <v>88.09999999999999</v>
      </c>
      <c r="L679" s="1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266-2025-12-31</t>
        </is>
      </c>
    </row>
    <row r="680" hidden="1">
      <c r="A680" s="5" t="n">
        <v>267</v>
      </c>
      <c r="B680" s="5" t="inlineStr">
        <is>
          <t>Satisfacción procesos de Homologaciones</t>
        </is>
      </c>
      <c r="C680" s="5" t="inlineStr">
        <is>
          <t>Registro y Control</t>
        </is>
      </c>
      <c r="D680" s="5" t="inlineStr">
        <is>
          <t>Anual</t>
        </is>
      </c>
      <c r="E680" s="5" t="inlineStr">
        <is>
          <t>Positivo</t>
        </is>
      </c>
      <c r="F680" s="101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n"/>
      <c r="K680" s="5" t="n">
        <v>0</v>
      </c>
      <c r="L680" s="1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267-2023-12-31</t>
        </is>
      </c>
    </row>
    <row r="681" hidden="1">
      <c r="A681" s="26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101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0</v>
      </c>
      <c r="K681" s="5" t="n">
        <v>661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n"/>
      <c r="O681" s="5" t="n"/>
      <c r="P681" s="5" t="n">
        <v>0</v>
      </c>
      <c r="Q681" s="5" t="n">
        <v>0</v>
      </c>
      <c r="R681" s="5" t="inlineStr">
        <is>
          <t>268-2023-06-30</t>
        </is>
      </c>
    </row>
    <row r="682" hidden="1">
      <c r="A682" s="26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01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0</v>
      </c>
      <c r="K682" s="5" t="n">
        <v>727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n"/>
      <c r="O682" s="5" t="n"/>
      <c r="P682" s="5" t="n">
        <v>0</v>
      </c>
      <c r="Q682" s="5" t="n">
        <v>0</v>
      </c>
      <c r="R682" s="5" t="inlineStr">
        <is>
          <t>268-2023-12-31</t>
        </is>
      </c>
    </row>
    <row r="683" hidden="1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01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0</v>
      </c>
      <c r="K683" s="5" t="n">
        <v>743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n"/>
      <c r="O683" s="5" t="n"/>
      <c r="P683" s="5" t="n">
        <v>0</v>
      </c>
      <c r="Q683" s="5" t="n">
        <v>0</v>
      </c>
      <c r="R683" s="5" t="inlineStr">
        <is>
          <t>268-2024-06-30</t>
        </is>
      </c>
    </row>
    <row r="684" hidden="1">
      <c r="A684" s="5" t="n">
        <v>268</v>
      </c>
      <c r="B684" s="5" t="inlineStr">
        <is>
          <t>Cantidad de usuarios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01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0</v>
      </c>
      <c r="K684" s="5" t="n">
        <v>732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n"/>
      <c r="O684" s="5" t="n"/>
      <c r="P684" s="5" t="n">
        <v>0</v>
      </c>
      <c r="Q684" s="5" t="n">
        <v>0</v>
      </c>
      <c r="R684" s="5" t="inlineStr">
        <is>
          <t>268-2024-12-31</t>
        </is>
      </c>
    </row>
    <row r="685" hidden="1">
      <c r="A685" s="28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101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/>
      <c r="K685" s="11" t="n">
        <v>765</v>
      </c>
      <c r="L685" s="14" t="n"/>
      <c r="M685" s="14" t="n"/>
      <c r="N685" s="5" t="inlineStr">
        <is>
          <t>%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268-2025-06-30</t>
        </is>
      </c>
      <c r="S685" t="inlineStr">
        <is>
          <t>Metrica</t>
        </is>
      </c>
    </row>
    <row r="686" hidden="1">
      <c r="A686" s="26" t="n">
        <v>268</v>
      </c>
      <c r="B686" s="5" t="inlineStr">
        <is>
          <t>Cantidad de usuarios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01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/>
      <c r="K686" s="11" t="n">
        <v>877</v>
      </c>
      <c r="L686" s="14" t="n"/>
      <c r="M686" s="14" t="n"/>
      <c r="N686" s="5" t="inlineStr">
        <is>
          <t>%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268-2025-12-31</t>
        </is>
      </c>
      <c r="S686" t="inlineStr">
        <is>
          <t>Metrica</t>
        </is>
      </c>
    </row>
    <row r="687" hidden="1">
      <c r="A687" s="5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101" t="n">
        <v>45107</v>
      </c>
      <c r="G687" s="5" t="n">
        <v>2023</v>
      </c>
      <c r="H687" s="5" t="inlineStr">
        <is>
          <t>Junio</t>
        </is>
      </c>
      <c r="I687" s="6" t="inlineStr">
        <is>
          <t>2023-1</t>
        </is>
      </c>
      <c r="J687" s="73" t="n">
        <v>0</v>
      </c>
      <c r="K687" s="9" t="n">
        <v>0.4</v>
      </c>
      <c r="L687" s="14">
        <f>IFERROR(IF(OR(J687=0,K687=""),"",IF(E687="Positivo",MIN(MAX(K687/J687,0),1.3),MIN(MAX(J687/K687,0),1.3))),"") </f>
        <v/>
      </c>
      <c r="M687" s="14">
        <f>IFERROR(IF(OR(J687=0,K687=""),"",IF(E687="Positivo",MAX(K687/J687,0),MAX(J687/K687,0))),"") </f>
        <v/>
      </c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269-2023-06-30</t>
        </is>
      </c>
    </row>
    <row r="688" hidden="1">
      <c r="A688" s="5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01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73" t="n">
        <v>0</v>
      </c>
      <c r="K688" s="9" t="n">
        <v>1.276978417266187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DEC</t>
        </is>
      </c>
      <c r="O688" s="5" t="inlineStr">
        <is>
          <t>DEC</t>
        </is>
      </c>
      <c r="P688" s="5" t="n">
        <v>2</v>
      </c>
      <c r="Q688" s="5" t="n">
        <v>2</v>
      </c>
      <c r="R688" s="5" t="inlineStr">
        <is>
          <t>269-2023-12-31</t>
        </is>
      </c>
    </row>
    <row r="689" hidden="1">
      <c r="A689" s="28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1" t="n">
        <v>45473</v>
      </c>
      <c r="G689" s="5" t="n">
        <v>2024</v>
      </c>
      <c r="H689" s="5" t="inlineStr">
        <is>
          <t>Junio</t>
        </is>
      </c>
      <c r="I689" s="6" t="inlineStr">
        <is>
          <t>2024-1</t>
        </is>
      </c>
      <c r="J689" s="5" t="n">
        <v>0</v>
      </c>
      <c r="K689" s="5" t="n">
        <v>3</v>
      </c>
      <c r="L689" s="7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n"/>
      <c r="O689" s="5" t="n"/>
      <c r="P689" s="5" t="n">
        <v>0</v>
      </c>
      <c r="Q689" s="5" t="n">
        <v>0</v>
      </c>
      <c r="R689" s="5" t="inlineStr">
        <is>
          <t>269-2024-06-30</t>
        </is>
      </c>
    </row>
    <row r="690" hidden="1">
      <c r="A690" s="26" t="n">
        <v>269</v>
      </c>
      <c r="B690" s="5" t="inlineStr">
        <is>
          <t>N de personas promedio por evento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1" t="n">
        <v>45657</v>
      </c>
      <c r="G690" s="5" t="n">
        <v>2024</v>
      </c>
      <c r="H690" s="5" t="inlineStr">
        <is>
          <t>Diciembre</t>
        </is>
      </c>
      <c r="I690" s="6" t="inlineStr">
        <is>
          <t>2024-2</t>
        </is>
      </c>
      <c r="J690" s="5" t="n"/>
      <c r="K690" s="5" t="n">
        <v>1.28</v>
      </c>
      <c r="L690" s="74" t="n"/>
      <c r="M690" s="14" t="n"/>
      <c r="N690" s="5" t="n"/>
      <c r="O690" s="5" t="n"/>
      <c r="P690" s="5" t="n">
        <v>0</v>
      </c>
      <c r="Q690" s="5" t="n">
        <v>0</v>
      </c>
      <c r="R690" s="5" t="inlineStr">
        <is>
          <t>269-2024-12-31</t>
        </is>
      </c>
    </row>
    <row r="691" hidden="1">
      <c r="A691" s="5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101" t="n">
        <v>45838</v>
      </c>
      <c r="G691" s="5" t="n">
        <v>2025</v>
      </c>
      <c r="H691" s="5" t="inlineStr">
        <is>
          <t>Junio</t>
        </is>
      </c>
      <c r="I691" s="6" t="inlineStr">
        <is>
          <t>2025-1</t>
        </is>
      </c>
      <c r="J691" s="5" t="n">
        <v>368</v>
      </c>
      <c r="K691" s="5" t="n">
        <v>1.83</v>
      </c>
      <c r="L691" s="14" t="n"/>
      <c r="M691" s="14" t="n"/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269-2025-06-30</t>
        </is>
      </c>
      <c r="S691" t="inlineStr">
        <is>
          <t>Metrica</t>
        </is>
      </c>
    </row>
    <row r="692" hidden="1">
      <c r="A692" s="5" t="n">
        <v>269</v>
      </c>
      <c r="B692" s="5" t="inlineStr">
        <is>
          <t>N de personas promedio por evento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01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545</v>
      </c>
      <c r="K692" s="5" t="n">
        <v>1.65</v>
      </c>
      <c r="L692" s="14" t="n"/>
      <c r="M692" s="14" t="n"/>
      <c r="N692" s="5" t="inlineStr">
        <is>
          <t>DEC</t>
        </is>
      </c>
      <c r="O692" s="5" t="inlineStr">
        <is>
          <t>DEC</t>
        </is>
      </c>
      <c r="P692" s="5" t="n">
        <v>2</v>
      </c>
      <c r="Q692" s="5" t="n">
        <v>2</v>
      </c>
      <c r="R692" s="5" t="inlineStr">
        <is>
          <t>269-2025-12-31</t>
        </is>
      </c>
      <c r="S692" t="inlineStr">
        <is>
          <t>Metrica</t>
        </is>
      </c>
    </row>
    <row r="693" hidden="1">
      <c r="A693" s="26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01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0</v>
      </c>
      <c r="K693" s="5" t="n">
        <v>6.55</v>
      </c>
      <c r="L693" s="14">
        <f>IFERROR(IF(OR(J693=0,K693=""),"",IF(E693="Positivo",MIN(MAX(K693/J693,0),1.3),MIN(MAX(J693/K693,0),1.3))),"") </f>
        <v/>
      </c>
      <c r="M693" s="14">
        <f>IFERROR(IF(OR(J693=0,K693=""),"",IF(E693="Positivo",MAX(K693/J693,0),MAX(J693/K693,0))),"") </f>
        <v/>
      </c>
      <c r="N693" s="5" t="n"/>
      <c r="O693" s="5" t="n"/>
      <c r="P693" s="5" t="n">
        <v>1</v>
      </c>
      <c r="Q693" s="5" t="n">
        <v>1</v>
      </c>
      <c r="R693" s="5" t="inlineStr">
        <is>
          <t>270-2023-06-30</t>
        </is>
      </c>
    </row>
    <row r="694" hidden="1">
      <c r="A694" s="26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01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3.83</v>
      </c>
      <c r="L694" s="7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n"/>
      <c r="O694" s="5" t="n"/>
      <c r="P694" s="5" t="n">
        <v>1</v>
      </c>
      <c r="Q694" s="5" t="n">
        <v>1</v>
      </c>
      <c r="R694" s="5" t="inlineStr">
        <is>
          <t>270-2023-12-31</t>
        </is>
      </c>
    </row>
    <row r="695" hidden="1">
      <c r="A695" s="5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01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0</v>
      </c>
      <c r="K695" s="5" t="n">
        <v>4.88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270-2024-06-30</t>
        </is>
      </c>
    </row>
    <row r="696" hidden="1">
      <c r="A696" s="26" t="n">
        <v>270</v>
      </c>
      <c r="B696" s="5" t="inlineStr">
        <is>
          <t>N de horas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01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4.57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270-2024-12-31</t>
        </is>
      </c>
    </row>
    <row r="697" hidden="1">
      <c r="A697" s="26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01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5" t="n">
        <v>368</v>
      </c>
      <c r="K697" s="5" t="n">
        <v>4.17</v>
      </c>
      <c r="L697" s="14" t="n"/>
      <c r="M697" s="14" t="n"/>
      <c r="N697" s="5" t="inlineStr">
        <is>
          <t>DEC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270-2025-06-30</t>
        </is>
      </c>
      <c r="S697" t="inlineStr">
        <is>
          <t>Metrica</t>
        </is>
      </c>
    </row>
    <row r="698" hidden="1">
      <c r="A698" s="5" t="n">
        <v>270</v>
      </c>
      <c r="B698" s="5" t="inlineStr">
        <is>
          <t>N de horas promedio por evento - (Metrica)</t>
        </is>
      </c>
      <c r="C698" s="5" t="inlineStr">
        <is>
          <t>Centro de Medios Audiovisuales</t>
        </is>
      </c>
      <c r="D698" s="5" t="inlineStr">
        <is>
          <t>Trimestral</t>
        </is>
      </c>
      <c r="E698" s="5" t="inlineStr">
        <is>
          <t>Positivo</t>
        </is>
      </c>
      <c r="F698" s="101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5" t="n">
        <v>545</v>
      </c>
      <c r="K698" s="5" t="n">
        <v>4.3</v>
      </c>
      <c r="L698" s="14" t="n"/>
      <c r="M698" s="14" t="n"/>
      <c r="N698" s="5" t="inlineStr">
        <is>
          <t>DEC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270-2025-12-31</t>
        </is>
      </c>
      <c r="S698" t="inlineStr">
        <is>
          <t>Metrica</t>
        </is>
      </c>
    </row>
    <row r="699" hidden="1">
      <c r="A699" s="5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01" t="n">
        <v>45107</v>
      </c>
      <c r="G699" s="5" t="n">
        <v>2023</v>
      </c>
      <c r="H699" s="5" t="inlineStr">
        <is>
          <t>Junio</t>
        </is>
      </c>
      <c r="I699" s="6" t="inlineStr">
        <is>
          <t>2023-1</t>
        </is>
      </c>
      <c r="J699" s="5" t="n">
        <v>0</v>
      </c>
      <c r="K699" s="5" t="n">
        <v>63.29113924050633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n"/>
      <c r="O699" s="5" t="n"/>
      <c r="P699" s="5" t="n">
        <v>1</v>
      </c>
      <c r="Q699" s="5" t="n">
        <v>1</v>
      </c>
      <c r="R699" s="5" t="inlineStr">
        <is>
          <t>271-2023-06-30</t>
        </is>
      </c>
    </row>
    <row r="700" hidden="1">
      <c r="A700" s="34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01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0</v>
      </c>
      <c r="K700" s="5" t="n">
        <v>16.17233646643447</v>
      </c>
      <c r="L700" s="7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n"/>
      <c r="O700" s="5" t="n"/>
      <c r="P700" s="5" t="n">
        <v>1</v>
      </c>
      <c r="Q700" s="5" t="n">
        <v>1</v>
      </c>
      <c r="R700" s="5" t="inlineStr">
        <is>
          <t>271-2023-12-31</t>
        </is>
      </c>
    </row>
    <row r="701" hidden="1">
      <c r="A701" s="26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01" t="n">
        <v>45473</v>
      </c>
      <c r="G701" s="5" t="n">
        <v>2024</v>
      </c>
      <c r="H701" s="5" t="inlineStr">
        <is>
          <t>Junio</t>
        </is>
      </c>
      <c r="I701" s="6" t="inlineStr">
        <is>
          <t>2024-1</t>
        </is>
      </c>
      <c r="J701" s="5" t="n">
        <v>0</v>
      </c>
      <c r="K701" s="5" t="n">
        <v>19.39471652327377</v>
      </c>
      <c r="L701" s="7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n"/>
      <c r="O701" s="5" t="n"/>
      <c r="P701" s="5" t="n">
        <v>0</v>
      </c>
      <c r="Q701" s="5" t="n">
        <v>0</v>
      </c>
      <c r="R701" s="5" t="inlineStr">
        <is>
          <t>271-2024-06-30</t>
        </is>
      </c>
    </row>
    <row r="702" hidden="1">
      <c r="A702" s="28" t="n">
        <v>271</v>
      </c>
      <c r="B702" s="5" t="inlineStr">
        <is>
          <t>N de horas por solicitud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01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/>
      <c r="K702" s="5" t="n">
        <v>16.86</v>
      </c>
      <c r="L702" s="74" t="n"/>
      <c r="M702" s="14" t="n"/>
      <c r="N702" s="5" t="n"/>
      <c r="O702" s="5" t="n"/>
      <c r="P702" s="5" t="n">
        <v>0</v>
      </c>
      <c r="Q702" s="5" t="n">
        <v>0</v>
      </c>
      <c r="R702" s="5" t="inlineStr">
        <is>
          <t>271-2024-12-31</t>
        </is>
      </c>
    </row>
    <row r="703" hidden="1">
      <c r="A703" s="26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01" t="n">
        <v>45838</v>
      </c>
      <c r="G703" s="5" t="n">
        <v>2025</v>
      </c>
      <c r="H703" s="5" t="inlineStr">
        <is>
          <t>Junio</t>
        </is>
      </c>
      <c r="I703" s="6" t="inlineStr">
        <is>
          <t>2025-1</t>
        </is>
      </c>
      <c r="J703" s="5" t="n">
        <v>21346</v>
      </c>
      <c r="K703" s="5" t="n">
        <v>23.85</v>
      </c>
      <c r="L703" s="74" t="n"/>
      <c r="M703" s="14" t="n"/>
      <c r="N703" s="5" t="n">
        <v>0</v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271-2025-06-30</t>
        </is>
      </c>
      <c r="S703" t="inlineStr">
        <is>
          <t>Metrica</t>
        </is>
      </c>
    </row>
    <row r="704" hidden="1">
      <c r="A704" s="5" t="n">
        <v>271</v>
      </c>
      <c r="B704" s="5" t="inlineStr">
        <is>
          <t>N de horas por solicitud - (Metrica)</t>
        </is>
      </c>
      <c r="C704" s="5" t="inlineStr">
        <is>
          <t>Centro de Medios Audiovisuales</t>
        </is>
      </c>
      <c r="D704" s="5" t="inlineStr">
        <is>
          <t>Trimestral</t>
        </is>
      </c>
      <c r="E704" s="5" t="inlineStr">
        <is>
          <t>Positivo</t>
        </is>
      </c>
      <c r="F704" s="101" t="n">
        <v>46022</v>
      </c>
      <c r="G704" s="5" t="n">
        <v>2025</v>
      </c>
      <c r="H704" s="5" t="inlineStr">
        <is>
          <t>Diciembre</t>
        </is>
      </c>
      <c r="I704" s="6" t="inlineStr">
        <is>
          <t>2025-2</t>
        </is>
      </c>
      <c r="J704" s="5" t="n">
        <v>30907</v>
      </c>
      <c r="K704" s="5" t="n">
        <v>19.93</v>
      </c>
      <c r="L704" s="14" t="n"/>
      <c r="M704" s="14" t="n"/>
      <c r="N704" s="5" t="n">
        <v>0</v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271-2025-12-31</t>
        </is>
      </c>
      <c r="S704" t="inlineStr">
        <is>
          <t>Metrica</t>
        </is>
      </c>
    </row>
    <row r="705" hidden="1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101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0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n"/>
      <c r="O705" s="5" t="n"/>
      <c r="P705" s="5" t="n">
        <v>0</v>
      </c>
      <c r="Q705" s="5" t="n">
        <v>0</v>
      </c>
      <c r="R705" s="5" t="inlineStr">
        <is>
          <t>272-2023-12-31</t>
        </is>
      </c>
    </row>
    <row r="706" hidden="1">
      <c r="A706" s="26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01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0</v>
      </c>
      <c r="K706" s="5" t="n">
        <v>0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n"/>
      <c r="O706" s="5" t="n"/>
      <c r="P706" s="5" t="n">
        <v>0</v>
      </c>
      <c r="Q706" s="5" t="n">
        <v>0</v>
      </c>
      <c r="R706" s="5" t="inlineStr">
        <is>
          <t>272-2024-12-31</t>
        </is>
      </c>
    </row>
    <row r="707" hidden="1">
      <c r="A707" s="26" t="n">
        <v>272</v>
      </c>
      <c r="B707" s="5" t="inlineStr">
        <is>
          <t>Proporción de accidentes de trabajo mortales</t>
        </is>
      </c>
      <c r="C707" s="5" t="inlineStr">
        <is>
          <t>GESTIÓN DE SEGURIDAD Y SALUD EN EL TRABAJO</t>
        </is>
      </c>
      <c r="D707" s="5" t="inlineStr">
        <is>
          <t>Anual</t>
        </is>
      </c>
      <c r="E707" s="5" t="inlineStr">
        <is>
          <t>Negativo</t>
        </is>
      </c>
      <c r="F707" s="101" t="n">
        <v>46022</v>
      </c>
      <c r="G707" s="5" t="n">
        <v>2025</v>
      </c>
      <c r="H707" s="5" t="inlineStr">
        <is>
          <t>Diciembre</t>
        </is>
      </c>
      <c r="I707" s="6" t="inlineStr">
        <is>
          <t>2025-2</t>
        </is>
      </c>
      <c r="J707" s="5" t="n">
        <v>0</v>
      </c>
      <c r="K707" s="5" t="n">
        <v>0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n">
        <v>0</v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272-2025-12-31</t>
        </is>
      </c>
    </row>
    <row r="708" hidden="1">
      <c r="A708" s="5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101" t="n">
        <v>45107</v>
      </c>
      <c r="G708" s="5" t="n">
        <v>2023</v>
      </c>
      <c r="H708" s="5" t="inlineStr">
        <is>
          <t>Junio</t>
        </is>
      </c>
      <c r="I708" s="6" t="inlineStr">
        <is>
          <t>2023-1</t>
        </is>
      </c>
      <c r="J708" s="5" t="n">
        <v>100</v>
      </c>
      <c r="K708" s="5" t="n">
        <v>100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273-2023-06-30</t>
        </is>
      </c>
    </row>
    <row r="709" hidden="1">
      <c r="A709" s="5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01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100</v>
      </c>
      <c r="K709" s="5" t="n">
        <v>100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273-2023-12-31</t>
        </is>
      </c>
    </row>
    <row r="710" hidden="1">
      <c r="A710" s="5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00" t="n">
        <v>45473</v>
      </c>
      <c r="G710" s="15" t="n">
        <v>2024</v>
      </c>
      <c r="H710" s="6" t="inlineStr">
        <is>
          <t>Junio</t>
        </is>
      </c>
      <c r="I710" s="27" t="inlineStr">
        <is>
          <t>2024-1</t>
        </is>
      </c>
      <c r="J710" s="5" t="n">
        <v>100</v>
      </c>
      <c r="K710" s="5" t="n">
        <v>100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273-2024-06-30</t>
        </is>
      </c>
    </row>
    <row r="711" hidden="1">
      <c r="A711" s="26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01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100</v>
      </c>
      <c r="K711" s="5" t="n">
        <v>100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273-2024-12-31</t>
        </is>
      </c>
    </row>
    <row r="712" hidden="1">
      <c r="A712" s="28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Semestral</t>
        </is>
      </c>
      <c r="E712" s="5" t="inlineStr">
        <is>
          <t>Positivo</t>
        </is>
      </c>
      <c r="F712" s="101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100</v>
      </c>
      <c r="K712" s="5" t="n">
        <v>150</v>
      </c>
      <c r="L712" s="7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273-2025-06-30</t>
        </is>
      </c>
    </row>
    <row r="713" hidden="1">
      <c r="A713" s="26" t="n">
        <v>273</v>
      </c>
      <c r="B713" s="5" t="inlineStr">
        <is>
          <t>Número de programas con condiciones iniciales elaboradas y analizadas institucionalmente</t>
        </is>
      </c>
      <c r="C713" s="5" t="inlineStr">
        <is>
          <t>Autoevaluación de programas académicos</t>
        </is>
      </c>
      <c r="D713" s="5" t="inlineStr">
        <is>
          <t>Trimestral</t>
        </is>
      </c>
      <c r="E713" s="5" t="inlineStr">
        <is>
          <t>Positivo</t>
        </is>
      </c>
      <c r="F713" s="101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100</v>
      </c>
      <c r="K713" s="5" t="n">
        <v>100</v>
      </c>
      <c r="L713" s="7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273-2025-12-31</t>
        </is>
      </c>
    </row>
    <row r="714" hidden="1">
      <c r="A714" s="26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101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100</v>
      </c>
      <c r="K714" s="5" t="n">
        <v>97.85502035108701</v>
      </c>
      <c r="L714" s="7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274-2023-06-30</t>
        </is>
      </c>
    </row>
    <row r="715" hidden="1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01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97.50550081316401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274-2023-12-31</t>
        </is>
      </c>
    </row>
    <row r="716" hidden="1">
      <c r="A716" s="28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01" t="n">
        <v>45473</v>
      </c>
      <c r="G716" s="5" t="n">
        <v>2024</v>
      </c>
      <c r="H716" s="5" t="inlineStr">
        <is>
          <t>Junio</t>
        </is>
      </c>
      <c r="I716" s="6" t="inlineStr">
        <is>
          <t>2024-1</t>
        </is>
      </c>
      <c r="J716" s="5" t="n">
        <v>100</v>
      </c>
      <c r="K716" s="5" t="n">
        <v>102.33930181631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274-2024-06-30</t>
        </is>
      </c>
    </row>
    <row r="717" hidden="1">
      <c r="A717" s="26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01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100</v>
      </c>
      <c r="K717" s="5" t="n">
        <v>101.6087500306545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274-2024-12-31</t>
        </is>
      </c>
    </row>
    <row r="718" hidden="1">
      <c r="A718" s="5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01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100</v>
      </c>
      <c r="K718" s="5" t="n">
        <v>105.8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274-2025-06-30</t>
        </is>
      </c>
    </row>
    <row r="719" hidden="1">
      <c r="A719" s="5" t="n">
        <v>274</v>
      </c>
      <c r="B719" s="5" t="inlineStr">
        <is>
          <t>Cumplimiento total estudiantes antiguos</t>
        </is>
      </c>
      <c r="C719" s="5" t="inlineStr">
        <is>
          <t>Rematrícula</t>
        </is>
      </c>
      <c r="D719" s="5" t="inlineStr">
        <is>
          <t>Semestral</t>
        </is>
      </c>
      <c r="E719" s="5" t="inlineStr">
        <is>
          <t>Positivo</t>
        </is>
      </c>
      <c r="F719" s="101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100</v>
      </c>
      <c r="K719" s="10" t="n">
        <v>102.03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274-2025-12-31</t>
        </is>
      </c>
    </row>
    <row r="720" hidden="1">
      <c r="A720" s="28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Anual</t>
        </is>
      </c>
      <c r="E720" s="5" t="inlineStr">
        <is>
          <t>Positivo</t>
        </is>
      </c>
      <c r="F720" s="101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80</v>
      </c>
      <c r="K720" s="5" t="n">
        <v>0</v>
      </c>
      <c r="L720" s="7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275-2023-12-31</t>
        </is>
      </c>
    </row>
    <row r="721" hidden="1">
      <c r="A721" s="26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101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80</v>
      </c>
      <c r="K721" s="5" t="n">
        <v>103.75</v>
      </c>
      <c r="L721" s="7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275-2024-06-30</t>
        </is>
      </c>
    </row>
    <row r="722" hidden="1">
      <c r="A722" s="5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Semestral</t>
        </is>
      </c>
      <c r="E722" s="5" t="inlineStr">
        <is>
          <t>Positivo</t>
        </is>
      </c>
      <c r="F722" s="101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80</v>
      </c>
      <c r="K722" s="5" t="n">
        <v>109.58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275-2024-12-31</t>
        </is>
      </c>
    </row>
    <row r="723" hidden="1">
      <c r="A723" s="5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101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80</v>
      </c>
      <c r="K723" s="5" t="n">
        <v>90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275-2025-06-30</t>
        </is>
      </c>
    </row>
    <row r="724" hidden="1">
      <c r="A724" s="28" t="n">
        <v>275</v>
      </c>
      <c r="B724" s="5" t="inlineStr">
        <is>
          <t>Satisfacción Institucional por grupo de interes</t>
        </is>
      </c>
      <c r="C724" s="5" t="inlineStr">
        <is>
          <t>EXPERIENCIA INSTITUCIONAL</t>
        </is>
      </c>
      <c r="D724" s="5" t="inlineStr">
        <is>
          <t>Trimestral</t>
        </is>
      </c>
      <c r="E724" s="5" t="inlineStr">
        <is>
          <t>Positivo</t>
        </is>
      </c>
      <c r="F724" s="101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80</v>
      </c>
      <c r="K724" s="5" t="n">
        <v>91.67</v>
      </c>
      <c r="L724" s="7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275-2025-12-31</t>
        </is>
      </c>
    </row>
    <row r="725" hidden="1">
      <c r="A725" s="26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01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85</v>
      </c>
      <c r="K725" s="5" t="n">
        <v>89.98999999999999</v>
      </c>
      <c r="L725" s="7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276-2023-06-30</t>
        </is>
      </c>
    </row>
    <row r="726" hidden="1">
      <c r="A726" s="5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101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85</v>
      </c>
      <c r="K726" s="5" t="n">
        <v>84.5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n"/>
      <c r="O726" s="5" t="n"/>
      <c r="P726" s="5" t="n">
        <v>0</v>
      </c>
      <c r="Q726" s="5" t="n">
        <v>1</v>
      </c>
      <c r="R726" s="5" t="inlineStr">
        <is>
          <t>276-2023-12-31</t>
        </is>
      </c>
    </row>
    <row r="727" hidden="1">
      <c r="A727" s="5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01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75</v>
      </c>
      <c r="K727" s="5" t="n">
        <v>83.65000000000001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1</v>
      </c>
      <c r="R727" s="5" t="inlineStr">
        <is>
          <t>276-2024-06-30</t>
        </is>
      </c>
    </row>
    <row r="728" hidden="1">
      <c r="A728" s="26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Negativo</t>
        </is>
      </c>
      <c r="F728" s="101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75</v>
      </c>
      <c r="K728" s="5" t="n">
        <v>82.68000000000001</v>
      </c>
      <c r="L728" s="7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1</v>
      </c>
      <c r="R728" s="5" t="inlineStr">
        <is>
          <t>276-2024-12-31</t>
        </is>
      </c>
    </row>
    <row r="729" hidden="1">
      <c r="A729" s="5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101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81</v>
      </c>
      <c r="K729" s="5" t="n">
        <v>84.18000000000001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276-2025-06-30</t>
        </is>
      </c>
    </row>
    <row r="730" hidden="1">
      <c r="A730" s="28" t="n">
        <v>276</v>
      </c>
      <c r="B730" s="5" t="inlineStr">
        <is>
          <t>Relación Estudiante-Docente Tiempo completo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Negativo</t>
        </is>
      </c>
      <c r="F730" s="101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81</v>
      </c>
      <c r="K730" s="5" t="n">
        <v>82.81</v>
      </c>
      <c r="L730" s="1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inlineStr">
        <is>
          <t>ENT</t>
        </is>
      </c>
      <c r="O730" s="5" t="inlineStr">
        <is>
          <t>DEC</t>
        </is>
      </c>
      <c r="P730" s="5" t="n">
        <v>0</v>
      </c>
      <c r="Q730" s="5" t="n">
        <v>1</v>
      </c>
      <c r="R730" s="5" t="inlineStr">
        <is>
          <t>276-2025-12-31</t>
        </is>
      </c>
    </row>
    <row r="731" hidden="1">
      <c r="A731" s="26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101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85</v>
      </c>
      <c r="K731" s="5" t="n">
        <v>76.48</v>
      </c>
      <c r="L731" s="14">
        <f>IFERROR(IF(OR(J731=0,K731=""),"",IF(E731="Positivo",MIN(MAX(K731/J731,0),1.3),MIN(MAX(J731/K731,0),1.3))),"") </f>
        <v/>
      </c>
      <c r="M731" s="14">
        <f>IFERROR(IF(OR(J731=0,K731=""),"",IF(E731="Positivo",MAX(K731/J731,0),MAX(J731/K731,0))),"") </f>
        <v/>
      </c>
      <c r="N731" s="5" t="n"/>
      <c r="O731" s="5" t="n"/>
      <c r="P731" s="5" t="n">
        <v>0</v>
      </c>
      <c r="Q731" s="5" t="n">
        <v>1</v>
      </c>
      <c r="R731" s="5" t="inlineStr">
        <is>
          <t>277-2023-06-30</t>
        </is>
      </c>
    </row>
    <row r="732" hidden="1">
      <c r="A732" s="26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101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85</v>
      </c>
      <c r="K732" s="5" t="n">
        <v>73.29000000000001</v>
      </c>
      <c r="L732" s="14">
        <f>IFERROR(IF(OR(J732=0,K732=""),"",IF(E732="Positivo",MIN(MAX(K732/J732,0),1.3),MIN(MAX(J732/K732,0),1.3))),"") </f>
        <v/>
      </c>
      <c r="M732" s="14">
        <f>IFERROR(IF(OR(J732=0,K732=""),"",IF(E732="Positivo",MAX(K732/J732,0),MAX(J732/K732,0))),"") </f>
        <v/>
      </c>
      <c r="N732" s="5" t="n"/>
      <c r="O732" s="5" t="n"/>
      <c r="P732" s="5" t="n">
        <v>0</v>
      </c>
      <c r="Q732" s="5" t="n">
        <v>1</v>
      </c>
      <c r="R732" s="5" t="inlineStr">
        <is>
          <t>277-2023-12-31</t>
        </is>
      </c>
    </row>
    <row r="733" hidden="1">
      <c r="A733" s="5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01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73</v>
      </c>
      <c r="K733" s="5" t="n">
        <v>71.18000000000001</v>
      </c>
      <c r="L733" s="1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1</v>
      </c>
      <c r="R733" s="5" t="inlineStr">
        <is>
          <t>277-2024-06-30</t>
        </is>
      </c>
    </row>
    <row r="734" hidden="1">
      <c r="A734" s="26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01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73</v>
      </c>
      <c r="K734" s="5" t="n">
        <v>71.23999999999999</v>
      </c>
      <c r="L734" s="7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1</v>
      </c>
      <c r="R734" s="5" t="inlineStr">
        <is>
          <t>277-2024-12-31</t>
        </is>
      </c>
    </row>
    <row r="735" hidden="1">
      <c r="A735" s="5" t="n">
        <v>277</v>
      </c>
      <c r="B735" s="5" t="inlineStr">
        <is>
          <t>Relación estudiante docente Tiempo Completo Equivalente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01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71</v>
      </c>
      <c r="K735" s="5" t="n">
        <v>69.39</v>
      </c>
      <c r="L735" s="1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1</v>
      </c>
      <c r="R735" s="5" t="inlineStr">
        <is>
          <t>277-2025-06-30</t>
        </is>
      </c>
    </row>
    <row r="736" hidden="1">
      <c r="A736" s="5" t="n">
        <v>277</v>
      </c>
      <c r="B736" s="5" t="inlineStr">
        <is>
          <t>Relación estudiante docente TCE (Tiempo Completo Equivalente)</t>
        </is>
      </c>
      <c r="C736" s="5" t="inlineStr">
        <is>
          <t>Gestión Docente</t>
        </is>
      </c>
      <c r="D736" s="5" t="inlineStr">
        <is>
          <t>Trimestral</t>
        </is>
      </c>
      <c r="E736" s="5" t="inlineStr">
        <is>
          <t>Negativo</t>
        </is>
      </c>
      <c r="F736" s="101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71</v>
      </c>
      <c r="K736" s="5" t="n">
        <v>68.40000000000001</v>
      </c>
      <c r="L736" s="1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inlineStr">
        <is>
          <t>ENT</t>
        </is>
      </c>
      <c r="O736" s="5" t="inlineStr">
        <is>
          <t>DEC</t>
        </is>
      </c>
      <c r="P736" s="5" t="n">
        <v>1</v>
      </c>
      <c r="Q736" s="5" t="n">
        <v>1</v>
      </c>
      <c r="R736" s="5" t="inlineStr">
        <is>
          <t>277-2025-12-31</t>
        </is>
      </c>
    </row>
    <row r="737" hidden="1">
      <c r="A737" s="28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01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>
        <v>0</v>
      </c>
      <c r="K737" s="5" t="n">
        <v>0</v>
      </c>
      <c r="L737" s="74">
        <f>IFERROR(IF(OR(J737=0,K737=""),"",IF(E737="Positivo",MIN(MAX(K737/J737,0),1.3),MIN(MAX(J737/K737,0),1.3))),"") </f>
        <v/>
      </c>
      <c r="M737" s="14">
        <f>IFERROR(IF(OR(J737=0,K737=""),"",IF(E737="Positivo",MAX(K737/J737,0),MAX(J737/K737,0))),"") </f>
        <v/>
      </c>
      <c r="N737" s="5" t="n"/>
      <c r="O737" s="5" t="n"/>
      <c r="P737" s="5" t="n">
        <v>0</v>
      </c>
      <c r="Q737" s="5" t="n">
        <v>0</v>
      </c>
      <c r="R737" s="5" t="inlineStr">
        <is>
          <t>278-2023-06-30</t>
        </is>
      </c>
    </row>
    <row r="738" hidden="1">
      <c r="A738" s="26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01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0</v>
      </c>
      <c r="K738" s="5" t="n">
        <v>1017</v>
      </c>
      <c r="L738" s="74">
        <f>IFERROR(IF(OR(J738=0,K738=""),"",IF(E738="Positivo",MIN(MAX(K738/J738,0),1.3),MIN(MAX(J738/K738,0),1.3))),"") </f>
        <v/>
      </c>
      <c r="M738" s="14">
        <f>IFERROR(IF(OR(J738=0,K738=""),"",IF(E738="Positivo",MAX(K738/J738,0),MAX(J738/K738,0))),"") </f>
        <v/>
      </c>
      <c r="N738" s="5" t="n"/>
      <c r="O738" s="5" t="n"/>
      <c r="P738" s="5" t="n">
        <v>0</v>
      </c>
      <c r="Q738" s="5" t="n">
        <v>0</v>
      </c>
      <c r="R738" s="5" t="inlineStr">
        <is>
          <t>278-2023-12-31</t>
        </is>
      </c>
    </row>
    <row r="739" hidden="1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01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0</v>
      </c>
      <c r="K739" s="5" t="n">
        <v>1080</v>
      </c>
      <c r="L739" s="1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0</v>
      </c>
      <c r="R739" s="5" t="inlineStr">
        <is>
          <t>278-2024-06-30</t>
        </is>
      </c>
    </row>
    <row r="740" hidden="1">
      <c r="A740" s="5" t="n">
        <v>278</v>
      </c>
      <c r="B740" s="5" t="inlineStr">
        <is>
          <t>Docentes contratados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01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0</v>
      </c>
      <c r="K740" s="5" t="n">
        <v>1018</v>
      </c>
      <c r="L740" s="1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n"/>
      <c r="O740" s="5" t="n"/>
      <c r="P740" s="5" t="n">
        <v>0</v>
      </c>
      <c r="Q740" s="5" t="n">
        <v>0</v>
      </c>
      <c r="R740" s="5" t="inlineStr">
        <is>
          <t>278-2024-12-31</t>
        </is>
      </c>
    </row>
    <row r="741" hidden="1">
      <c r="A741" s="5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100" t="n">
        <v>45838</v>
      </c>
      <c r="G741" s="15" t="n">
        <v>2025</v>
      </c>
      <c r="H741" s="6" t="inlineStr">
        <is>
          <t>Junio</t>
        </is>
      </c>
      <c r="I741" s="27" t="inlineStr">
        <is>
          <t>2025-1</t>
        </is>
      </c>
      <c r="J741" s="5" t="n"/>
      <c r="K741" s="5" t="n">
        <v>1099</v>
      </c>
      <c r="L741" s="14" t="n"/>
      <c r="M741" s="14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278-2025-06-30</t>
        </is>
      </c>
      <c r="S741" t="inlineStr">
        <is>
          <t>Metrica</t>
        </is>
      </c>
    </row>
    <row r="742" hidden="1">
      <c r="A742" s="26" t="n">
        <v>278</v>
      </c>
      <c r="B742" s="5" t="inlineStr">
        <is>
          <t>Docentes contratados - Metrica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01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/>
      <c r="K742" s="5" t="n">
        <v>1071</v>
      </c>
      <c r="L742" s="14" t="n"/>
      <c r="M742" s="14" t="n"/>
      <c r="N742" s="5" t="inlineStr">
        <is>
          <t>Metrica</t>
        </is>
      </c>
      <c r="O742" s="5" t="inlineStr">
        <is>
          <t>Metrica</t>
        </is>
      </c>
      <c r="P742" s="5" t="n">
        <v>0</v>
      </c>
      <c r="Q742" s="5" t="n">
        <v>0</v>
      </c>
      <c r="R742" s="5" t="inlineStr">
        <is>
          <t>278-2025-12-31</t>
        </is>
      </c>
      <c r="S742" t="inlineStr">
        <is>
          <t>Metrica</t>
        </is>
      </c>
    </row>
    <row r="743" hidden="1">
      <c r="A743" s="5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01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0</v>
      </c>
      <c r="K743" s="10" t="n">
        <v>572</v>
      </c>
      <c r="L743" s="14">
        <f>IFERROR(IF(OR(J743=0,K743=""),"",IF(E743="Positivo",MIN(MAX(K743/J743,0),1.3),MIN(MAX(J743/K743,0),1.3))),"") </f>
        <v/>
      </c>
      <c r="M743" s="14">
        <f>IFERROR(IF(OR(J743=0,K743=""),"",IF(E743="Positivo",MAX(K743/J743,0),MAX(J743/K743,0))),"") </f>
        <v/>
      </c>
      <c r="N743" s="5" t="n"/>
      <c r="O743" s="5" t="n"/>
      <c r="P743" s="5" t="n">
        <v>0</v>
      </c>
      <c r="Q743" s="5" t="n">
        <v>0</v>
      </c>
      <c r="R743" s="5" t="inlineStr">
        <is>
          <t>279-2023-06-30</t>
        </is>
      </c>
    </row>
    <row r="744" hidden="1">
      <c r="A744" s="5" t="n">
        <v>279</v>
      </c>
      <c r="B744" s="5" t="inlineStr">
        <is>
          <t>Docentes tiempo completo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01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0</v>
      </c>
      <c r="K744" s="10" t="n">
        <v>608</v>
      </c>
      <c r="L744" s="14">
        <f>IFERROR(IF(OR(J744=0,K744=""),"",IF(E744="Positivo",MIN(MAX(K744/J744,0),1.3),MIN(MAX(J744/K744,0),1.3))),"") </f>
        <v/>
      </c>
      <c r="M744" s="14">
        <f>IFERROR(IF(OR(J744=0,K744=""),"",IF(E744="Positivo",MAX(K744/J744,0),MAX(J744/K744,0))),"") </f>
        <v/>
      </c>
      <c r="N744" s="5" t="n"/>
      <c r="O744" s="5" t="n"/>
      <c r="P744" s="5" t="n">
        <v>0</v>
      </c>
      <c r="Q744" s="5" t="n">
        <v>0</v>
      </c>
      <c r="R744" s="5" t="inlineStr">
        <is>
          <t>279-2023-12-31</t>
        </is>
      </c>
    </row>
    <row r="745" hidden="1">
      <c r="A745" s="26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1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203</v>
      </c>
      <c r="L745" s="74">
        <f>IFERROR(IF(OR(J745=0,K745=""),"",IF(E745="Positivo",MIN(MAX(K745/J745,0),1.3),MIN(MAX(J745/K745,0),1.3))),"") </f>
        <v/>
      </c>
      <c r="M745" s="14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0</v>
      </c>
      <c r="R745" s="5" t="inlineStr">
        <is>
          <t>280-2023-06-30</t>
        </is>
      </c>
    </row>
    <row r="746" hidden="1">
      <c r="A746" s="26" t="n">
        <v>280</v>
      </c>
      <c r="B746" s="5" t="inlineStr">
        <is>
          <t>Docentes medio tiempo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1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186</v>
      </c>
      <c r="L746" s="74">
        <f>IFERROR(IF(OR(J746=0,K746=""),"",IF(E746="Positivo",MIN(MAX(K746/J746,0),1.3),MIN(MAX(J746/K746,0),1.3))),"") </f>
        <v/>
      </c>
      <c r="M746" s="14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0</v>
      </c>
      <c r="R746" s="5" t="inlineStr">
        <is>
          <t>280-2023-12-31</t>
        </is>
      </c>
    </row>
    <row r="747" hidden="1">
      <c r="A747" s="5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1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/>
      <c r="K747" s="5" t="n">
        <v>240</v>
      </c>
      <c r="L747" s="14" t="n"/>
      <c r="M747" s="14" t="n"/>
      <c r="N747" s="5" t="n"/>
      <c r="O747" s="5" t="n"/>
      <c r="P747" s="5" t="n">
        <v>0</v>
      </c>
      <c r="Q747" s="5" t="n">
        <v>0</v>
      </c>
      <c r="R747" s="5" t="inlineStr">
        <is>
          <t>281-2023-06-30</t>
        </is>
      </c>
    </row>
    <row r="748" hidden="1">
      <c r="A748" s="26" t="n">
        <v>281</v>
      </c>
      <c r="B748" s="5" t="inlineStr">
        <is>
          <t>Docentes cátedra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1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/>
      <c r="K748" s="5" t="n">
        <v>223</v>
      </c>
      <c r="L748" s="74" t="n"/>
      <c r="M748" s="14" t="n"/>
      <c r="N748" s="5" t="n"/>
      <c r="O748" s="5" t="n"/>
      <c r="P748" s="5" t="n">
        <v>0</v>
      </c>
      <c r="Q748" s="5" t="n">
        <v>0</v>
      </c>
      <c r="R748" s="5" t="inlineStr">
        <is>
          <t>281-2023-12-31</t>
        </is>
      </c>
    </row>
    <row r="749" hidden="1">
      <c r="A749" s="26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1" t="n">
        <v>45107</v>
      </c>
      <c r="G749" s="5" t="n">
        <v>2023</v>
      </c>
      <c r="H749" s="5" t="inlineStr">
        <is>
          <t>Junio</t>
        </is>
      </c>
      <c r="I749" s="6" t="inlineStr">
        <is>
          <t>2023-1</t>
        </is>
      </c>
      <c r="J749" s="5" t="n">
        <v>96</v>
      </c>
      <c r="K749" s="5" t="n">
        <v>97.02</v>
      </c>
      <c r="L749" s="74">
        <f>IFERROR(IF(OR(J749=0,K749=""),"",IF(E749="Positivo",MIN(MAX(K749/J749,0),1.3),MIN(MAX(J749/K749,0),1.3))),"") </f>
        <v/>
      </c>
      <c r="M749" s="14">
        <f>IFERROR(IF(OR(J749=0,K749=""),"",IF(E749="Positivo",MAX(K749/J749,0),MAX(J749/K749,0))),"") 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282-2023-06-30</t>
        </is>
      </c>
    </row>
    <row r="750" hidden="1">
      <c r="A750" s="26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01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96</v>
      </c>
      <c r="K750" s="5" t="n">
        <v>97.34</v>
      </c>
      <c r="L750" s="74">
        <f>IFERROR(IF(OR(J750=0,K750=""),"",IF(E750="Positivo",MIN(MAX(K750/J750,0),1.3),MIN(MAX(J750/K750,0),1.3))),"") </f>
        <v/>
      </c>
      <c r="M750" s="14">
        <f>IFERROR(IF(OR(J750=0,K750=""),"",IF(E750="Positivo",MAX(K750/J750,0),MAX(J750/K750,0))),"") 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282-2023-12-31</t>
        </is>
      </c>
    </row>
    <row r="751" hidden="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1" t="n">
        <v>45473</v>
      </c>
      <c r="G751" s="5" t="n">
        <v>2024</v>
      </c>
      <c r="H751" s="5" t="inlineStr">
        <is>
          <t>Junio</t>
        </is>
      </c>
      <c r="I751" s="6" t="inlineStr">
        <is>
          <t>2024-1</t>
        </is>
      </c>
      <c r="J751" s="5" t="n">
        <v>97</v>
      </c>
      <c r="K751" s="5" t="n">
        <v>97.02</v>
      </c>
      <c r="L751" s="14">
        <f>IFERROR(IF(OR(J751=0,K751=""),"",IF(E751="Positivo",MIN(MAX(K751/J751,0),1.3),MIN(MAX(J751/K751,0),1.3))),"") </f>
        <v/>
      </c>
      <c r="M751" s="14">
        <f>IFERROR(IF(OR(J751=0,K751=""),"",IF(E751="Positivo",MAX(K751/J751,0),MAX(J751/K751,0))),"") 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282-2024-06-30</t>
        </is>
      </c>
    </row>
    <row r="752" hidden="1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1" t="n">
        <v>45657</v>
      </c>
      <c r="G752" s="5" t="n">
        <v>2024</v>
      </c>
      <c r="H752" s="5" t="inlineStr">
        <is>
          <t>Diciembre</t>
        </is>
      </c>
      <c r="I752" s="6" t="inlineStr">
        <is>
          <t>2024-2</t>
        </is>
      </c>
      <c r="J752" s="5" t="n">
        <v>97</v>
      </c>
      <c r="K752" s="5" t="n">
        <v>96.84</v>
      </c>
      <c r="L752" s="14">
        <f>IFERROR(IF(OR(J752=0,K752=""),"",IF(E752="Positivo",MIN(MAX(K752/J752,0),1.3),MIN(MAX(J752/K752,0),1.3))),"") </f>
        <v/>
      </c>
      <c r="M752" s="14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282-2024-12-31</t>
        </is>
      </c>
    </row>
    <row r="753" hidden="1">
      <c r="A753" s="5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0" t="n">
        <v>45838</v>
      </c>
      <c r="G753" s="15" t="n">
        <v>2025</v>
      </c>
      <c r="H753" s="6" t="inlineStr">
        <is>
          <t>Junio</t>
        </is>
      </c>
      <c r="I753" s="27" t="inlineStr">
        <is>
          <t>2025-1</t>
        </is>
      </c>
      <c r="J753" s="5" t="n">
        <v>97</v>
      </c>
      <c r="K753" s="5" t="n">
        <v>97.41</v>
      </c>
      <c r="L753" s="14">
        <f>IFERROR(IF(OR(J753=0,K753=""),"",IF(E753="Positivo",MIN(MAX(K753/J753,0),1.3),MIN(MAX(J753/K753,0),1.3))),"") </f>
        <v/>
      </c>
      <c r="M753" s="14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282-2025-06-30</t>
        </is>
      </c>
    </row>
    <row r="754" hidden="1">
      <c r="A754" s="26" t="n">
        <v>282</v>
      </c>
      <c r="B754" s="5" t="inlineStr">
        <is>
          <t>Docentes evaluados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01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>
        <v>97</v>
      </c>
      <c r="K754" s="5" t="n">
        <v>97.56</v>
      </c>
      <c r="L754" s="14">
        <f>IFERROR(IF(OR(J754=0,K754=""),"",IF(E754="Positivo",MIN(MAX(K754/J754,0),1.3),MIN(MAX(J754/K754,0),1.3))),"") </f>
        <v/>
      </c>
      <c r="M754" s="14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282-2025-12-31</t>
        </is>
      </c>
    </row>
    <row r="755" hidden="1">
      <c r="A755" s="5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0" t="n">
        <v>45107</v>
      </c>
      <c r="G755" s="15" t="n">
        <v>2023</v>
      </c>
      <c r="H755" s="6" t="inlineStr">
        <is>
          <t>Junio</t>
        </is>
      </c>
      <c r="I755" s="6" t="inlineStr">
        <is>
          <t>2023-1</t>
        </is>
      </c>
      <c r="J755" s="5" t="n">
        <v>4.5</v>
      </c>
      <c r="K755" s="5" t="n">
        <v>4.6</v>
      </c>
      <c r="L755" s="14">
        <f>IFERROR(IF(OR(J755=0,K755=""),"",IF(E755="Positivo",MIN(MAX(K755/J755,0),1.3),MIN(MAX(J755/K755,0),1.3))),"") </f>
        <v/>
      </c>
      <c r="M755" s="14">
        <f>IFERROR(IF(OR(J755=0,K755=""),"",IF(E755="Positivo",MAX(K755/J755,0),MAX(J755/K755,0))),"") </f>
        <v/>
      </c>
      <c r="N755" s="5" t="n"/>
      <c r="O755" s="5" t="n"/>
      <c r="P755" s="5" t="n">
        <v>2</v>
      </c>
      <c r="Q755" s="5" t="n">
        <v>2</v>
      </c>
      <c r="R755" s="5" t="inlineStr">
        <is>
          <t>283-2023-06-30</t>
        </is>
      </c>
    </row>
    <row r="756" hidden="1">
      <c r="A756" s="5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1" t="n">
        <v>45291</v>
      </c>
      <c r="G756" s="15" t="n">
        <v>2023</v>
      </c>
      <c r="H756" s="6" t="inlineStr">
        <is>
          <t>Diciembre</t>
        </is>
      </c>
      <c r="I756" s="6" t="inlineStr">
        <is>
          <t>2023-2</t>
        </is>
      </c>
      <c r="J756" s="5" t="n">
        <v>4.5</v>
      </c>
      <c r="K756" s="5" t="n">
        <v>4.55</v>
      </c>
      <c r="L756" s="14">
        <f>IFERROR(IF(OR(J756=0,K756=""),"",IF(E756="Positivo",MIN(MAX(K756/J756,0),1.3),MIN(MAX(J756/K756,0),1.3))),"") </f>
        <v/>
      </c>
      <c r="M756" s="14">
        <f>IFERROR(IF(OR(J756=0,K756=""),"",IF(E756="Positivo",MAX(K756/J756,0),MAX(J756/K756,0))),"") </f>
        <v/>
      </c>
      <c r="N756" s="5" t="n"/>
      <c r="O756" s="5" t="n"/>
      <c r="P756" s="5" t="n">
        <v>2</v>
      </c>
      <c r="Q756" s="5" t="n">
        <v>2</v>
      </c>
      <c r="R756" s="5" t="inlineStr">
        <is>
          <t>283-2023-12-31</t>
        </is>
      </c>
    </row>
    <row r="757" hidden="1">
      <c r="A757" s="28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1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4.5</v>
      </c>
      <c r="K757" s="5" t="n">
        <v>4.57</v>
      </c>
      <c r="L757" s="74">
        <f>IFERROR(IF(OR(J757=0,K757=""),"",IF(E757="Positivo",MIN(MAX(K757/J757,0),1.3),MIN(MAX(J757/K757,0),1.3))),"") </f>
        <v/>
      </c>
      <c r="M757" s="14">
        <f>IFERROR(IF(OR(J757=0,K757=""),"",IF(E757="Positivo",MAX(K757/J757,0),MAX(J757/K757,0))),"") </f>
        <v/>
      </c>
      <c r="N757" s="5" t="n"/>
      <c r="O757" s="5" t="n"/>
      <c r="P757" s="5" t="n">
        <v>0</v>
      </c>
      <c r="Q757" s="5" t="n">
        <v>0</v>
      </c>
      <c r="R757" s="5" t="inlineStr">
        <is>
          <t>283-2024-06-30</t>
        </is>
      </c>
    </row>
    <row r="758" hidden="1">
      <c r="A758" s="26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01" t="n">
        <v>45657</v>
      </c>
      <c r="G758" s="5" t="n">
        <v>2024</v>
      </c>
      <c r="H758" s="5" t="inlineStr">
        <is>
          <t>Diciembre</t>
        </is>
      </c>
      <c r="I758" s="6" t="inlineStr">
        <is>
          <t>2024-2</t>
        </is>
      </c>
      <c r="J758" s="5" t="n">
        <v>4.5</v>
      </c>
      <c r="K758" s="5" t="n">
        <v>4.64</v>
      </c>
      <c r="L758" s="74">
        <f>IFERROR(IF(OR(J758=0,K758=""),"",IF(E758="Positivo",MIN(MAX(K758/J758,0),1.3),MIN(MAX(J758/K758,0),1.3))),"") </f>
        <v/>
      </c>
      <c r="M758" s="14">
        <f>IFERROR(IF(OR(J758=0,K758=""),"",IF(E758="Positivo",MAX(K758/J758,0),MAX(J758/K758,0))),"") </f>
        <v/>
      </c>
      <c r="N758" s="5" t="n"/>
      <c r="O758" s="5" t="n"/>
      <c r="P758" s="5" t="n">
        <v>0</v>
      </c>
      <c r="Q758" s="5" t="n">
        <v>0</v>
      </c>
      <c r="R758" s="5" t="inlineStr">
        <is>
          <t>283-2024-12-31</t>
        </is>
      </c>
    </row>
    <row r="759" hidden="1">
      <c r="A759" s="28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1" t="n">
        <v>45838</v>
      </c>
      <c r="G759" s="5" t="n">
        <v>2025</v>
      </c>
      <c r="H759" s="5" t="inlineStr">
        <is>
          <t>Junio</t>
        </is>
      </c>
      <c r="I759" s="6" t="inlineStr">
        <is>
          <t>2025-1</t>
        </is>
      </c>
      <c r="J759" s="73" t="n">
        <v>4.6</v>
      </c>
      <c r="K759" s="9" t="n">
        <v>4.66</v>
      </c>
      <c r="L759" s="74">
        <f>IFERROR(IF(OR(J759=0,K759=""),"",IF(E759="Positivo",MIN(MAX(K759/J759,0),1.3),MIN(MAX(J759/K759,0),1.3))),"") </f>
        <v/>
      </c>
      <c r="M759" s="14">
        <f>IFERROR(IF(OR(J759=0,K759=""),"",IF(E759="Positivo",MAX(K759/J759,0),MAX(J759/K759,0))),"") </f>
        <v/>
      </c>
      <c r="N759" s="5" t="inlineStr">
        <is>
          <t>DEC</t>
        </is>
      </c>
      <c r="O759" s="5" t="inlineStr">
        <is>
          <t>DEC</t>
        </is>
      </c>
      <c r="P759" s="5" t="n">
        <v>0</v>
      </c>
      <c r="Q759" s="5" t="n">
        <v>0</v>
      </c>
      <c r="R759" s="5" t="inlineStr">
        <is>
          <t>283-2025-06-30</t>
        </is>
      </c>
    </row>
    <row r="760" hidden="1">
      <c r="A760" s="26" t="n">
        <v>283</v>
      </c>
      <c r="B760" s="5" t="inlineStr">
        <is>
          <t>Resultado evaluación docente</t>
        </is>
      </c>
      <c r="C760" s="5" t="inlineStr">
        <is>
          <t>Gestión Docente</t>
        </is>
      </c>
      <c r="D760" s="5" t="inlineStr">
        <is>
          <t>Trimestral</t>
        </is>
      </c>
      <c r="E760" s="5" t="inlineStr">
        <is>
          <t>Positivo</t>
        </is>
      </c>
      <c r="F760" s="101" t="n">
        <v>46022</v>
      </c>
      <c r="G760" s="5" t="n">
        <v>2025</v>
      </c>
      <c r="H760" s="5" t="inlineStr">
        <is>
          <t>Diciembre</t>
        </is>
      </c>
      <c r="I760" s="6" t="inlineStr">
        <is>
          <t>2025-2</t>
        </is>
      </c>
      <c r="J760" s="73" t="n">
        <v>4.6</v>
      </c>
      <c r="K760" s="9" t="n">
        <v>4.67</v>
      </c>
      <c r="L760" s="74">
        <f>IFERROR(IF(OR(J760=0,K760=""),"",IF(E760="Positivo",MIN(MAX(K760/J760,0),1.3),MIN(MAX(J760/K760,0),1.3))),"") </f>
        <v/>
      </c>
      <c r="M760" s="14">
        <f>IFERROR(IF(OR(J760=0,K760=""),"",IF(E760="Positivo",MAX(K760/J760,0),MAX(J760/K760,0))),"") </f>
        <v/>
      </c>
      <c r="N760" s="5" t="inlineStr">
        <is>
          <t>DEC</t>
        </is>
      </c>
      <c r="O760" s="5" t="inlineStr">
        <is>
          <t>DEC</t>
        </is>
      </c>
      <c r="P760" s="5" t="n">
        <v>1</v>
      </c>
      <c r="Q760" s="5" t="n">
        <v>2</v>
      </c>
      <c r="R760" s="5" t="inlineStr">
        <is>
          <t>283-2025-12-31</t>
        </is>
      </c>
    </row>
    <row r="761" hidden="1">
      <c r="A761" s="5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1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/>
      <c r="K761" s="11" t="n">
        <v>15047</v>
      </c>
      <c r="L761" s="14" t="n"/>
      <c r="M761" s="14" t="n"/>
      <c r="N761" s="5" t="n"/>
      <c r="O761" s="5" t="n"/>
      <c r="P761" s="5" t="n">
        <v>0</v>
      </c>
      <c r="Q761" s="5" t="n">
        <v>0</v>
      </c>
      <c r="R761" s="5" t="inlineStr">
        <is>
          <t>284-2023-06-30</t>
        </is>
      </c>
    </row>
    <row r="762" hidden="1">
      <c r="A762" s="5" t="n">
        <v>284</v>
      </c>
      <c r="B762" s="5" t="inlineStr">
        <is>
          <t>Número Horas semanales docentes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1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/>
      <c r="K762" s="5" t="n">
        <v>16281</v>
      </c>
      <c r="L762" s="14" t="n"/>
      <c r="M762" s="14" t="n"/>
      <c r="N762" s="5" t="n"/>
      <c r="O762" s="5" t="n"/>
      <c r="P762" s="5" t="n">
        <v>0</v>
      </c>
      <c r="Q762" s="5" t="n">
        <v>0</v>
      </c>
      <c r="R762" s="5" t="inlineStr">
        <is>
          <t>284-2023-12-31</t>
        </is>
      </c>
    </row>
    <row r="763" hidden="1">
      <c r="A763" s="28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01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>
        <v>100</v>
      </c>
      <c r="K763" s="5" t="n">
        <v>100</v>
      </c>
      <c r="L763" s="74">
        <f>IFERROR(IF(OR(J763=0,K763=""),"",IF(E763="Positivo",MIN(MAX(K763/J763,0),1.3),MIN(MAX(J763/K763,0),1.3))),"") </f>
        <v/>
      </c>
      <c r="M763" s="14">
        <f>IFERROR(IF(OR(J763=0,K763=""),"",IF(E763="Positivo",MAX(K763/J763,0),MAX(J763/K763,0))),"") 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285-2023-06-30</t>
        </is>
      </c>
    </row>
    <row r="764" hidden="1">
      <c r="A764" s="26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01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100</v>
      </c>
      <c r="K764" s="5" t="n">
        <v>100</v>
      </c>
      <c r="L764" s="74">
        <f>IFERROR(IF(OR(J764=0,K764=""),"",IF(E764="Positivo",MIN(MAX(K764/J764,0),1.3),MIN(MAX(J764/K764,0),1.3))),"") </f>
        <v/>
      </c>
      <c r="M764" s="14">
        <f>IFERROR(IF(OR(J764=0,K764=""),"",IF(E764="Positivo",MAX(K764/J764,0),MAX(J764/K764,0))),"") 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285-2023-12-31</t>
        </is>
      </c>
    </row>
    <row r="765" hidden="1">
      <c r="A765" s="5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1" t="n">
        <v>45473</v>
      </c>
      <c r="G765" s="5" t="n">
        <v>2024</v>
      </c>
      <c r="H765" s="5" t="inlineStr">
        <is>
          <t>Junio</t>
        </is>
      </c>
      <c r="I765" s="6" t="inlineStr">
        <is>
          <t>2024-1</t>
        </is>
      </c>
      <c r="J765" s="5" t="n">
        <v>100</v>
      </c>
      <c r="K765" s="5" t="n">
        <v>100</v>
      </c>
      <c r="L765" s="14">
        <f>IFERROR(IF(OR(J765=0,K765=""),"",IF(E765="Positivo",MIN(MAX(K765/J765,0),1.3),MIN(MAX(J765/K765,0),1.3))),"") </f>
        <v/>
      </c>
      <c r="M765" s="14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285-2024-06-30</t>
        </is>
      </c>
    </row>
    <row r="766" hidden="1">
      <c r="A766" s="5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1" t="n">
        <v>45657</v>
      </c>
      <c r="G766" s="5" t="n">
        <v>2024</v>
      </c>
      <c r="H766" s="5" t="inlineStr">
        <is>
          <t>Diciembre</t>
        </is>
      </c>
      <c r="I766" s="6" t="inlineStr">
        <is>
          <t>2024-2</t>
        </is>
      </c>
      <c r="J766" s="5" t="n">
        <v>100</v>
      </c>
      <c r="K766" s="5" t="n">
        <v>100</v>
      </c>
      <c r="L766" s="14">
        <f>IFERROR(IF(OR(J766=0,K766=""),"",IF(E766="Positivo",MIN(MAX(K766/J766,0),1.3),MIN(MAX(J766/K766,0),1.3))),"") </f>
        <v/>
      </c>
      <c r="M766" s="14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285-2024-12-31</t>
        </is>
      </c>
    </row>
    <row r="767" hidden="1">
      <c r="A767" s="34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1" t="n">
        <v>45838</v>
      </c>
      <c r="G767" s="5" t="n">
        <v>2025</v>
      </c>
      <c r="H767" s="5" t="inlineStr">
        <is>
          <t>Junio</t>
        </is>
      </c>
      <c r="I767" s="6" t="inlineStr">
        <is>
          <t>2025-1</t>
        </is>
      </c>
      <c r="J767" s="5" t="n">
        <v>100</v>
      </c>
      <c r="K767" s="5" t="n">
        <v>100</v>
      </c>
      <c r="L767" s="74">
        <f>IFERROR(IF(OR(J767=0,K767=""),"",IF(E767="Positivo",MIN(MAX(K767/J767,0),1.3),MIN(MAX(J767/K767,0),1.3))),"") </f>
        <v/>
      </c>
      <c r="M767" s="14">
        <f>IFERROR(IF(OR(J767=0,K767=""),"",IF(E767="Positivo",MAX(K767/J767,0),MAX(J767/K767,0))),"") 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285-2025-06-30</t>
        </is>
      </c>
    </row>
    <row r="768" hidden="1">
      <c r="A768" s="26" t="n">
        <v>285</v>
      </c>
      <c r="B768" s="5" t="inlineStr">
        <is>
          <t>Docentes con plan de trabajo asignado</t>
        </is>
      </c>
      <c r="C768" s="5" t="inlineStr">
        <is>
          <t>Gestión Docente</t>
        </is>
      </c>
      <c r="D768" s="5" t="inlineStr">
        <is>
          <t>Trimestral</t>
        </is>
      </c>
      <c r="E768" s="5" t="inlineStr">
        <is>
          <t>Positivo</t>
        </is>
      </c>
      <c r="F768" s="101" t="n">
        <v>46022</v>
      </c>
      <c r="G768" s="5" t="n">
        <v>2025</v>
      </c>
      <c r="H768" s="5" t="inlineStr">
        <is>
          <t>Diciembre</t>
        </is>
      </c>
      <c r="I768" s="6" t="inlineStr">
        <is>
          <t>2025-2</t>
        </is>
      </c>
      <c r="J768" s="5" t="n">
        <v>100</v>
      </c>
      <c r="K768" s="5" t="n">
        <v>100</v>
      </c>
      <c r="L768" s="74">
        <f>IFERROR(IF(OR(J768=0,K768=""),"",IF(E768="Positivo",MIN(MAX(K768/J768,0),1.3),MIN(MAX(J768/K768,0),1.3))),"") </f>
        <v/>
      </c>
      <c r="M768" s="14">
        <f>IFERROR(IF(OR(J768=0,K768=""),"",IF(E768="Positivo",MAX(K768/J768,0),MAX(J768/K768,0))),"") 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 t="inlineStr">
        <is>
          <t>285-2025-12-31</t>
        </is>
      </c>
    </row>
    <row r="769" hidden="1">
      <c r="A769" s="28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01" t="n">
        <v>45107</v>
      </c>
      <c r="G769" s="5" t="n">
        <v>2023</v>
      </c>
      <c r="H769" s="5" t="inlineStr">
        <is>
          <t>Junio</t>
        </is>
      </c>
      <c r="I769" s="6" t="inlineStr">
        <is>
          <t>2023-1</t>
        </is>
      </c>
      <c r="J769" s="5" t="n"/>
      <c r="K769" s="5" t="n">
        <v>0</v>
      </c>
      <c r="L769" s="74" t="n"/>
      <c r="M769" s="14" t="n"/>
      <c r="N769" s="5" t="n"/>
      <c r="O769" s="5" t="n"/>
      <c r="P769" s="5" t="n">
        <v>0</v>
      </c>
      <c r="Q769" s="5" t="n">
        <v>0</v>
      </c>
      <c r="R769" s="5" t="inlineStr">
        <is>
          <t>286-2023-06-30</t>
        </is>
      </c>
    </row>
    <row r="770" hidden="1">
      <c r="A770" s="26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01" t="n">
        <v>45291</v>
      </c>
      <c r="G770" s="5" t="n">
        <v>2023</v>
      </c>
      <c r="H770" s="5" t="inlineStr">
        <is>
          <t>Diciembre</t>
        </is>
      </c>
      <c r="I770" s="6" t="inlineStr">
        <is>
          <t>2023-2</t>
        </is>
      </c>
      <c r="J770" s="5" t="n"/>
      <c r="K770" s="5" t="n">
        <v>1017</v>
      </c>
      <c r="L770" s="74" t="n"/>
      <c r="M770" s="14" t="n"/>
      <c r="N770" s="5" t="n"/>
      <c r="O770" s="5" t="n"/>
      <c r="P770" s="5" t="n">
        <v>0</v>
      </c>
      <c r="Q770" s="5" t="n">
        <v>0</v>
      </c>
      <c r="R770" s="5" t="inlineStr">
        <is>
          <t>286-2023-12-31</t>
        </is>
      </c>
    </row>
    <row r="771" hidden="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01" t="n">
        <v>45473</v>
      </c>
      <c r="G771" s="5" t="n">
        <v>2024</v>
      </c>
      <c r="H771" s="5" t="inlineStr">
        <is>
          <t>Junio</t>
        </is>
      </c>
      <c r="I771" s="6" t="inlineStr">
        <is>
          <t>2024-1</t>
        </is>
      </c>
      <c r="J771" s="5" t="n">
        <v>0</v>
      </c>
      <c r="K771" s="5" t="n">
        <v>1080</v>
      </c>
      <c r="L771" s="14">
        <f>IFERROR(IF(OR(J771=0,K771=""),"",IF(E771="Positivo",MIN(MAX(K771/J771,0),1.3),MIN(MAX(J771/K771,0),1.3))),"") </f>
        <v/>
      </c>
      <c r="M771" s="14">
        <f>IFERROR(IF(OR(J771=0,K771=""),"",IF(E771="Positivo",MAX(K771/J771,0),MAX(J771/K771,0))),"") </f>
        <v/>
      </c>
      <c r="N771" s="5" t="n"/>
      <c r="O771" s="5" t="n"/>
      <c r="P771" s="5" t="n">
        <v>0</v>
      </c>
      <c r="Q771" s="5" t="n">
        <v>0</v>
      </c>
      <c r="R771" s="5" t="inlineStr">
        <is>
          <t>286-2024-06-30</t>
        </is>
      </c>
    </row>
    <row r="772" hidden="1">
      <c r="A772" s="5" t="n">
        <v>286</v>
      </c>
      <c r="B772" s="5" t="inlineStr">
        <is>
          <t>Total docentes por nivel de estudios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01" t="n">
        <v>45657</v>
      </c>
      <c r="G772" s="5" t="n">
        <v>2024</v>
      </c>
      <c r="H772" s="5" t="inlineStr">
        <is>
          <t>Diciembre</t>
        </is>
      </c>
      <c r="I772" s="6" t="inlineStr">
        <is>
          <t>2024-2</t>
        </is>
      </c>
      <c r="J772" s="5" t="n">
        <v>0</v>
      </c>
      <c r="K772" s="5" t="n">
        <v>1018</v>
      </c>
      <c r="L772" s="14">
        <f>IFERROR(IF(OR(J772=0,K772=""),"",IF(E772="Positivo",MIN(MAX(K772/J772,0),1.3),MIN(MAX(J772/K772,0),1.3))),"") </f>
        <v/>
      </c>
      <c r="M772" s="14">
        <f>IFERROR(IF(OR(J772=0,K772=""),"",IF(E772="Positivo",MAX(K772/J772,0),MAX(J772/K772,0))),"") </f>
        <v/>
      </c>
      <c r="N772" s="5" t="n"/>
      <c r="O772" s="5" t="n"/>
      <c r="P772" s="5" t="n">
        <v>0</v>
      </c>
      <c r="Q772" s="5" t="n">
        <v>0</v>
      </c>
      <c r="R772" s="5" t="inlineStr">
        <is>
          <t>286-2024-12-31</t>
        </is>
      </c>
    </row>
    <row r="773" hidden="1">
      <c r="A773" s="26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101" t="n">
        <v>45838</v>
      </c>
      <c r="G773" s="5" t="n">
        <v>2025</v>
      </c>
      <c r="H773" s="5" t="inlineStr">
        <is>
          <t>Junio</t>
        </is>
      </c>
      <c r="I773" s="6" t="inlineStr">
        <is>
          <t>2025-1</t>
        </is>
      </c>
      <c r="J773" s="5" t="n"/>
      <c r="K773" s="5" t="n">
        <v>1099</v>
      </c>
      <c r="L773" s="113" t="n"/>
      <c r="M773" s="14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286-2025-06-30</t>
        </is>
      </c>
      <c r="S773" t="inlineStr">
        <is>
          <t>Metrica</t>
        </is>
      </c>
    </row>
    <row r="774" hidden="1">
      <c r="A774" s="26" t="n">
        <v>286</v>
      </c>
      <c r="B774" s="5" t="inlineStr">
        <is>
          <t>Total docentes por nivel de estudios - Metrica</t>
        </is>
      </c>
      <c r="C774" s="5" t="inlineStr">
        <is>
          <t>Gestión Docente</t>
        </is>
      </c>
      <c r="D774" s="5" t="inlineStr">
        <is>
          <t>Trimestral</t>
        </is>
      </c>
      <c r="E774" s="5" t="inlineStr">
        <is>
          <t>Positivo</t>
        </is>
      </c>
      <c r="F774" s="101" t="n">
        <v>46022</v>
      </c>
      <c r="G774" s="5" t="n">
        <v>2025</v>
      </c>
      <c r="H774" s="5" t="inlineStr">
        <is>
          <t>Diciembre</t>
        </is>
      </c>
      <c r="I774" s="6" t="inlineStr">
        <is>
          <t>2025-2</t>
        </is>
      </c>
      <c r="J774" s="5" t="n"/>
      <c r="K774" s="5" t="n">
        <v>1071</v>
      </c>
      <c r="L774" s="74" t="n"/>
      <c r="M774" s="14" t="n"/>
      <c r="N774" s="5" t="inlineStr">
        <is>
          <t>Metrica</t>
        </is>
      </c>
      <c r="O774" s="5" t="inlineStr">
        <is>
          <t>Metrica</t>
        </is>
      </c>
      <c r="P774" s="5" t="n">
        <v>0</v>
      </c>
      <c r="Q774" s="5" t="n">
        <v>0</v>
      </c>
      <c r="R774" s="5" t="inlineStr">
        <is>
          <t>286-2025-12-31</t>
        </is>
      </c>
      <c r="S774" t="inlineStr">
        <is>
          <t>Metrica</t>
        </is>
      </c>
    </row>
    <row r="775" hidden="1">
      <c r="A775" s="5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01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85</v>
      </c>
      <c r="K775" s="5" t="n">
        <v>112.5</v>
      </c>
      <c r="L775" s="14">
        <f>IFERROR(IF(OR(J775=0,K775=""),"",IF(E775="Positivo",MIN(MAX(K775/J775,0),1.3),MIN(MAX(J775/K775,0),1.3))),"") </f>
        <v/>
      </c>
      <c r="M775" s="14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288-2023-06-30</t>
        </is>
      </c>
    </row>
    <row r="776" hidden="1">
      <c r="A776" s="5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01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5" t="n">
        <v>85</v>
      </c>
      <c r="K776" s="5" t="n">
        <v>112.5</v>
      </c>
      <c r="L776" s="1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n"/>
      <c r="O776" s="5" t="n"/>
      <c r="P776" s="5" t="n">
        <v>0</v>
      </c>
      <c r="Q776" s="5" t="n">
        <v>0</v>
      </c>
      <c r="R776" s="5" t="inlineStr">
        <is>
          <t>288-2023-12-31</t>
        </is>
      </c>
    </row>
    <row r="777" hidden="1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00" t="n">
        <v>45473</v>
      </c>
      <c r="G777" s="15" t="n">
        <v>2024</v>
      </c>
      <c r="H777" s="6" t="inlineStr">
        <is>
          <t>Junio</t>
        </is>
      </c>
      <c r="I777" s="27" t="inlineStr">
        <is>
          <t>2024-1</t>
        </is>
      </c>
      <c r="J777" s="5" t="n">
        <v>85</v>
      </c>
      <c r="K777" s="11" t="n">
        <v>185.71428571429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n"/>
      <c r="O777" s="5" t="n"/>
      <c r="P777" s="5" t="n">
        <v>0</v>
      </c>
      <c r="Q777" s="5" t="n">
        <v>0</v>
      </c>
      <c r="R777" s="5" t="inlineStr">
        <is>
          <t>288-2024-06-30</t>
        </is>
      </c>
    </row>
    <row r="778" hidden="1">
      <c r="A778" s="26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01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5" t="n">
        <v>85</v>
      </c>
      <c r="K778" s="11" t="n"/>
      <c r="L778" s="14" t="n"/>
      <c r="M778" s="14" t="n"/>
      <c r="N778" s="5" t="inlineStr">
        <is>
          <t>ENT</t>
        </is>
      </c>
      <c r="O778" s="5" t="inlineStr">
        <is>
          <t>N/A</t>
        </is>
      </c>
      <c r="P778" s="5" t="n">
        <v>0</v>
      </c>
      <c r="Q778" s="5" t="n">
        <v>0</v>
      </c>
      <c r="R778" s="5" t="inlineStr">
        <is>
          <t>288-2024-12-31</t>
        </is>
      </c>
    </row>
    <row r="779" hidden="1">
      <c r="A779" s="5" t="n">
        <v>288</v>
      </c>
      <c r="B779" s="5" t="inlineStr">
        <is>
          <t>Número docentes escalafonados presentados en convocatoria</t>
        </is>
      </c>
      <c r="C779" s="5" t="inlineStr">
        <is>
          <t>Gestión Docente</t>
        </is>
      </c>
      <c r="D779" s="5" t="inlineStr">
        <is>
          <t>Anual</t>
        </is>
      </c>
      <c r="E779" s="5" t="inlineStr">
        <is>
          <t>Positivo</t>
        </is>
      </c>
      <c r="F779" s="101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11" t="n">
        <v>100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 t="inlineStr">
        <is>
          <t>288-2025-06-30</t>
        </is>
      </c>
    </row>
    <row r="780" hidden="1">
      <c r="A780" s="5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101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95</v>
      </c>
      <c r="K780" s="11" t="n">
        <v>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inlineStr">
        <is>
          <t>N/A</t>
        </is>
      </c>
      <c r="O780" s="5" t="inlineStr">
        <is>
          <t>N/A</t>
        </is>
      </c>
      <c r="P780" s="5" t="n">
        <v>0</v>
      </c>
      <c r="Q780" s="5" t="n">
        <v>0</v>
      </c>
      <c r="R780" s="5" t="inlineStr">
        <is>
          <t>289-2023-03-31</t>
        </is>
      </c>
    </row>
    <row r="781" hidden="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100" t="n">
        <v>45107</v>
      </c>
      <c r="G781" s="15" t="n">
        <v>2023</v>
      </c>
      <c r="H781" s="6" t="inlineStr">
        <is>
          <t>Junio</t>
        </is>
      </c>
      <c r="I781" s="27" t="inlineStr">
        <is>
          <t>2023-1</t>
        </is>
      </c>
      <c r="J781" s="73" t="n">
        <v>95</v>
      </c>
      <c r="K781" s="103" t="n">
        <v>85.71428571428601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289-2023-06-30</t>
        </is>
      </c>
    </row>
    <row r="782" hidden="1">
      <c r="A782" s="26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01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73" t="n">
        <v>95</v>
      </c>
      <c r="K782" s="9" t="n">
        <v>87.5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289-2023-09-30</t>
        </is>
      </c>
    </row>
    <row r="783" hidden="1">
      <c r="A783" s="5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01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95</v>
      </c>
      <c r="K783" s="11" t="n">
        <v>87.5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289-2023-12-31</t>
        </is>
      </c>
    </row>
    <row r="784" hidden="1">
      <c r="A784" s="5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01" t="n">
        <v>45473</v>
      </c>
      <c r="G784" s="5" t="n">
        <v>2024</v>
      </c>
      <c r="H784" s="5" t="inlineStr">
        <is>
          <t>Junio</t>
        </is>
      </c>
      <c r="I784" s="6" t="inlineStr">
        <is>
          <t>2024-1</t>
        </is>
      </c>
      <c r="J784" s="5" t="n">
        <v>95</v>
      </c>
      <c r="K784" s="11" t="n">
        <v>100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n"/>
      <c r="O784" s="5" t="n"/>
      <c r="P784" s="5" t="n">
        <v>0</v>
      </c>
      <c r="Q784" s="5" t="n">
        <v>0</v>
      </c>
      <c r="R784" s="5" t="inlineStr">
        <is>
          <t>289-2024-06-30</t>
        </is>
      </c>
    </row>
    <row r="785" hidden="1">
      <c r="A785" s="26" t="n">
        <v>289</v>
      </c>
      <c r="B785" s="5" t="inlineStr">
        <is>
          <t>Cumplimiento plan de comunicaciones SGC</t>
        </is>
      </c>
      <c r="C785" s="5" t="inlineStr">
        <is>
          <t>Gestión de calidad</t>
        </is>
      </c>
      <c r="D785" s="5" t="inlineStr">
        <is>
          <t>Trimestral</t>
        </is>
      </c>
      <c r="E785" s="5" t="inlineStr">
        <is>
          <t>Positivo</t>
        </is>
      </c>
      <c r="F785" s="101" t="n">
        <v>45657</v>
      </c>
      <c r="G785" s="5" t="n">
        <v>2024</v>
      </c>
      <c r="H785" s="5" t="inlineStr">
        <is>
          <t>Diciembre</t>
        </is>
      </c>
      <c r="I785" s="6" t="inlineStr">
        <is>
          <t>2024-2</t>
        </is>
      </c>
      <c r="J785" s="5" t="n">
        <v>95</v>
      </c>
      <c r="K785" s="5" t="n">
        <v>100</v>
      </c>
      <c r="L785" s="7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289-2024-12-31</t>
        </is>
      </c>
    </row>
    <row r="786" hidden="1">
      <c r="A786" s="26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101" t="n">
        <v>45107</v>
      </c>
      <c r="G786" s="5" t="n">
        <v>2023</v>
      </c>
      <c r="H786" s="5" t="inlineStr">
        <is>
          <t>Junio</t>
        </is>
      </c>
      <c r="I786" s="6" t="inlineStr">
        <is>
          <t>2023-1</t>
        </is>
      </c>
      <c r="J786" s="5" t="n">
        <v>90</v>
      </c>
      <c r="K786" s="5" t="n">
        <v>100</v>
      </c>
      <c r="L786" s="7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n"/>
      <c r="O786" s="5" t="n"/>
      <c r="P786" s="5" t="n">
        <v>1</v>
      </c>
      <c r="Q786" s="5" t="n">
        <v>1</v>
      </c>
      <c r="R786" s="5" t="inlineStr">
        <is>
          <t>290-2023-06-30</t>
        </is>
      </c>
    </row>
    <row r="787" hidden="1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101" t="n">
        <v>45168</v>
      </c>
      <c r="G787" s="5" t="n">
        <v>2023</v>
      </c>
      <c r="H787" s="5" t="inlineStr">
        <is>
          <t>Agosto</t>
        </is>
      </c>
      <c r="I787" s="6" t="inlineStr">
        <is>
          <t>2023-2</t>
        </is>
      </c>
      <c r="J787" s="5" t="n">
        <v>90</v>
      </c>
      <c r="K787" s="5" t="n">
        <v>81.81999999999999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n"/>
      <c r="O787" s="5" t="n"/>
      <c r="P787" s="5" t="n">
        <v>1</v>
      </c>
      <c r="Q787" s="5" t="n">
        <v>1</v>
      </c>
      <c r="R787" s="5" t="inlineStr">
        <is>
          <t>290-2023-08-30</t>
        </is>
      </c>
    </row>
    <row r="788" hidden="1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01" t="n">
        <v>45230</v>
      </c>
      <c r="G788" s="5" t="n">
        <v>2023</v>
      </c>
      <c r="H788" s="5" t="inlineStr">
        <is>
          <t>Octubre</t>
        </is>
      </c>
      <c r="I788" s="6" t="inlineStr">
        <is>
          <t>2023-2</t>
        </is>
      </c>
      <c r="J788" s="5" t="n">
        <v>90</v>
      </c>
      <c r="K788" s="5" t="n">
        <v>90.91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n"/>
      <c r="O788" s="5" t="n"/>
      <c r="P788" s="5" t="n">
        <v>1</v>
      </c>
      <c r="Q788" s="5" t="n">
        <v>1</v>
      </c>
      <c r="R788" s="5" t="inlineStr">
        <is>
          <t>290-2023-10-31</t>
        </is>
      </c>
    </row>
    <row r="789" hidden="1">
      <c r="A789" s="5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00" t="n">
        <v>45291</v>
      </c>
      <c r="G789" s="15" t="n">
        <v>2023</v>
      </c>
      <c r="H789" s="6" t="inlineStr">
        <is>
          <t>Diciembre</t>
        </is>
      </c>
      <c r="I789" s="27" t="inlineStr">
        <is>
          <t>2023-2</t>
        </is>
      </c>
      <c r="J789" s="5" t="n">
        <v>90</v>
      </c>
      <c r="K789" s="23" t="n"/>
      <c r="L789" s="14" t="n"/>
      <c r="M789" s="14" t="n"/>
      <c r="N789" s="5" t="n"/>
      <c r="O789" s="5" t="n"/>
      <c r="P789" s="5" t="n">
        <v>1</v>
      </c>
      <c r="Q789" s="5" t="n">
        <v>1</v>
      </c>
      <c r="R789" s="5" t="inlineStr">
        <is>
          <t>290-2023-12-31</t>
        </is>
      </c>
    </row>
    <row r="790" hidden="1">
      <c r="A790" s="26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01" t="n">
        <v>45473</v>
      </c>
      <c r="G790" s="5" t="n">
        <v>2024</v>
      </c>
      <c r="H790" s="5" t="inlineStr">
        <is>
          <t>Junio</t>
        </is>
      </c>
      <c r="I790" s="6" t="inlineStr">
        <is>
          <t>2024-1</t>
        </is>
      </c>
      <c r="J790" s="73" t="n">
        <v>90</v>
      </c>
      <c r="K790" s="9" t="n">
        <v>100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n"/>
      <c r="O790" s="5" t="n"/>
      <c r="P790" s="5" t="n">
        <v>0</v>
      </c>
      <c r="Q790" s="5" t="n">
        <v>0</v>
      </c>
      <c r="R790" s="5" t="inlineStr">
        <is>
          <t>290-2024-06-30</t>
        </is>
      </c>
    </row>
    <row r="791" hidden="1">
      <c r="A791" s="5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01" t="n">
        <v>45657</v>
      </c>
      <c r="G791" s="5" t="n">
        <v>2024</v>
      </c>
      <c r="H791" s="5" t="inlineStr">
        <is>
          <t>Diciembre</t>
        </is>
      </c>
      <c r="I791" s="6" t="inlineStr">
        <is>
          <t>2024-2</t>
        </is>
      </c>
      <c r="J791" s="73" t="n">
        <v>90</v>
      </c>
      <c r="K791" s="9" t="n">
        <v>100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n"/>
      <c r="O791" s="5" t="n"/>
      <c r="P791" s="5" t="n">
        <v>0</v>
      </c>
      <c r="Q791" s="5" t="n">
        <v>0</v>
      </c>
      <c r="R791" s="5" t="inlineStr">
        <is>
          <t>290-2024-12-31</t>
        </is>
      </c>
    </row>
    <row r="792" hidden="1">
      <c r="A792" s="5" t="n">
        <v>290</v>
      </c>
      <c r="B792" s="5" t="inlineStr">
        <is>
          <t>Cierre eficaz de las oportunidades de mejora</t>
        </is>
      </c>
      <c r="C792" s="5" t="inlineStr">
        <is>
          <t>Planificación POLISIGS</t>
        </is>
      </c>
      <c r="D792" s="5" t="inlineStr">
        <is>
          <t>Bimestral</t>
        </is>
      </c>
      <c r="E792" s="5" t="inlineStr">
        <is>
          <t>Positivo</t>
        </is>
      </c>
      <c r="F792" s="101" t="n">
        <v>45838</v>
      </c>
      <c r="G792" s="5" t="n">
        <v>2025</v>
      </c>
      <c r="H792" s="5" t="inlineStr">
        <is>
          <t>Junio</t>
        </is>
      </c>
      <c r="I792" s="6" t="inlineStr">
        <is>
          <t>2025-1</t>
        </is>
      </c>
      <c r="J792" s="73" t="n">
        <v>90</v>
      </c>
      <c r="K792" s="9" t="n">
        <v>93.33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290-2025-06-30</t>
        </is>
      </c>
    </row>
    <row r="793" hidden="1">
      <c r="A793" s="28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01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9" t="n">
        <v>100</v>
      </c>
      <c r="K793" s="9" t="n">
        <v>100</v>
      </c>
      <c r="L793" s="7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291-2023-06-30</t>
        </is>
      </c>
    </row>
    <row r="794" hidden="1">
      <c r="A794" s="26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01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9" t="n">
        <v>100</v>
      </c>
      <c r="K794" s="23" t="n">
        <v>100</v>
      </c>
      <c r="L794" s="7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291-2023-12-31</t>
        </is>
      </c>
    </row>
    <row r="795" hidden="1">
      <c r="A795" s="26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01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103" t="n">
        <v>100</v>
      </c>
      <c r="K795" s="103" t="n">
        <v>100</v>
      </c>
      <c r="L795" s="7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n"/>
      <c r="O795" s="5" t="n"/>
      <c r="P795" s="5" t="n">
        <v>0</v>
      </c>
      <c r="Q795" s="5" t="n">
        <v>0</v>
      </c>
      <c r="R795" s="5" t="inlineStr">
        <is>
          <t>291-2024-06-30</t>
        </is>
      </c>
    </row>
    <row r="796" hidden="1">
      <c r="A796" s="5" t="n">
        <v>291</v>
      </c>
      <c r="B796" s="5" t="inlineStr">
        <is>
          <t>Cumplimiento del cronograma de actividades deportivas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01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291-2024-12-31</t>
        </is>
      </c>
    </row>
    <row r="797" hidden="1">
      <c r="A797" s="26" t="n">
        <v>292</v>
      </c>
      <c r="B797" s="5" t="inlineStr">
        <is>
          <t>Participación en Actividades deportivas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01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5" t="n">
        <v>3</v>
      </c>
      <c r="K797" s="5" t="n">
        <v>10.990099009901</v>
      </c>
      <c r="L797" s="7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292-2023-06-30</t>
        </is>
      </c>
    </row>
    <row r="798" hidden="1">
      <c r="A798" s="26" t="n">
        <v>292</v>
      </c>
      <c r="B798" s="5" t="inlineStr">
        <is>
          <t>Participación en Actividades deportivas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01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5" t="n">
        <v>3</v>
      </c>
      <c r="K798" s="5" t="n">
        <v>27.659574468085</v>
      </c>
      <c r="L798" s="7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292-2023-12-31</t>
        </is>
      </c>
    </row>
    <row r="799" hidden="1">
      <c r="A799" s="26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01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5" t="n">
        <v>23.31390507910074</v>
      </c>
      <c r="L799" s="7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292-2024-06-30</t>
        </is>
      </c>
    </row>
    <row r="800" hidden="1">
      <c r="A800" s="5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01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5" t="n">
        <v>14.26386233269599</v>
      </c>
      <c r="L800" s="7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292-2024-12-31</t>
        </is>
      </c>
    </row>
    <row r="801" hidden="1">
      <c r="A801" s="26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1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9.789999999999999</v>
      </c>
      <c r="L801" s="7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292-2025-06-30</t>
        </is>
      </c>
    </row>
    <row r="802" hidden="1">
      <c r="A802" s="26" t="n">
        <v>292</v>
      </c>
      <c r="B802" s="5" t="inlineStr">
        <is>
          <t>Participación en Actividades deportivas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01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11.21</v>
      </c>
      <c r="L802" s="7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292-2025-12-31</t>
        </is>
      </c>
    </row>
    <row r="803" hidden="1">
      <c r="A803" s="26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01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100</v>
      </c>
      <c r="K803" s="5" t="n">
        <v>100</v>
      </c>
      <c r="L803" s="7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293-2023-06-30</t>
        </is>
      </c>
    </row>
    <row r="804" hidden="1">
      <c r="A804" s="5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01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100</v>
      </c>
      <c r="K804" s="5" t="n">
        <v>100</v>
      </c>
      <c r="L804" s="7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293-2023-12-31</t>
        </is>
      </c>
    </row>
    <row r="805" hidden="1">
      <c r="A805" s="26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01" t="n">
        <v>45473</v>
      </c>
      <c r="G805" s="5" t="n">
        <v>2024</v>
      </c>
      <c r="H805" s="5" t="inlineStr">
        <is>
          <t>Junio</t>
        </is>
      </c>
      <c r="I805" s="6" t="inlineStr">
        <is>
          <t>2024-1</t>
        </is>
      </c>
      <c r="J805" s="5" t="n">
        <v>100</v>
      </c>
      <c r="K805" s="5" t="n">
        <v>100</v>
      </c>
      <c r="L805" s="7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n"/>
      <c r="O805" s="5" t="n"/>
      <c r="P805" s="5" t="n">
        <v>0</v>
      </c>
      <c r="Q805" s="5" t="n">
        <v>0</v>
      </c>
      <c r="R805" s="5" t="inlineStr">
        <is>
          <t>293-2024-06-30</t>
        </is>
      </c>
    </row>
    <row r="806" hidden="1">
      <c r="A806" s="26" t="n">
        <v>293</v>
      </c>
      <c r="B806" s="5" t="inlineStr">
        <is>
          <t>Cumplimiento del cronograma de actividades culturales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01" t="n">
        <v>45657</v>
      </c>
      <c r="G806" s="5" t="n">
        <v>2024</v>
      </c>
      <c r="H806" s="5" t="inlineStr">
        <is>
          <t>Diciembre</t>
        </is>
      </c>
      <c r="I806" s="6" t="inlineStr">
        <is>
          <t>2024-2</t>
        </is>
      </c>
      <c r="J806" s="5" t="n">
        <v>100</v>
      </c>
      <c r="K806" s="5" t="n">
        <v>100</v>
      </c>
      <c r="L806" s="7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n"/>
      <c r="O806" s="5" t="n"/>
      <c r="P806" s="5" t="n">
        <v>0</v>
      </c>
      <c r="Q806" s="5" t="n">
        <v>0</v>
      </c>
      <c r="R806" s="5" t="inlineStr">
        <is>
          <t>293-2024-12-31</t>
        </is>
      </c>
    </row>
    <row r="807" hidden="1">
      <c r="A807" s="26" t="n">
        <v>294</v>
      </c>
      <c r="B807" s="5" t="inlineStr">
        <is>
          <t>Participación en actividades culturales presenciales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01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3" t="n">
        <v>3</v>
      </c>
      <c r="K807" s="9" t="n">
        <v>30.15873015873</v>
      </c>
      <c r="L807" s="7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294-2023-06-30</t>
        </is>
      </c>
    </row>
    <row r="808" hidden="1">
      <c r="A808" s="5" t="n">
        <v>294</v>
      </c>
      <c r="B808" s="5" t="inlineStr">
        <is>
          <t>Participación en actividades culturales presenciales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01" t="n">
        <v>45291</v>
      </c>
      <c r="G808" s="5" t="n">
        <v>2023</v>
      </c>
      <c r="H808" s="5" t="inlineStr">
        <is>
          <t>Diciembre</t>
        </is>
      </c>
      <c r="I808" s="6" t="inlineStr">
        <is>
          <t>2023-2</t>
        </is>
      </c>
      <c r="J808" s="3" t="n">
        <v>3</v>
      </c>
      <c r="K808" s="9" t="n">
        <v>41.986754966887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294-2023-12-31</t>
        </is>
      </c>
    </row>
    <row r="809" hidden="1">
      <c r="A809" s="26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01" t="n">
        <v>45473</v>
      </c>
      <c r="G809" s="5" t="n">
        <v>2024</v>
      </c>
      <c r="H809" s="5" t="inlineStr">
        <is>
          <t>Junio</t>
        </is>
      </c>
      <c r="I809" s="6" t="inlineStr">
        <is>
          <t>2024-1</t>
        </is>
      </c>
      <c r="J809" s="5" t="n">
        <v>3</v>
      </c>
      <c r="K809" s="9" t="n">
        <v>26.27669452181987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294-2024-06-30</t>
        </is>
      </c>
    </row>
    <row r="810" hidden="1">
      <c r="A810" s="26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01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5" t="n">
        <v>3</v>
      </c>
      <c r="K810" s="9" t="n">
        <v>5.5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294-2024-12-31</t>
        </is>
      </c>
    </row>
    <row r="811" hidden="1">
      <c r="A811" s="26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01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5" t="n">
        <v>8</v>
      </c>
      <c r="K811" s="9" t="n">
        <v>-9.19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294-2025-06-30</t>
        </is>
      </c>
    </row>
    <row r="812" hidden="1">
      <c r="A812" s="5" t="n">
        <v>294</v>
      </c>
      <c r="B812" s="5" t="inlineStr">
        <is>
          <t>Participación en actividades culturales</t>
        </is>
      </c>
      <c r="C812" s="5" t="inlineStr">
        <is>
          <t>Cultura y Deporte</t>
        </is>
      </c>
      <c r="D812" s="5" t="inlineStr">
        <is>
          <t>Trimestral</t>
        </is>
      </c>
      <c r="E812" s="5" t="inlineStr">
        <is>
          <t>Positivo</t>
        </is>
      </c>
      <c r="F812" s="101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8</v>
      </c>
      <c r="K812" s="10" t="n">
        <v>54.02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294-2025-12-31</t>
        </is>
      </c>
    </row>
    <row r="813" hidden="1">
      <c r="A813" s="5" t="n">
        <v>295</v>
      </c>
      <c r="B813" s="5" t="inlineStr">
        <is>
          <t>Cumplimiento Del Cierre De Oportunidades De Mejora De Auditoria</t>
        </is>
      </c>
      <c r="C813" s="5" t="inlineStr">
        <is>
          <t>AUDITORÍA INTERNA</t>
        </is>
      </c>
      <c r="D813" s="5" t="inlineStr">
        <is>
          <t>Semestral</t>
        </is>
      </c>
      <c r="E813" s="5" t="inlineStr">
        <is>
          <t>Positivo</t>
        </is>
      </c>
      <c r="F813" s="100" t="n">
        <v>45107</v>
      </c>
      <c r="G813" s="15" t="n">
        <v>2023</v>
      </c>
      <c r="H813" s="6" t="inlineStr">
        <is>
          <t>Junio</t>
        </is>
      </c>
      <c r="I813" s="27" t="inlineStr">
        <is>
          <t>2023-1</t>
        </is>
      </c>
      <c r="J813" s="5" t="n">
        <v>11</v>
      </c>
      <c r="K813" s="11" t="n">
        <v>5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n"/>
      <c r="O813" s="5" t="n"/>
      <c r="P813" s="5" t="n">
        <v>0</v>
      </c>
      <c r="Q813" s="5" t="n">
        <v>0</v>
      </c>
      <c r="R813" s="5" t="inlineStr">
        <is>
          <t>295-2023-06-30</t>
        </is>
      </c>
    </row>
    <row r="814" hidden="1">
      <c r="A814" s="26" t="n">
        <v>295</v>
      </c>
      <c r="B814" s="5" t="inlineStr">
        <is>
          <t>Cumplimiento Del Cierre De Oportunidades De Mejora De Auditoria</t>
        </is>
      </c>
      <c r="C814" s="5" t="inlineStr">
        <is>
          <t>AUDITORÍA INTERNA</t>
        </is>
      </c>
      <c r="D814" s="5" t="inlineStr">
        <is>
          <t>Semestral</t>
        </is>
      </c>
      <c r="E814" s="5" t="inlineStr">
        <is>
          <t>Positivo</t>
        </is>
      </c>
      <c r="F814" s="101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21</v>
      </c>
      <c r="K814" s="5" t="n">
        <v>9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n"/>
      <c r="O814" s="5" t="n"/>
      <c r="P814" s="5" t="n">
        <v>0</v>
      </c>
      <c r="Q814" s="5" t="n">
        <v>0</v>
      </c>
      <c r="R814" s="5" t="inlineStr">
        <is>
          <t>295-2023-12-31</t>
        </is>
      </c>
    </row>
    <row r="815" hidden="1">
      <c r="A815" s="5" t="n">
        <v>296</v>
      </c>
      <c r="B815" s="5" t="inlineStr">
        <is>
          <t>Gestión de riesgos por subprocesos</t>
        </is>
      </c>
      <c r="C815" s="5" t="inlineStr">
        <is>
          <t>GESTIÓN DE RIESGOS</t>
        </is>
      </c>
      <c r="D815" s="5" t="inlineStr">
        <is>
          <t>Bimestral</t>
        </is>
      </c>
      <c r="E815" s="5" t="inlineStr">
        <is>
          <t>Positivo</t>
        </is>
      </c>
      <c r="F815" s="101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100</v>
      </c>
      <c r="K815" s="5" t="n">
        <v>85.45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n"/>
      <c r="O815" s="5" t="n"/>
      <c r="P815" s="5" t="n">
        <v>1</v>
      </c>
      <c r="Q815" s="5" t="n">
        <v>1</v>
      </c>
      <c r="R815" s="5" t="inlineStr">
        <is>
          <t>296-2023-12-31</t>
        </is>
      </c>
    </row>
    <row r="816" hidden="1">
      <c r="A816" s="5" t="n">
        <v>297</v>
      </c>
      <c r="B816" s="5" t="inlineStr">
        <is>
          <t>N de riesgos operacionales intervenidos</t>
        </is>
      </c>
      <c r="C816" s="5" t="inlineStr">
        <is>
          <t>GESTIÓN DE RIESGOS</t>
        </is>
      </c>
      <c r="D816" s="5" t="inlineStr">
        <is>
          <t>Bimestral</t>
        </is>
      </c>
      <c r="E816" s="5" t="inlineStr">
        <is>
          <t>Negativo</t>
        </is>
      </c>
      <c r="F816" s="101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>
        <v>20</v>
      </c>
      <c r="K816" s="103" t="n">
        <v>0.93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n"/>
      <c r="O816" s="5" t="n"/>
      <c r="P816" s="5" t="n">
        <v>1</v>
      </c>
      <c r="Q816" s="5" t="n">
        <v>1</v>
      </c>
      <c r="R816" s="5" t="inlineStr">
        <is>
          <t>297-2023-12-31</t>
        </is>
      </c>
    </row>
    <row r="817" hidden="1">
      <c r="A817" s="28" t="n">
        <v>298</v>
      </c>
      <c r="B817" s="5" t="inlineStr">
        <is>
          <t>N de riesgos materializados</t>
        </is>
      </c>
      <c r="C817" s="5" t="inlineStr">
        <is>
          <t>GESTIÓN DE RIESGOS</t>
        </is>
      </c>
      <c r="D817" s="5" t="inlineStr">
        <is>
          <t>Semestral</t>
        </is>
      </c>
      <c r="E817" s="5" t="inlineStr">
        <is>
          <t>Negativo</t>
        </is>
      </c>
      <c r="F817" s="101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73" t="n"/>
      <c r="K817" s="9" t="n">
        <v>1</v>
      </c>
      <c r="L817" s="14" t="n"/>
      <c r="M817" s="14" t="n"/>
      <c r="N817" s="5" t="inlineStr">
        <is>
          <t>Linea base</t>
        </is>
      </c>
      <c r="O817" s="5" t="n"/>
      <c r="P817" s="5" t="n">
        <v>0</v>
      </c>
      <c r="Q817" s="5" t="n">
        <v>0</v>
      </c>
      <c r="R817" s="5" t="inlineStr">
        <is>
          <t>298-2023-12-31</t>
        </is>
      </c>
    </row>
    <row r="818" hidden="1">
      <c r="A818" s="26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01" t="n">
        <v>45016</v>
      </c>
      <c r="G818" s="5" t="n">
        <v>2023</v>
      </c>
      <c r="H818" s="5" t="inlineStr">
        <is>
          <t>Marzo</t>
        </is>
      </c>
      <c r="I818" s="6" t="inlineStr">
        <is>
          <t>2023-1</t>
        </is>
      </c>
      <c r="J818" s="73" t="n">
        <v>100</v>
      </c>
      <c r="K818" s="9" t="n">
        <v>100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300-2023-03-31</t>
        </is>
      </c>
    </row>
    <row r="819" hidden="1">
      <c r="A819" s="5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01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73" t="n">
        <v>100</v>
      </c>
      <c r="K819" s="9" t="n">
        <v>100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300-2023-06-30</t>
        </is>
      </c>
    </row>
    <row r="820" hidden="1">
      <c r="A820" s="5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01" t="n">
        <v>45199</v>
      </c>
      <c r="G820" s="5" t="n">
        <v>2023</v>
      </c>
      <c r="H820" s="5" t="inlineStr">
        <is>
          <t>Septiembre</t>
        </is>
      </c>
      <c r="I820" s="6" t="inlineStr">
        <is>
          <t>2023-2</t>
        </is>
      </c>
      <c r="J820" s="73" t="n">
        <v>100</v>
      </c>
      <c r="K820" s="9" t="n">
        <v>100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300-2023-09-30</t>
        </is>
      </c>
    </row>
    <row r="821" hidden="1">
      <c r="A821" s="28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01" t="n">
        <v>45291</v>
      </c>
      <c r="G821" s="5" t="n">
        <v>2023</v>
      </c>
      <c r="H821" s="5" t="inlineStr">
        <is>
          <t>Diciembre</t>
        </is>
      </c>
      <c r="I821" s="6" t="inlineStr">
        <is>
          <t>2023-2</t>
        </is>
      </c>
      <c r="J821" s="5" t="n">
        <v>100</v>
      </c>
      <c r="K821" s="5" t="n">
        <v>100</v>
      </c>
      <c r="L821" s="7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300-2023-12-31</t>
        </is>
      </c>
    </row>
    <row r="822" hidden="1">
      <c r="A822" s="26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01" t="n">
        <v>45473</v>
      </c>
      <c r="G822" s="5" t="n">
        <v>2024</v>
      </c>
      <c r="H822" s="5" t="inlineStr">
        <is>
          <t>Junio</t>
        </is>
      </c>
      <c r="I822" s="6" t="inlineStr">
        <is>
          <t>2024-1</t>
        </is>
      </c>
      <c r="J822" s="5" t="n">
        <v>100</v>
      </c>
      <c r="K822" s="5" t="n">
        <v>100</v>
      </c>
      <c r="L822" s="7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300-2024-06-30</t>
        </is>
      </c>
    </row>
    <row r="823" hidden="1">
      <c r="A823" s="28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01" t="n">
        <v>45657</v>
      </c>
      <c r="G823" s="5" t="n">
        <v>2024</v>
      </c>
      <c r="H823" s="5" t="inlineStr">
        <is>
          <t>Diciembre</t>
        </is>
      </c>
      <c r="I823" s="6" t="inlineStr">
        <is>
          <t>2024-2</t>
        </is>
      </c>
      <c r="J823" s="5" t="n">
        <v>100</v>
      </c>
      <c r="K823" s="5" t="n">
        <v>100</v>
      </c>
      <c r="L823" s="7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300-2024-12-31</t>
        </is>
      </c>
    </row>
    <row r="824" hidden="1">
      <c r="A824" s="26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101" t="n">
        <v>45838</v>
      </c>
      <c r="G824" s="5" t="n">
        <v>2025</v>
      </c>
      <c r="H824" s="5" t="inlineStr">
        <is>
          <t>Junio</t>
        </is>
      </c>
      <c r="I824" s="6" t="inlineStr">
        <is>
          <t>2025-1</t>
        </is>
      </c>
      <c r="J824" s="5" t="n">
        <v>100</v>
      </c>
      <c r="K824" s="5" t="n">
        <v>100</v>
      </c>
      <c r="L824" s="7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300-2025-06-30</t>
        </is>
      </c>
    </row>
    <row r="825" hidden="1">
      <c r="A825" s="28" t="n">
        <v>300</v>
      </c>
      <c r="B825" s="5" t="inlineStr">
        <is>
          <t>Cumplimiento de Inspecciones de control</t>
        </is>
      </c>
      <c r="C825" s="5" t="inlineStr">
        <is>
          <t>Administración de Servicios Generales</t>
        </is>
      </c>
      <c r="D825" s="5" t="inlineStr">
        <is>
          <t>Semestral</t>
        </is>
      </c>
      <c r="E825" s="5" t="inlineStr">
        <is>
          <t>Positivo</t>
        </is>
      </c>
      <c r="F825" s="101" t="n">
        <v>46022</v>
      </c>
      <c r="G825" s="5" t="n">
        <v>2025</v>
      </c>
      <c r="H825" s="5" t="inlineStr">
        <is>
          <t>Diciembre</t>
        </is>
      </c>
      <c r="I825" s="6" t="inlineStr">
        <is>
          <t>2025-2</t>
        </is>
      </c>
      <c r="J825" s="5" t="n">
        <v>100</v>
      </c>
      <c r="K825" s="5" t="n">
        <v>100</v>
      </c>
      <c r="L825" s="7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300-2025-12-31</t>
        </is>
      </c>
    </row>
    <row r="826" hidden="1">
      <c r="A826" s="26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01" t="n">
        <v>45016</v>
      </c>
      <c r="G826" s="5" t="n">
        <v>2023</v>
      </c>
      <c r="H826" s="5" t="inlineStr">
        <is>
          <t>Marzo</t>
        </is>
      </c>
      <c r="I826" s="6" t="inlineStr">
        <is>
          <t>2023-1</t>
        </is>
      </c>
      <c r="J826" s="5" t="n">
        <v>100</v>
      </c>
      <c r="K826" s="5" t="n">
        <v>100</v>
      </c>
      <c r="L826" s="7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301-2023-03-31</t>
        </is>
      </c>
    </row>
    <row r="827" hidden="1">
      <c r="A827" s="5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01" t="n">
        <v>45107</v>
      </c>
      <c r="G827" s="5" t="n">
        <v>2023</v>
      </c>
      <c r="H827" s="5" t="inlineStr">
        <is>
          <t>Junio</t>
        </is>
      </c>
      <c r="I827" s="6" t="inlineStr">
        <is>
          <t>2023-1</t>
        </is>
      </c>
      <c r="J827" s="5" t="n">
        <v>100</v>
      </c>
      <c r="K827" s="5" t="n">
        <v>100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301-2023-06-30</t>
        </is>
      </c>
    </row>
    <row r="828" hidden="1">
      <c r="A828" s="5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01" t="n">
        <v>45199</v>
      </c>
      <c r="G828" s="5" t="n">
        <v>2023</v>
      </c>
      <c r="H828" s="5" t="inlineStr">
        <is>
          <t>Septiembre</t>
        </is>
      </c>
      <c r="I828" s="6" t="inlineStr">
        <is>
          <t>2023-2</t>
        </is>
      </c>
      <c r="J828" s="5" t="n">
        <v>100</v>
      </c>
      <c r="K828" s="5" t="n">
        <v>100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301-2023-09-30</t>
        </is>
      </c>
    </row>
    <row r="829" hidden="1">
      <c r="A829" s="34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01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100</v>
      </c>
      <c r="K829" s="5" t="n">
        <v>100</v>
      </c>
      <c r="L829" s="7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301-2023-12-31</t>
        </is>
      </c>
    </row>
    <row r="830" hidden="1">
      <c r="A830" s="26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01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100</v>
      </c>
      <c r="K830" s="5" t="n">
        <v>100</v>
      </c>
      <c r="L830" s="7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301-2024-06-30</t>
        </is>
      </c>
    </row>
    <row r="831" hidden="1">
      <c r="A831" s="28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01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100</v>
      </c>
      <c r="K831" s="5" t="n">
        <v>100</v>
      </c>
      <c r="L831" s="7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301-2024-12-31</t>
        </is>
      </c>
    </row>
    <row r="832" hidden="1">
      <c r="A832" s="26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01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100</v>
      </c>
      <c r="K832" s="5" t="n">
        <v>100</v>
      </c>
      <c r="L832" s="7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301-2025-06-30</t>
        </is>
      </c>
    </row>
    <row r="833" hidden="1">
      <c r="A833" s="5" t="n">
        <v>301</v>
      </c>
      <c r="B833" s="5" t="inlineStr">
        <is>
          <t>Cumplimiento plan de trabajo</t>
        </is>
      </c>
      <c r="C833" s="5" t="inlineStr">
        <is>
          <t>Administración de Servicios Generales</t>
        </is>
      </c>
      <c r="D833" s="5" t="inlineStr">
        <is>
          <t>Semestral</t>
        </is>
      </c>
      <c r="E833" s="5" t="inlineStr">
        <is>
          <t>Positivo</t>
        </is>
      </c>
      <c r="F833" s="101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5" t="n">
        <v>100</v>
      </c>
      <c r="K833" s="5" t="n">
        <v>100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301-2025-12-31</t>
        </is>
      </c>
    </row>
    <row r="834" hidden="1">
      <c r="A834" s="5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101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5" t="n">
        <v>0</v>
      </c>
      <c r="K834" s="5" t="n">
        <v>0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n"/>
      <c r="O834" s="5" t="n"/>
      <c r="P834" s="5" t="n">
        <v>0</v>
      </c>
      <c r="Q834" s="5" t="n">
        <v>0</v>
      </c>
      <c r="R834" s="5" t="inlineStr">
        <is>
          <t>302-2023-06-30</t>
        </is>
      </c>
    </row>
    <row r="835" hidden="1">
      <c r="A835" s="28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101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5" t="n">
        <v>0</v>
      </c>
      <c r="K835" s="5" t="n">
        <v>0</v>
      </c>
      <c r="L835" s="7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n"/>
      <c r="O835" s="5" t="n"/>
      <c r="P835" s="5" t="n">
        <v>0</v>
      </c>
      <c r="Q835" s="5" t="n">
        <v>0</v>
      </c>
      <c r="R835" s="5" t="inlineStr">
        <is>
          <t>302-2023-12-31</t>
        </is>
      </c>
    </row>
    <row r="836" hidden="1">
      <c r="A836" s="26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01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5" t="n">
        <v>0</v>
      </c>
      <c r="K836" s="5" t="n">
        <v>17878</v>
      </c>
      <c r="L836" s="7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n"/>
      <c r="O836" s="5" t="n"/>
      <c r="P836" s="5" t="n">
        <v>0</v>
      </c>
      <c r="Q836" s="5" t="n">
        <v>0</v>
      </c>
      <c r="R836" s="5" t="inlineStr">
        <is>
          <t>302-2024-06-30</t>
        </is>
      </c>
    </row>
    <row r="837" hidden="1">
      <c r="A837" s="5" t="n">
        <v>302</v>
      </c>
      <c r="B837" s="5" t="inlineStr">
        <is>
          <t>N de solicitudes radicadas</t>
        </is>
      </c>
      <c r="C837" s="5" t="inlineStr">
        <is>
          <t>Centro de Medios Audiovisuales</t>
        </is>
      </c>
      <c r="D837" s="5" t="inlineStr">
        <is>
          <t>Semestral</t>
        </is>
      </c>
      <c r="E837" s="5" t="inlineStr">
        <is>
          <t>Positivo</t>
        </is>
      </c>
      <c r="F837" s="101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0</v>
      </c>
      <c r="K837" s="5" t="n">
        <v>19142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n"/>
      <c r="O837" s="5" t="n"/>
      <c r="P837" s="5" t="n">
        <v>0</v>
      </c>
      <c r="Q837" s="5" t="n">
        <v>0</v>
      </c>
      <c r="R837" s="5" t="inlineStr">
        <is>
          <t>302-2024-12-31</t>
        </is>
      </c>
    </row>
    <row r="838" hidden="1">
      <c r="A838" s="5" t="n">
        <v>302</v>
      </c>
      <c r="B838" s="5" t="inlineStr">
        <is>
          <t>N de solicitudes radicadas - (Metrica)</t>
        </is>
      </c>
      <c r="C838" s="5" t="inlineStr">
        <is>
          <t>Centro de Medios Audiovisuales</t>
        </is>
      </c>
      <c r="D838" s="5" t="inlineStr">
        <is>
          <t>Trimestral</t>
        </is>
      </c>
      <c r="E838" s="5" t="inlineStr">
        <is>
          <t>Positivo</t>
        </is>
      </c>
      <c r="F838" s="101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/>
      <c r="K838" s="5" t="n">
        <v>21712</v>
      </c>
      <c r="L838" s="14" t="n"/>
      <c r="M838" s="14" t="n"/>
      <c r="N838" s="5" t="inlineStr">
        <is>
          <t>%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302-2025-06-30</t>
        </is>
      </c>
      <c r="S838" t="inlineStr">
        <is>
          <t>Metrica</t>
        </is>
      </c>
    </row>
    <row r="839" hidden="1">
      <c r="A839" s="28" t="n">
        <v>302</v>
      </c>
      <c r="B839" s="5" t="inlineStr">
        <is>
          <t>N de solicitudes radicadas - (Metrica)</t>
        </is>
      </c>
      <c r="C839" s="5" t="inlineStr">
        <is>
          <t>Centro de Medios Audiovisuales</t>
        </is>
      </c>
      <c r="D839" s="5" t="inlineStr">
        <is>
          <t>Trimestral</t>
        </is>
      </c>
      <c r="E839" s="5" t="inlineStr">
        <is>
          <t>Positivo</t>
        </is>
      </c>
      <c r="F839" s="101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/>
      <c r="K839" s="23" t="n">
        <v>31371</v>
      </c>
      <c r="L839" s="74" t="n"/>
      <c r="M839" s="14" t="n"/>
      <c r="N839" s="5" t="inlineStr">
        <is>
          <t>%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302-2025-12-31</t>
        </is>
      </c>
      <c r="S839" t="inlineStr">
        <is>
          <t>Metrica</t>
        </is>
      </c>
    </row>
    <row r="840" hidden="1">
      <c r="A840" s="26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01" t="n">
        <v>45107</v>
      </c>
      <c r="G840" s="5" t="n">
        <v>2023</v>
      </c>
      <c r="H840" s="5" t="inlineStr">
        <is>
          <t>Junio</t>
        </is>
      </c>
      <c r="I840" s="6" t="inlineStr">
        <is>
          <t>2023-1</t>
        </is>
      </c>
      <c r="J840" s="5" t="n">
        <v>100</v>
      </c>
      <c r="K840" s="23" t="n">
        <v>75.75757575757601</v>
      </c>
      <c r="L840" s="7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303-2023-06-30</t>
        </is>
      </c>
    </row>
    <row r="841" hidden="1">
      <c r="A841" s="5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101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79.54545454545455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303-2023-12-31</t>
        </is>
      </c>
    </row>
    <row r="842" hidden="1">
      <c r="A842" s="5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01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95</v>
      </c>
      <c r="K842" s="5" t="n">
        <v>100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303-2024-06-30</t>
        </is>
      </c>
    </row>
    <row r="843" hidden="1">
      <c r="A843" s="26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01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95</v>
      </c>
      <c r="K843" s="5" t="n">
        <v>95.65217391304348</v>
      </c>
      <c r="L843" s="7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303-2024-12-31</t>
        </is>
      </c>
    </row>
    <row r="844" hidden="1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101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95</v>
      </c>
      <c r="K844" s="5" t="n">
        <v>90.31999999999999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303-2025-06-30</t>
        </is>
      </c>
    </row>
    <row r="845" hidden="1">
      <c r="A845" s="28" t="n">
        <v>303</v>
      </c>
      <c r="B845" s="5" t="inlineStr">
        <is>
          <t>Cumplimiento del cronograma de actividades de salud</t>
        </is>
      </c>
      <c r="C845" s="5" t="inlineStr">
        <is>
          <t>Servicio de Salud</t>
        </is>
      </c>
      <c r="D845" s="5" t="inlineStr">
        <is>
          <t>Trimestral</t>
        </is>
      </c>
      <c r="E845" s="5" t="inlineStr">
        <is>
          <t>Positivo</t>
        </is>
      </c>
      <c r="F845" s="101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95</v>
      </c>
      <c r="K845" s="5" t="n">
        <v>100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303-2025-12-31</t>
        </is>
      </c>
    </row>
    <row r="846" hidden="1">
      <c r="A846" s="26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01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100</v>
      </c>
      <c r="K846" s="5" t="n">
        <v>189.86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304-2023-06-30</t>
        </is>
      </c>
    </row>
    <row r="847" hidden="1">
      <c r="A847" s="5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101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100</v>
      </c>
      <c r="K847" s="5" t="n">
        <v>176.33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304-2023-12-31</t>
        </is>
      </c>
    </row>
    <row r="848" hidden="1">
      <c r="A848" s="5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01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100</v>
      </c>
      <c r="K848" s="10" t="n">
        <v>100.12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304-2024-06-30</t>
        </is>
      </c>
    </row>
    <row r="849" hidden="1">
      <c r="A849" s="28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01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100</v>
      </c>
      <c r="K849" s="5" t="n">
        <v>83.56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304-2024-12-31</t>
        </is>
      </c>
    </row>
    <row r="850" hidden="1">
      <c r="A850" s="26" t="n">
        <v>304</v>
      </c>
      <c r="B850" s="5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01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>
        <v>100</v>
      </c>
      <c r="K850" s="5" t="n">
        <v>98.47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304-2025-06-30</t>
        </is>
      </c>
    </row>
    <row r="851" hidden="1">
      <c r="A851" s="5" t="n">
        <v>304</v>
      </c>
      <c r="B851" s="5" t="inlineStr">
        <is>
          <t>Impacto de Campañas de promoción y prevención</t>
        </is>
      </c>
      <c r="C851" s="5" t="inlineStr">
        <is>
          <t>Servicio de Salud</t>
        </is>
      </c>
      <c r="D851" s="5" t="inlineStr">
        <is>
          <t>Trimestral</t>
        </is>
      </c>
      <c r="E851" s="5" t="inlineStr">
        <is>
          <t>Positivo</t>
        </is>
      </c>
      <c r="F851" s="101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>
        <v>100</v>
      </c>
      <c r="K851" s="5" t="n">
        <v>116.09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inlineStr">
        <is>
          <t>ENT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304-2025-12-31</t>
        </is>
      </c>
    </row>
    <row r="852" hidden="1">
      <c r="A852" s="5" t="n">
        <v>305</v>
      </c>
      <c r="B852" s="5" t="inlineStr">
        <is>
          <t>Cumplimiento del plan anual de mantenimiento de equipos médicos</t>
        </is>
      </c>
      <c r="C852" s="5" t="inlineStr">
        <is>
          <t>Servicio de Salud</t>
        </is>
      </c>
      <c r="D852" s="5" t="inlineStr">
        <is>
          <t>Anual</t>
        </is>
      </c>
      <c r="E852" s="5" t="inlineStr">
        <is>
          <t>Positivo</t>
        </is>
      </c>
      <c r="F852" s="101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100</v>
      </c>
      <c r="K852" s="15" t="n">
        <v>100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305-2023-12-31</t>
        </is>
      </c>
    </row>
    <row r="853" hidden="1">
      <c r="A853" s="26" t="n">
        <v>305</v>
      </c>
      <c r="B853" s="5" t="inlineStr">
        <is>
          <t>Cumplimiento del plan anual de mantenimiento de equipos médicos</t>
        </is>
      </c>
      <c r="C853" s="5" t="inlineStr">
        <is>
          <t>Servicio de Salud</t>
        </is>
      </c>
      <c r="D853" s="5" t="inlineStr">
        <is>
          <t>Anual</t>
        </is>
      </c>
      <c r="E853" s="5" t="inlineStr">
        <is>
          <t>Positivo</t>
        </is>
      </c>
      <c r="F853" s="101" t="n">
        <v>45657</v>
      </c>
      <c r="G853" s="5" t="n">
        <v>2024</v>
      </c>
      <c r="H853" s="5" t="inlineStr">
        <is>
          <t>Diciembre</t>
        </is>
      </c>
      <c r="I853" s="6" t="inlineStr">
        <is>
          <t>2024-2</t>
        </is>
      </c>
      <c r="J853" s="5" t="n">
        <v>100</v>
      </c>
      <c r="K853" s="104" t="n">
        <v>100</v>
      </c>
      <c r="L853" s="7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305-2024-12-31</t>
        </is>
      </c>
    </row>
    <row r="854" hidden="1">
      <c r="A854" s="28" t="n">
        <v>306</v>
      </c>
      <c r="B854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101" t="n">
        <v>45107</v>
      </c>
      <c r="G854" s="5" t="n">
        <v>2023</v>
      </c>
      <c r="H854" s="5" t="inlineStr">
        <is>
          <t>Junio</t>
        </is>
      </c>
      <c r="I854" s="6" t="inlineStr">
        <is>
          <t>2023-1</t>
        </is>
      </c>
      <c r="J854" s="5" t="n">
        <v>100</v>
      </c>
      <c r="K854" s="5" t="n">
        <v>0</v>
      </c>
      <c r="L854" s="7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306-2023-06-30</t>
        </is>
      </c>
    </row>
    <row r="855" hidden="1">
      <c r="A855" s="26" t="n">
        <v>306</v>
      </c>
      <c r="B85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101" t="n">
        <v>45199</v>
      </c>
      <c r="G855" s="5" t="n">
        <v>2023</v>
      </c>
      <c r="H855" s="5" t="inlineStr">
        <is>
          <t>Septiembre</t>
        </is>
      </c>
      <c r="I855" s="6" t="inlineStr">
        <is>
          <t>2023-2</t>
        </is>
      </c>
      <c r="J855" s="5" t="n">
        <v>100</v>
      </c>
      <c r="K855" s="5" t="n">
        <v>313</v>
      </c>
      <c r="L855" s="74">
        <f>IFERROR(IF(OR(J855=0,K855=""),"",IF(E855="Positivo",MIN(MAX(K855/J855,0),1.3),MIN(MAX(J855/K855,0),1.3))),"") </f>
        <v/>
      </c>
      <c r="M855" s="14">
        <f>IFERROR(IF(OR(J855=0,K855=""),"",IF(E855="Positivo",MAX(K855/J855,0),MAX(J855/K855,0))),"") 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306-2023-09-30</t>
        </is>
      </c>
    </row>
    <row r="856" hidden="1">
      <c r="A856" s="5" t="n">
        <v>306</v>
      </c>
      <c r="B856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01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100</v>
      </c>
      <c r="K856" s="5" t="n">
        <v>313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306-2023-12-31</t>
        </is>
      </c>
    </row>
    <row r="857" hidden="1">
      <c r="A857" s="5" t="n">
        <v>306</v>
      </c>
      <c r="B857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01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300.5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306-2024-06-30</t>
        </is>
      </c>
    </row>
    <row r="858" hidden="1">
      <c r="A858" s="28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Trimestral</t>
        </is>
      </c>
      <c r="E858" s="5" t="inlineStr">
        <is>
          <t>Positivo</t>
        </is>
      </c>
      <c r="F858" s="101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50.5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306-2024-12-31</t>
        </is>
      </c>
    </row>
    <row r="859" hidden="1">
      <c r="A859" s="26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Semestral</t>
        </is>
      </c>
      <c r="E859" s="5" t="inlineStr">
        <is>
          <t>Positivo</t>
        </is>
      </c>
      <c r="F859" s="101" t="n">
        <v>45838</v>
      </c>
      <c r="G859" s="5" t="n">
        <v>2025</v>
      </c>
      <c r="H859" s="5" t="inlineStr">
        <is>
          <t>Junio</t>
        </is>
      </c>
      <c r="I859" s="6" t="inlineStr">
        <is>
          <t>2025-1</t>
        </is>
      </c>
      <c r="J859" s="5" t="n">
        <v>100</v>
      </c>
      <c r="K859" s="5" t="n">
        <v>108.67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 t="inlineStr">
        <is>
          <t>306-2025-06-30</t>
        </is>
      </c>
    </row>
    <row r="860" hidden="1">
      <c r="A860" s="5" t="n">
        <v>306</v>
      </c>
      <c r="B860" s="5" t="inlineStr">
        <is>
          <t>Seguimiento KPI Plan de Desarrollo Institucional</t>
        </is>
      </c>
      <c r="C860" s="5" t="inlineStr">
        <is>
          <t>Desempeño Institucional</t>
        </is>
      </c>
      <c r="D860" s="5" t="inlineStr">
        <is>
          <t>Semestral</t>
        </is>
      </c>
      <c r="E860" s="5" t="inlineStr">
        <is>
          <t>Positivo</t>
        </is>
      </c>
      <c r="F860" s="101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100</v>
      </c>
      <c r="K860" s="5" t="n">
        <v>106.725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 t="inlineStr">
        <is>
          <t>306-2025-12-31</t>
        </is>
      </c>
    </row>
    <row r="861" hidden="1">
      <c r="A861" s="5" t="n">
        <v>307</v>
      </c>
      <c r="B861" s="5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01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20</v>
      </c>
      <c r="K861" s="10" t="n">
        <v>25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307-2023-06-30</t>
        </is>
      </c>
    </row>
    <row r="862" hidden="1">
      <c r="A862" s="5" t="n">
        <v>307</v>
      </c>
      <c r="B862" s="5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00" t="n">
        <v>45291</v>
      </c>
      <c r="G862" s="15" t="n">
        <v>2023</v>
      </c>
      <c r="H862" s="6" t="inlineStr">
        <is>
          <t>Diciembre</t>
        </is>
      </c>
      <c r="I862" s="27" t="inlineStr">
        <is>
          <t>2023-2</t>
        </is>
      </c>
      <c r="J862" s="5" t="n">
        <v>26</v>
      </c>
      <c r="K862" s="5" t="n">
        <v>82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307-2023-12-31</t>
        </is>
      </c>
    </row>
    <row r="863" hidden="1">
      <c r="A863" s="26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01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112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307-2024-06-30</t>
        </is>
      </c>
    </row>
    <row r="864" hidden="1">
      <c r="A864" s="5" t="n">
        <v>307</v>
      </c>
      <c r="B864" s="5" t="inlineStr">
        <is>
          <t>Organización de escenarios de visibilidad nacional e internacional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01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5" t="n">
        <v>413.33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307-2024-12-31</t>
        </is>
      </c>
    </row>
    <row r="865" hidden="1">
      <c r="A865" s="5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01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12</v>
      </c>
      <c r="K865" s="5" t="n">
        <v>27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308-2023-06-30</t>
        </is>
      </c>
    </row>
    <row r="866" hidden="1">
      <c r="A866" s="28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01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20</v>
      </c>
      <c r="K866" s="5" t="n">
        <v>54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308-2023-12-31</t>
        </is>
      </c>
    </row>
    <row r="867" hidden="1">
      <c r="A867" s="26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01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5" t="n">
        <v>100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308-2024-06-30</t>
        </is>
      </c>
    </row>
    <row r="868" hidden="1">
      <c r="A868" s="5" t="n">
        <v>308</v>
      </c>
      <c r="B868" s="5" t="inlineStr">
        <is>
          <t>Movilidad Física Entrantes Profesores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01" t="n">
        <v>45657</v>
      </c>
      <c r="G868" s="5" t="n">
        <v>2024</v>
      </c>
      <c r="H868" s="5" t="inlineStr">
        <is>
          <t>Diciembre</t>
        </is>
      </c>
      <c r="I868" s="6" t="inlineStr">
        <is>
          <t>2024-2</t>
        </is>
      </c>
      <c r="J868" s="5" t="n">
        <v>100</v>
      </c>
      <c r="K868" s="5" t="n">
        <v>100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308-2024-12-31</t>
        </is>
      </c>
    </row>
    <row r="869" hidden="1">
      <c r="A869" s="5" t="n">
        <v>309</v>
      </c>
      <c r="B869" s="5" t="inlineStr">
        <is>
          <t>Movilidad Física Profesores Salientes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01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19</v>
      </c>
      <c r="K869" s="10" t="n">
        <v>27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309-2023-06-30</t>
        </is>
      </c>
    </row>
    <row r="870" hidden="1">
      <c r="A870" s="28" t="n">
        <v>309</v>
      </c>
      <c r="B870" s="5" t="inlineStr">
        <is>
          <t>Movilidad Física Profesores Salientes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01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45</v>
      </c>
      <c r="K870" s="5" t="n">
        <v>76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309-2023-12-31</t>
        </is>
      </c>
    </row>
    <row r="871" hidden="1">
      <c r="A871" s="26" t="n">
        <v>309</v>
      </c>
      <c r="B871" s="5" t="inlineStr">
        <is>
          <t>Movilidad Física Salientes Profesores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1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216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309-2024-06-30</t>
        </is>
      </c>
    </row>
    <row r="872" hidden="1">
      <c r="A872" s="5" t="n">
        <v>309</v>
      </c>
      <c r="B872" s="5" t="inlineStr">
        <is>
          <t>Movilidad Física Salientes Profesores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1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154.67</v>
      </c>
      <c r="L872" s="1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309-2024-12-31</t>
        </is>
      </c>
    </row>
    <row r="873" hidden="1">
      <c r="A873" s="5" t="n">
        <v>310</v>
      </c>
      <c r="B873" s="5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1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14</v>
      </c>
      <c r="K873" s="5" t="n">
        <v>48</v>
      </c>
      <c r="L873" s="1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310-2023-06-30</t>
        </is>
      </c>
    </row>
    <row r="874" hidden="1">
      <c r="A874" s="26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1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70</v>
      </c>
      <c r="K874" s="5" t="n">
        <v>118</v>
      </c>
      <c r="L874" s="7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310-2023-12-31</t>
        </is>
      </c>
    </row>
    <row r="875" hidden="1">
      <c r="A875" s="5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1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95.56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310-2024-06-30</t>
        </is>
      </c>
    </row>
    <row r="876" hidden="1">
      <c r="A876" s="28" t="n">
        <v>310</v>
      </c>
      <c r="B876" s="5" t="inlineStr">
        <is>
          <t>Movilidad Física Entrante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1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79.13</v>
      </c>
      <c r="L876" s="7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310-2024-12-31</t>
        </is>
      </c>
    </row>
    <row r="877" hidden="1">
      <c r="A877" s="26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1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22</v>
      </c>
      <c r="K877" s="5" t="n">
        <v>85</v>
      </c>
      <c r="L877" s="7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311-2023-06-30</t>
        </is>
      </c>
    </row>
    <row r="878" hidden="1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1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245</v>
      </c>
      <c r="K878" s="5" t="n">
        <v>247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311-2023-12-31</t>
        </is>
      </c>
    </row>
    <row r="879" hidden="1">
      <c r="A879" s="5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1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117.65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311-2024-06-30</t>
        </is>
      </c>
    </row>
    <row r="880" hidden="1">
      <c r="A880" s="28" t="n">
        <v>311</v>
      </c>
      <c r="B880" s="5" t="inlineStr">
        <is>
          <t>Movilidad Física Saliente Estudiantes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1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67.76000000000001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311-2024-12-31</t>
        </is>
      </c>
    </row>
    <row r="881" hidden="1">
      <c r="A881" s="26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1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113</v>
      </c>
      <c r="K881" s="5" t="n">
        <v>125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312-2023-06-30</t>
        </is>
      </c>
    </row>
    <row r="882" hidden="1">
      <c r="A882" s="5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1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108</v>
      </c>
      <c r="K882" s="5" t="n">
        <v>118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312-2023-12-31</t>
        </is>
      </c>
    </row>
    <row r="883" hidden="1">
      <c r="A883" s="5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1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126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312-2024-06-30</t>
        </is>
      </c>
    </row>
    <row r="884" hidden="1">
      <c r="A884" s="28" t="n">
        <v>312</v>
      </c>
      <c r="B884" s="5" t="inlineStr">
        <is>
          <t>Clases espejo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1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137</v>
      </c>
      <c r="L884" s="7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312-2024-12-31</t>
        </is>
      </c>
    </row>
    <row r="885" hidden="1">
      <c r="A885" s="26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1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13</v>
      </c>
      <c r="K885" s="5" t="n">
        <v>13</v>
      </c>
      <c r="L885" s="7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313-2023-06-30</t>
        </is>
      </c>
    </row>
    <row r="886" hidden="1">
      <c r="A886" s="5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1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15</v>
      </c>
      <c r="K886" s="5" t="n">
        <v>12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313-2023-12-31</t>
        </is>
      </c>
    </row>
    <row r="887" hidden="1">
      <c r="A887" s="5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1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100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313-2024-06-30</t>
        </is>
      </c>
    </row>
    <row r="888" hidden="1">
      <c r="A888" s="26" t="n">
        <v>313</v>
      </c>
      <c r="B888" s="5" t="inlineStr">
        <is>
          <t>Seminarios y cursos internacionales virtuales impartidos y certificados por entidades externas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1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7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313-2024-12-31</t>
        </is>
      </c>
    </row>
    <row r="889" hidden="1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01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9</v>
      </c>
      <c r="K889" s="5" t="n">
        <v>13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314-2023-06-30</t>
        </is>
      </c>
    </row>
    <row r="890" hidden="1">
      <c r="A890" s="5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01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14</v>
      </c>
      <c r="K890" s="5" t="n">
        <v>16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314-2023-12-31</t>
        </is>
      </c>
    </row>
    <row r="891" hidden="1">
      <c r="A891" s="26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1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140</v>
      </c>
      <c r="L891" s="7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314-2024-06-30</t>
        </is>
      </c>
    </row>
    <row r="892" hidden="1">
      <c r="A892" s="5" t="n">
        <v>314</v>
      </c>
      <c r="B892" s="5" t="inlineStr">
        <is>
          <t>N de asignaturas COIL - (Collaborative Online International Learning)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1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145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n"/>
      <c r="O892" s="5" t="n"/>
      <c r="P892" s="5" t="n">
        <v>0</v>
      </c>
      <c r="Q892" s="5" t="n">
        <v>0</v>
      </c>
      <c r="R892" s="5" t="inlineStr">
        <is>
          <t>314-2024-12-31</t>
        </is>
      </c>
    </row>
    <row r="893" hidden="1">
      <c r="A893" s="5" t="n">
        <v>315</v>
      </c>
      <c r="B893" s="5" t="inlineStr">
        <is>
          <t>Convenios con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01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5</v>
      </c>
      <c r="K893" s="5" t="n">
        <v>7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315-2023-06-30</t>
        </is>
      </c>
    </row>
    <row r="894" hidden="1">
      <c r="A894" s="26" t="n">
        <v>315</v>
      </c>
      <c r="B894" s="5" t="inlineStr">
        <is>
          <t>Convenios con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01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0</v>
      </c>
      <c r="K894" s="5" t="n">
        <v>0</v>
      </c>
      <c r="L894" s="7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n"/>
      <c r="O894" s="5" t="n"/>
      <c r="P894" s="5" t="n">
        <v>0</v>
      </c>
      <c r="Q894" s="5" t="n">
        <v>0</v>
      </c>
      <c r="R894" s="5" t="inlineStr">
        <is>
          <t>315-2023-12-31</t>
        </is>
      </c>
    </row>
    <row r="895" hidden="1">
      <c r="A895" s="5" t="n">
        <v>315</v>
      </c>
      <c r="B895" s="5" t="inlineStr">
        <is>
          <t>Num de programas con convenios de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1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/>
      <c r="K895" s="5" t="n"/>
      <c r="L895" s="14" t="n"/>
      <c r="M895" s="14" t="n"/>
      <c r="N895" s="5" t="n"/>
      <c r="O895" s="5" t="n"/>
      <c r="P895" s="5" t="n">
        <v>0</v>
      </c>
      <c r="Q895" s="5" t="n">
        <v>0</v>
      </c>
      <c r="R895" s="5" t="inlineStr">
        <is>
          <t>315-2024-06-30</t>
        </is>
      </c>
    </row>
    <row r="896" hidden="1">
      <c r="A896" s="5" t="n">
        <v>315</v>
      </c>
      <c r="B896" s="5" t="inlineStr">
        <is>
          <t>Num de programas con convenios de doble titulación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1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/>
      <c r="K896" s="5" t="n"/>
      <c r="L896" s="14" t="n"/>
      <c r="M896" s="14" t="n"/>
      <c r="N896" s="5" t="n"/>
      <c r="O896" s="5" t="n"/>
      <c r="P896" s="5" t="n">
        <v>0</v>
      </c>
      <c r="Q896" s="5" t="n">
        <v>0</v>
      </c>
      <c r="R896" s="5" t="inlineStr">
        <is>
          <t>315-2024-12-31</t>
        </is>
      </c>
    </row>
    <row r="897" hidden="1">
      <c r="A897" s="26" t="n">
        <v>316</v>
      </c>
      <c r="B897" s="5" t="inlineStr">
        <is>
          <t>Asignaturas con sesiones en segundo idioma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1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9</v>
      </c>
      <c r="K897" s="5" t="n">
        <v>11</v>
      </c>
      <c r="L897" s="7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316-2023-06-30</t>
        </is>
      </c>
    </row>
    <row r="898" hidden="1">
      <c r="A898" s="26" t="n">
        <v>316</v>
      </c>
      <c r="B898" s="5" t="inlineStr">
        <is>
          <t>Asignaturas con sesiones en segundo idioma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1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12</v>
      </c>
      <c r="K898" s="5" t="n">
        <v>11</v>
      </c>
      <c r="L898" s="7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316-2023-12-31</t>
        </is>
      </c>
    </row>
    <row r="899" hidden="1">
      <c r="A899" s="5" t="n">
        <v>317</v>
      </c>
      <c r="B899" s="5" t="inlineStr">
        <is>
          <t>Plan De Internacionalización A 7 Años</t>
        </is>
      </c>
      <c r="C899" s="5" t="inlineStr">
        <is>
          <t>VISIBILIDAD NACIONAL E INTERNACIONAL</t>
        </is>
      </c>
      <c r="D899" s="5" t="inlineStr">
        <is>
          <t>Anual</t>
        </is>
      </c>
      <c r="E899" s="5" t="inlineStr">
        <is>
          <t>Positivo</t>
        </is>
      </c>
      <c r="F899" s="101" t="n">
        <v>45291</v>
      </c>
      <c r="G899" s="5" t="n">
        <v>2023</v>
      </c>
      <c r="H899" s="5" t="inlineStr">
        <is>
          <t>Diciembre</t>
        </is>
      </c>
      <c r="I899" s="6" t="inlineStr">
        <is>
          <t>2023-2</t>
        </is>
      </c>
      <c r="J899" s="5" t="n">
        <v>12</v>
      </c>
      <c r="K899" s="5" t="n">
        <v>12</v>
      </c>
      <c r="L899" s="1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317-2023-12-31</t>
        </is>
      </c>
    </row>
    <row r="900" hidden="1">
      <c r="A900" s="5" t="n">
        <v>317</v>
      </c>
      <c r="B900" s="5" t="inlineStr">
        <is>
          <t>Plan De Internacionalización A 7 Años</t>
        </is>
      </c>
      <c r="C900" s="5" t="inlineStr">
        <is>
          <t>VISIBILIDAD NACIONAL E INTERNACIONAL</t>
        </is>
      </c>
      <c r="D900" s="5" t="inlineStr">
        <is>
          <t>Anual</t>
        </is>
      </c>
      <c r="E900" s="5" t="inlineStr">
        <is>
          <t>Positivo</t>
        </is>
      </c>
      <c r="F900" s="101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1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317-2024-12-31</t>
        </is>
      </c>
    </row>
    <row r="901" hidden="1">
      <c r="A901" s="26" t="n">
        <v>318</v>
      </c>
      <c r="B901" s="5" t="inlineStr">
        <is>
          <t>Convenios, alianzas activas con actividades desde 2018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1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80</v>
      </c>
      <c r="K901" s="5" t="n">
        <v>85.981308411215</v>
      </c>
      <c r="L901" s="7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318-2023-06-30</t>
        </is>
      </c>
    </row>
    <row r="902" hidden="1">
      <c r="A902" s="28" t="n">
        <v>318</v>
      </c>
      <c r="B902" s="5" t="inlineStr">
        <is>
          <t>Convenios, alianzas activas con actividades desde 2018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1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80</v>
      </c>
      <c r="K902" s="5" t="n">
        <v>90.90909090909091</v>
      </c>
      <c r="L902" s="7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318-2023-12-31</t>
        </is>
      </c>
    </row>
    <row r="903" hidden="1">
      <c r="A903" s="26" t="n">
        <v>318</v>
      </c>
      <c r="B903" s="5" t="inlineStr">
        <is>
          <t>Convenios, alianzas activas con actividades en los últimos 5 años</t>
        </is>
      </c>
      <c r="C903" s="5" t="inlineStr">
        <is>
          <t>VISIBILIDAD NACIONAL E INTERNACIONAL</t>
        </is>
      </c>
      <c r="D903" s="5" t="inlineStr">
        <is>
          <t>Anual</t>
        </is>
      </c>
      <c r="E903" s="5" t="inlineStr">
        <is>
          <t>Positivo</t>
        </is>
      </c>
      <c r="F903" s="101" t="n">
        <v>45657</v>
      </c>
      <c r="G903" s="5" t="n">
        <v>2024</v>
      </c>
      <c r="H903" s="5" t="inlineStr">
        <is>
          <t>Diciembre</t>
        </is>
      </c>
      <c r="I903" s="6" t="inlineStr">
        <is>
          <t>2024-2</t>
        </is>
      </c>
      <c r="J903" s="5" t="n">
        <v>80</v>
      </c>
      <c r="K903" s="5" t="n">
        <v>90.28</v>
      </c>
      <c r="L903" s="7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318-2024-12-31</t>
        </is>
      </c>
    </row>
    <row r="904" hidden="1">
      <c r="A904" s="26" t="n">
        <v>318</v>
      </c>
      <c r="B904" s="5" t="inlineStr">
        <is>
          <t>Convenios, alianzas activas con actividades en los últimos 5 años</t>
        </is>
      </c>
      <c r="C904" s="5" t="inlineStr">
        <is>
          <t>VISIBILIDAD NACIONAL E INTERNACIONAL</t>
        </is>
      </c>
      <c r="D904" s="5" t="inlineStr">
        <is>
          <t>Anual</t>
        </is>
      </c>
      <c r="E904" s="5" t="inlineStr">
        <is>
          <t>Positivo</t>
        </is>
      </c>
      <c r="F904" s="101" t="n">
        <v>46022</v>
      </c>
      <c r="G904" s="5" t="n">
        <v>2025</v>
      </c>
      <c r="H904" s="5" t="inlineStr">
        <is>
          <t>Diciembre</t>
        </is>
      </c>
      <c r="I904" s="6" t="inlineStr">
        <is>
          <t>2025-2</t>
        </is>
      </c>
      <c r="J904" s="5" t="n">
        <v>85</v>
      </c>
      <c r="K904" s="5" t="n">
        <v>86.16</v>
      </c>
      <c r="L904" s="7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318-2025-12-31</t>
        </is>
      </c>
    </row>
    <row r="905" hidden="1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1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80</v>
      </c>
      <c r="L905" s="1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 t="inlineStr">
        <is>
          <t>319-2023-06-30</t>
        </is>
      </c>
    </row>
    <row r="906" hidden="1">
      <c r="A906" s="26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1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7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319-2023-12-31</t>
        </is>
      </c>
    </row>
    <row r="907" hidden="1">
      <c r="A907" s="5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01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319-2024-06-30</t>
        </is>
      </c>
    </row>
    <row r="908" hidden="1">
      <c r="A908" s="34" t="n">
        <v>319</v>
      </c>
      <c r="B908" s="5" t="inlineStr">
        <is>
          <t>Nivel de cumplimiento de la gestión de internacionalización descrito en el plan de trabajo de la ORNI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01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100</v>
      </c>
      <c r="L908" s="7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319-2024-12-31</t>
        </is>
      </c>
    </row>
    <row r="909" hidden="1">
      <c r="A909" s="26" t="n">
        <v>320</v>
      </c>
      <c r="B909" s="5" t="inlineStr">
        <is>
          <t>Participación docentes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01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26</v>
      </c>
      <c r="K909" s="5" t="n">
        <v>12</v>
      </c>
      <c r="L909" s="7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320-2023-06-30</t>
        </is>
      </c>
    </row>
    <row r="910" hidden="1">
      <c r="A910" s="28" t="n">
        <v>320</v>
      </c>
      <c r="B910" s="5" t="inlineStr">
        <is>
          <t>Participación docentes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01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15</v>
      </c>
      <c r="K910" s="5" t="n">
        <v>17</v>
      </c>
      <c r="L910" s="7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320-2023-12-31</t>
        </is>
      </c>
    </row>
    <row r="911" hidden="1">
      <c r="A911" s="26" t="n">
        <v>320</v>
      </c>
      <c r="B911" s="5" t="inlineStr">
        <is>
          <t>Participación docentes Poli en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01" t="n">
        <v>45473</v>
      </c>
      <c r="G911" s="5" t="n">
        <v>2024</v>
      </c>
      <c r="H911" s="5" t="inlineStr">
        <is>
          <t>Junio</t>
        </is>
      </c>
      <c r="I911" s="6" t="inlineStr">
        <is>
          <t>2024-1</t>
        </is>
      </c>
      <c r="J911" s="5" t="n">
        <v>100</v>
      </c>
      <c r="K911" s="5" t="n">
        <v>140</v>
      </c>
      <c r="L911" s="7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320-2024-06-30</t>
        </is>
      </c>
    </row>
    <row r="912" hidden="1">
      <c r="A912" s="5" t="n">
        <v>320</v>
      </c>
      <c r="B912" s="5" t="inlineStr">
        <is>
          <t>Participación docentes Poli en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01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115</v>
      </c>
      <c r="L912" s="1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n"/>
      <c r="O912" s="5" t="n"/>
      <c r="P912" s="5" t="n">
        <v>0</v>
      </c>
      <c r="Q912" s="5" t="n">
        <v>0</v>
      </c>
      <c r="R912" s="5" t="inlineStr">
        <is>
          <t>320-2024-12-31</t>
        </is>
      </c>
    </row>
    <row r="913" hidden="1">
      <c r="A913" s="5" t="n">
        <v>321</v>
      </c>
      <c r="B913" s="5" t="inlineStr">
        <is>
          <t>Participación estudiantes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01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180</v>
      </c>
      <c r="K913" s="5" t="n">
        <v>236</v>
      </c>
      <c r="L913" s="1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321-2023-06-30</t>
        </is>
      </c>
    </row>
    <row r="914" hidden="1">
      <c r="A914" s="34" t="n">
        <v>321</v>
      </c>
      <c r="B914" s="5" t="inlineStr">
        <is>
          <t>Participación estudiantes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01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180</v>
      </c>
      <c r="K914" s="5" t="n">
        <v>231</v>
      </c>
      <c r="L914" s="7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n"/>
      <c r="O914" s="5" t="n"/>
      <c r="P914" s="5" t="n">
        <v>0</v>
      </c>
      <c r="Q914" s="5" t="n">
        <v>0</v>
      </c>
      <c r="R914" s="5" t="inlineStr">
        <is>
          <t>321-2023-12-31</t>
        </is>
      </c>
    </row>
    <row r="915" hidden="1">
      <c r="A915" s="26" t="n">
        <v>321</v>
      </c>
      <c r="B915" s="5" t="inlineStr">
        <is>
          <t>Participación estudiantes Poli en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01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>
        <v>106.52</v>
      </c>
      <c r="L915" s="74">
        <f>IFERROR(IF(OR(J915=0,K915=""),"",IF(E915="Positivo",MIN(MAX(K915/J915,0),1.3),MIN(MAX(J915/K915,0),1.3))),"") </f>
        <v/>
      </c>
      <c r="M915" s="14">
        <f>IFERROR(IF(OR(J915=0,K915=""),"",IF(E915="Positivo",MAX(K915/J915,0),MAX(J915/K915,0))),"") </f>
        <v/>
      </c>
      <c r="N915" s="5" t="n"/>
      <c r="O915" s="5" t="n"/>
      <c r="P915" s="5" t="n">
        <v>0</v>
      </c>
      <c r="Q915" s="5" t="n">
        <v>0</v>
      </c>
      <c r="R915" s="5" t="inlineStr">
        <is>
          <t>321-2024-06-30</t>
        </is>
      </c>
    </row>
    <row r="916" hidden="1">
      <c r="A916" s="28" t="n">
        <v>321</v>
      </c>
      <c r="B916" s="5" t="inlineStr">
        <is>
          <t>Participación estudiantes Poli en eventos académicos internacionales virtuales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01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502.17</v>
      </c>
      <c r="L916" s="74">
        <f>IFERROR(IF(OR(J916=0,K916=""),"",IF(E916="Positivo",MIN(MAX(K916/J916,0),1.3),MIN(MAX(J916/K916,0),1.3))),"") </f>
        <v/>
      </c>
      <c r="M916" s="14">
        <f>IFERROR(IF(OR(J916=0,K916=""),"",IF(E916="Positivo",MAX(K916/J916,0),MAX(J916/K916,0))),"") </f>
        <v/>
      </c>
      <c r="N916" s="5" t="n"/>
      <c r="O916" s="5" t="n"/>
      <c r="P916" s="5" t="n">
        <v>0</v>
      </c>
      <c r="Q916" s="5" t="n">
        <v>0</v>
      </c>
      <c r="R916" s="5" t="inlineStr">
        <is>
          <t>321-2024-12-31</t>
        </is>
      </c>
    </row>
    <row r="917" hidden="1">
      <c r="A917" s="26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01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74">
        <f>IFERROR(IF(OR(J917=0,K917=""),"",IF(E917="Positivo",MIN(MAX(K917/J917,0),1.3),MIN(MAX(J917/K917,0),1.3))),"") </f>
        <v/>
      </c>
      <c r="M917" s="14">
        <f>IFERROR(IF(OR(J917=0,K917=""),"",IF(E917="Positivo",MAX(K917/J917,0),MAX(J917/K917,0))),"") </f>
        <v/>
      </c>
      <c r="N917" s="5" t="n"/>
      <c r="O917" s="5" t="n"/>
      <c r="P917" s="5" t="n">
        <v>0</v>
      </c>
      <c r="Q917" s="5" t="n">
        <v>0</v>
      </c>
      <c r="R917" s="5" t="inlineStr">
        <is>
          <t>323-2023-06-30</t>
        </is>
      </c>
    </row>
    <row r="918" hidden="1">
      <c r="A918" s="5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01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14">
        <f>IFERROR(IF(OR(J918=0,K918=""),"",IF(E918="Positivo",MIN(MAX(K918/J918,0),1.3),MIN(MAX(J918/K918,0),1.3))),"") </f>
        <v/>
      </c>
      <c r="M918" s="14">
        <f>IFERROR(IF(OR(J918=0,K918=""),"",IF(E918="Positivo",MAX(K918/J918,0),MAX(J918/K918,0))),"") </f>
        <v/>
      </c>
      <c r="N918" s="5" t="n"/>
      <c r="O918" s="5" t="n"/>
      <c r="P918" s="5" t="n">
        <v>0</v>
      </c>
      <c r="Q918" s="5" t="n">
        <v>0</v>
      </c>
      <c r="R918" s="5" t="inlineStr">
        <is>
          <t>323-2023-12-31</t>
        </is>
      </c>
    </row>
    <row r="919" hidden="1">
      <c r="A919" s="5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01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14">
        <f>IFERROR(IF(OR(J919=0,K919=""),"",IF(E919="Positivo",MIN(MAX(K919/J919,0),1.3),MIN(MAX(J919/K919,0),1.3))),"") </f>
        <v/>
      </c>
      <c r="M919" s="14">
        <f>IFERROR(IF(OR(J919=0,K919=""),"",IF(E919="Positivo",MAX(K919/J919,0),MAX(J919/K919,0))),"") </f>
        <v/>
      </c>
      <c r="N919" s="5" t="n"/>
      <c r="O919" s="5" t="n"/>
      <c r="P919" s="5" t="n">
        <v>0</v>
      </c>
      <c r="Q919" s="5" t="n">
        <v>0</v>
      </c>
      <c r="R919" s="5" t="inlineStr">
        <is>
          <t>323-2024-06-30</t>
        </is>
      </c>
    </row>
    <row r="920" hidden="1">
      <c r="A920" s="34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01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0</v>
      </c>
      <c r="L920" s="74">
        <f>IFERROR(IF(OR(J920=0,K920=""),"",IF(E920="Positivo",MIN(MAX(K920/J920,0),1.3),MIN(MAX(J920/K920,0),1.3))),"") </f>
        <v/>
      </c>
      <c r="M920" s="14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323-2024-12-31</t>
        </is>
      </c>
    </row>
    <row r="921" hidden="1">
      <c r="A921" s="26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01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>
        <v>100</v>
      </c>
      <c r="K921" s="5" t="n">
        <v>100</v>
      </c>
      <c r="L921" s="74">
        <f>IFERROR(IF(OR(J921=0,K921=""),"",IF(E921="Positivo",MIN(MAX(K921/J921,0),1.3),MIN(MAX(J921/K921,0),1.3))),"") </f>
        <v/>
      </c>
      <c r="M921" s="14">
        <f>IFERROR(IF(OR(J921=0,K921=""),"",IF(E921="Positivo",MAX(K921/J921,0),MAX(J921/K921,0))),"") </f>
        <v/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323-2025-06-30</t>
        </is>
      </c>
    </row>
    <row r="922" hidden="1">
      <c r="A922" s="28" t="n">
        <v>323</v>
      </c>
      <c r="B922" s="5" t="inlineStr">
        <is>
          <t>Número de renovaciones de registro calificado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01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>
        <v>100</v>
      </c>
      <c r="K922" s="5" t="n">
        <v>100</v>
      </c>
      <c r="L922" s="74">
        <f>IFERROR(IF(OR(J922=0,K922=""),"",IF(E922="Positivo",MIN(MAX(K922/J922,0),1.3),MIN(MAX(J922/K922,0),1.3))),"") </f>
        <v/>
      </c>
      <c r="M922" s="14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323-2025-12-31</t>
        </is>
      </c>
    </row>
    <row r="923" hidden="1">
      <c r="A923" s="26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01" t="n">
        <v>45107</v>
      </c>
      <c r="G923" s="5" t="n">
        <v>2023</v>
      </c>
      <c r="H923" s="5" t="inlineStr">
        <is>
          <t>Junio</t>
        </is>
      </c>
      <c r="I923" s="6" t="inlineStr">
        <is>
          <t>2023-1</t>
        </is>
      </c>
      <c r="J923" s="5" t="n">
        <v>100</v>
      </c>
      <c r="K923" s="5" t="n">
        <v>0</v>
      </c>
      <c r="L923" s="74">
        <f>IFERROR(IF(OR(J923=0,K923=""),"",IF(E923="Positivo",MIN(MAX(K923/J923,0),1.3),MIN(MAX(J923/K923,0),1.3))),"") </f>
        <v/>
      </c>
      <c r="M923" s="14">
        <f>IFERROR(IF(OR(J923=0,K923=""),"",IF(E923="Positivo",MAX(K923/J923,0),MAX(J923/K923,0))),"") </f>
        <v/>
      </c>
      <c r="N923" s="5" t="n"/>
      <c r="O923" s="5" t="n"/>
      <c r="P923" s="5" t="n">
        <v>0</v>
      </c>
      <c r="Q923" s="5" t="n">
        <v>0</v>
      </c>
      <c r="R923" s="5" t="inlineStr">
        <is>
          <t>324-2023-06-30</t>
        </is>
      </c>
    </row>
    <row r="924" hidden="1">
      <c r="A924" s="5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101" t="n">
        <v>45291</v>
      </c>
      <c r="G924" s="5" t="n">
        <v>2023</v>
      </c>
      <c r="H924" s="5" t="inlineStr">
        <is>
          <t>Diciembre</t>
        </is>
      </c>
      <c r="I924" s="6" t="inlineStr">
        <is>
          <t>2023-2</t>
        </is>
      </c>
      <c r="J924" s="5" t="n">
        <v>100</v>
      </c>
      <c r="K924" s="5" t="n">
        <v>100</v>
      </c>
      <c r="L924" s="14">
        <f>IFERROR(IF(OR(J924=0,K924=""),"",IF(E924="Positivo",MIN(MAX(K924/J924,0),1.3),MIN(MAX(J924/K924,0),1.3))),"") </f>
        <v/>
      </c>
      <c r="M924" s="14">
        <f>IFERROR(IF(OR(J924=0,K924=""),"",IF(E924="Positivo",MAX(K924/J924,0),MAX(J924/K924,0))),"") </f>
        <v/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324-2023-12-31</t>
        </is>
      </c>
    </row>
    <row r="925" hidden="1">
      <c r="A925" s="5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01" t="n">
        <v>45473</v>
      </c>
      <c r="G925" s="5" t="n">
        <v>2024</v>
      </c>
      <c r="H925" s="5" t="inlineStr">
        <is>
          <t>Junio</t>
        </is>
      </c>
      <c r="I925" s="6" t="inlineStr">
        <is>
          <t>2024-1</t>
        </is>
      </c>
      <c r="J925" s="5" t="n">
        <v>100</v>
      </c>
      <c r="K925" s="5" t="n"/>
      <c r="L925" s="14" t="n"/>
      <c r="M925" s="14" t="n"/>
      <c r="N925" s="5" t="n"/>
      <c r="O925" s="5" t="n"/>
      <c r="P925" s="5" t="n">
        <v>0</v>
      </c>
      <c r="Q925" s="5" t="n">
        <v>0</v>
      </c>
      <c r="R925" s="5" t="inlineStr">
        <is>
          <t>324-2024-06-30</t>
        </is>
      </c>
    </row>
    <row r="926" hidden="1">
      <c r="A926" s="34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01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100</v>
      </c>
      <c r="K926" s="5" t="n">
        <v>100</v>
      </c>
      <c r="L926" s="74">
        <f>IFERROR(IF(OR(J926=0,K926=""),"",IF(E926="Positivo",MIN(MAX(K926/J926,0),1.3),MIN(MAX(J926/K926,0),1.3))),"") </f>
        <v/>
      </c>
      <c r="M926" s="14">
        <f>IFERROR(IF(OR(J926=0,K926=""),"",IF(E926="Positivo",MAX(K926/J926,0),MAX(J926/K926,0))),"") </f>
        <v/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324-2024-12-31</t>
        </is>
      </c>
    </row>
    <row r="927" hidden="1">
      <c r="A927" s="26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01" t="n">
        <v>45838</v>
      </c>
      <c r="G927" s="5" t="n">
        <v>2025</v>
      </c>
      <c r="H927" s="5" t="inlineStr">
        <is>
          <t>Junio</t>
        </is>
      </c>
      <c r="I927" s="6" t="inlineStr">
        <is>
          <t>2025-1</t>
        </is>
      </c>
      <c r="J927" s="5" t="n">
        <v>100</v>
      </c>
      <c r="K927" s="5" t="n">
        <v>100</v>
      </c>
      <c r="L927" s="74">
        <f>IFERROR(IF(OR(J927=0,K927=""),"",IF(E927="Positivo",MIN(MAX(K927/J927,0),1.3),MIN(MAX(J927/K927,0),1.3))),"") </f>
        <v/>
      </c>
      <c r="M927" s="14">
        <f>IFERROR(IF(OR(J927=0,K927=""),"",IF(E927="Positivo",MAX(K927/J927,0),MAX(J927/K927,0))),"") </f>
        <v/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324-2025-06-30</t>
        </is>
      </c>
    </row>
    <row r="928" hidden="1">
      <c r="A928" s="28" t="n">
        <v>324</v>
      </c>
      <c r="B928" s="5" t="inlineStr">
        <is>
          <t>Número de programas nuevos radicados en el Ministerio de Educación</t>
        </is>
      </c>
      <c r="C928" s="5" t="inlineStr">
        <is>
          <t>Creación, modificación y cierre de programas académicos</t>
        </is>
      </c>
      <c r="D928" s="5" t="inlineStr">
        <is>
          <t>Trimestral</t>
        </is>
      </c>
      <c r="E928" s="5" t="inlineStr">
        <is>
          <t>Positivo</t>
        </is>
      </c>
      <c r="F928" s="101" t="n">
        <v>46022</v>
      </c>
      <c r="G928" s="5" t="n">
        <v>2025</v>
      </c>
      <c r="H928" s="5" t="inlineStr">
        <is>
          <t>Diciembre</t>
        </is>
      </c>
      <c r="I928" s="6" t="inlineStr">
        <is>
          <t>2025-2</t>
        </is>
      </c>
      <c r="J928" s="5" t="n">
        <v>100</v>
      </c>
      <c r="K928" s="5" t="n">
        <v>200</v>
      </c>
      <c r="L928" s="74">
        <f>IFERROR(IF(OR(J928=0,K928=""),"",IF(E928="Positivo",MIN(MAX(K928/J928,0),1.3),MIN(MAX(J928/K928,0),1.3))),"") </f>
        <v/>
      </c>
      <c r="M928" s="14">
        <f>IFERROR(IF(OR(J928=0,K928=""),"",IF(E928="Positivo",MAX(K928/J928,0),MAX(J928/K928,0))),"") </f>
        <v/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324-2025-12-31</t>
        </is>
      </c>
    </row>
    <row r="929" hidden="1">
      <c r="A929" s="26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1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7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325-2023-06-30</t>
        </is>
      </c>
    </row>
    <row r="930" hidden="1">
      <c r="A930" s="5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1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0</v>
      </c>
      <c r="L930" s="1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325-2023-12-31</t>
        </is>
      </c>
    </row>
    <row r="931" hidden="1">
      <c r="A931" s="5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1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14">
        <f>IFERROR(IF(OR(J931=0,K931=""),"",IF(E931="Positivo",MIN(MAX(K931/J931,0),1.3),MIN(MAX(J931/K931,0),1.3))),"") </f>
        <v/>
      </c>
      <c r="M931" s="14">
        <f>IFERROR(IF(OR(J931=0,K931=""),"",IF(E931="Positivo",MAX(K931/J931,0),MAX(J931/K931,0))),"") </f>
        <v/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325-2024-06-30</t>
        </is>
      </c>
    </row>
    <row r="932" hidden="1">
      <c r="A932" s="34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1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100</v>
      </c>
      <c r="L932" s="74">
        <f>IFERROR(IF(OR(J932=0,K932=""),"",IF(E932="Positivo",MIN(MAX(K932/J932,0),1.3),MIN(MAX(J932/K932,0),1.3))),"") </f>
        <v/>
      </c>
      <c r="M932" s="14">
        <f>IFERROR(IF(OR(J932=0,K932=""),"",IF(E932="Positivo",MAX(K932/J932,0),MAX(J932/K932,0))),"") </f>
        <v/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325-2024-12-31</t>
        </is>
      </c>
    </row>
    <row r="933" hidden="1">
      <c r="A933" s="26" t="n">
        <v>325</v>
      </c>
      <c r="B933" s="5" t="inlineStr">
        <is>
          <t>Número de programas nuevos con registro calificado aprobado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01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8</v>
      </c>
      <c r="K933" s="5" t="n">
        <v>100</v>
      </c>
      <c r="L933" s="74">
        <f>IFERROR(IF(OR(J933=0,K933=""),"",IF(E933="Positivo",MIN(MAX(K933/J933,0),1.3),MIN(MAX(J933/K933,0),1.3))),"") </f>
        <v/>
      </c>
      <c r="M933" s="14">
        <f>IFERROR(IF(OR(J933=0,K933=""),"",IF(E933="Positivo",MAX(K933/J933,0),MAX(J933/K933,0))),"") </f>
        <v/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325-2025-06-30</t>
        </is>
      </c>
    </row>
    <row r="934" hidden="1">
      <c r="A934" s="28" t="n">
        <v>325</v>
      </c>
      <c r="B934" s="5" t="inlineStr">
        <is>
          <t>Número de programas nuevos con registro calificado aprobado - Metrica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01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/>
      <c r="K934" s="5" t="n">
        <v>100</v>
      </c>
      <c r="L934" s="74" t="n"/>
      <c r="M934" s="14" t="n"/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325-2025-12-31</t>
        </is>
      </c>
      <c r="S934" t="inlineStr">
        <is>
          <t>Metrica</t>
        </is>
      </c>
    </row>
    <row r="935" hidden="1">
      <c r="A935" s="26" t="n">
        <v>326</v>
      </c>
      <c r="B935" s="5" t="inlineStr">
        <is>
          <t>Número de informes de autoevaluación con fines de acreditación en alta calidad radicados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101" t="n">
        <v>45291</v>
      </c>
      <c r="G935" s="5" t="n">
        <v>2023</v>
      </c>
      <c r="H935" s="5" t="inlineStr">
        <is>
          <t>Diciembre</t>
        </is>
      </c>
      <c r="I935" s="6" t="inlineStr">
        <is>
          <t>2023-2</t>
        </is>
      </c>
      <c r="J935" s="5" t="n">
        <v>100</v>
      </c>
      <c r="K935" s="5" t="n">
        <v>100</v>
      </c>
      <c r="L935" s="74">
        <f>IFERROR(IF(OR(J935=0,K935=""),"",IF(E935="Positivo",MIN(MAX(K935/J935,0),1.3),MIN(MAX(J935/K935,0),1.3))),"") </f>
        <v/>
      </c>
      <c r="M935" s="14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326-2023-12-31</t>
        </is>
      </c>
    </row>
    <row r="936" hidden="1">
      <c r="A936" s="5" t="n">
        <v>326</v>
      </c>
      <c r="B936" s="5" t="inlineStr">
        <is>
          <t>Número de informes de autoevaluación con fines de acreditación en alta calidad radicados</t>
        </is>
      </c>
      <c r="C936" s="5" t="inlineStr">
        <is>
          <t>Autoevaluación de programas académicos</t>
        </is>
      </c>
      <c r="D936" s="5" t="inlineStr">
        <is>
          <t>Anual</t>
        </is>
      </c>
      <c r="E936" s="5" t="inlineStr">
        <is>
          <t>Positivo</t>
        </is>
      </c>
      <c r="F936" s="101" t="n">
        <v>45657</v>
      </c>
      <c r="G936" s="5" t="n">
        <v>2024</v>
      </c>
      <c r="H936" s="5" t="inlineStr">
        <is>
          <t>Diciembre</t>
        </is>
      </c>
      <c r="I936" s="6" t="inlineStr">
        <is>
          <t>2024-2</t>
        </is>
      </c>
      <c r="J936" s="5" t="n">
        <v>0</v>
      </c>
      <c r="K936" s="5" t="n"/>
      <c r="L936" s="14" t="n"/>
      <c r="M936" s="14" t="n"/>
      <c r="N936" s="5" t="inlineStr">
        <is>
          <t>ENT</t>
        </is>
      </c>
      <c r="O936" s="5" t="inlineStr">
        <is>
          <t>N/A</t>
        </is>
      </c>
      <c r="P936" s="5" t="n">
        <v>0</v>
      </c>
      <c r="Q936" s="5" t="n">
        <v>0</v>
      </c>
      <c r="R936" s="5" t="inlineStr">
        <is>
          <t>326-2024-12-31</t>
        </is>
      </c>
    </row>
    <row r="937" hidden="1">
      <c r="A937" s="5" t="n">
        <v>326</v>
      </c>
      <c r="B937" s="5" t="inlineStr">
        <is>
          <t>Número de informes de autoevaluación con fines de acreditación en alta calidad radicados- Metrica</t>
        </is>
      </c>
      <c r="C937" s="5" t="inlineStr">
        <is>
          <t>Autoevaluación de programas académicos</t>
        </is>
      </c>
      <c r="D937" s="5" t="inlineStr">
        <is>
          <t>Anual</t>
        </is>
      </c>
      <c r="E937" s="5" t="inlineStr">
        <is>
          <t>Positivo</t>
        </is>
      </c>
      <c r="F937" s="101" t="n">
        <v>46022</v>
      </c>
      <c r="G937" s="5" t="n">
        <v>2025</v>
      </c>
      <c r="H937" s="5" t="inlineStr">
        <is>
          <t>Diciembre</t>
        </is>
      </c>
      <c r="I937" s="6" t="inlineStr">
        <is>
          <t>2025-2</t>
        </is>
      </c>
      <c r="J937" s="5" t="n">
        <v>3</v>
      </c>
      <c r="K937" s="5" t="n">
        <v>100</v>
      </c>
      <c r="L937" s="14" t="n"/>
      <c r="M937" s="14" t="n"/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326-2025-12-31</t>
        </is>
      </c>
      <c r="S937" t="inlineStr">
        <is>
          <t>Metrica</t>
        </is>
      </c>
    </row>
    <row r="938" hidden="1">
      <c r="A938" s="34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01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100</v>
      </c>
      <c r="K938" s="5" t="n">
        <v>0</v>
      </c>
      <c r="L938" s="74">
        <f>IFERROR(IF(OR(J938=0,K938=""),"",IF(E938="Positivo",MIN(MAX(K938/J938,0),1.3),MIN(MAX(J938/K938,0),1.3))),"") </f>
        <v/>
      </c>
      <c r="M938" s="14">
        <f>IFERROR(IF(OR(J938=0,K938=""),"",IF(E938="Positivo",MAX(K938/J938,0),MAX(J938/K938,0))),"") </f>
        <v/>
      </c>
      <c r="N938" s="5" t="n"/>
      <c r="O938" s="5" t="n"/>
      <c r="P938" s="5" t="n">
        <v>0</v>
      </c>
      <c r="Q938" s="5" t="n">
        <v>0</v>
      </c>
      <c r="R938" s="5" t="inlineStr">
        <is>
          <t>327-2023-06-30</t>
        </is>
      </c>
    </row>
    <row r="939" hidden="1">
      <c r="A939" s="26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01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100</v>
      </c>
      <c r="K939" s="5" t="n">
        <v>100</v>
      </c>
      <c r="L939" s="74">
        <f>IFERROR(IF(OR(J939=0,K939=""),"",IF(E939="Positivo",MIN(MAX(K939/J939,0),1.3),MIN(MAX(J939/K939,0),1.3))),"") </f>
        <v/>
      </c>
      <c r="M939" s="14">
        <f>IFERROR(IF(OR(J939=0,K939=""),"",IF(E939="Positivo",MAX(K939/J939,0),MAX(J939/K939,0))),"") </f>
        <v/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327-2023-12-31</t>
        </is>
      </c>
    </row>
    <row r="940" hidden="1">
      <c r="A940" s="28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01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100</v>
      </c>
      <c r="K940" s="5" t="n">
        <v>0</v>
      </c>
      <c r="L940" s="74">
        <f>IFERROR(IF(OR(J940=0,K940=""),"",IF(E940="Positivo",MIN(MAX(K940/J940,0),1.3),MIN(MAX(J940/K940,0),1.3))),"") </f>
        <v/>
      </c>
      <c r="M940" s="14">
        <f>IFERROR(IF(OR(J940=0,K940=""),"",IF(E940="Positivo",MAX(K940/J940,0),MAX(J940/K940,0))),"") </f>
        <v/>
      </c>
      <c r="N940" s="5" t="n"/>
      <c r="O940" s="5" t="n"/>
      <c r="P940" s="5" t="n">
        <v>0</v>
      </c>
      <c r="Q940" s="5" t="n">
        <v>0</v>
      </c>
      <c r="R940" s="5" t="inlineStr">
        <is>
          <t>327-2024-06-30</t>
        </is>
      </c>
    </row>
    <row r="941" hidden="1">
      <c r="A941" s="26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01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100</v>
      </c>
      <c r="K941" s="5" t="n">
        <v>0</v>
      </c>
      <c r="L941" s="74">
        <f>IFERROR(IF(OR(J941=0,K941=""),"",IF(E941="Positivo",MIN(MAX(K941/J941,0),1.3),MIN(MAX(J941/K941,0),1.3))),"") </f>
        <v/>
      </c>
      <c r="M941" s="14">
        <f>IFERROR(IF(OR(J941=0,K941=""),"",IF(E941="Positivo",MAX(K941/J941,0),MAX(J941/K941,0))),"") </f>
        <v/>
      </c>
      <c r="N941" s="5" t="n"/>
      <c r="O941" s="5" t="n"/>
      <c r="P941" s="5" t="n">
        <v>0</v>
      </c>
      <c r="Q941" s="5" t="n">
        <v>0</v>
      </c>
      <c r="R941" s="5" t="inlineStr">
        <is>
          <t>327-2024-12-31</t>
        </is>
      </c>
    </row>
    <row r="942" hidden="1">
      <c r="A942" s="34" t="n">
        <v>327</v>
      </c>
      <c r="B942" s="5" t="inlineStr">
        <is>
          <t>Número de programas con obtención de acreditación por primera vez</t>
        </is>
      </c>
      <c r="C942" s="5" t="inlineStr">
        <is>
          <t>Autoevaluación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01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100</v>
      </c>
      <c r="K942" s="5" t="n">
        <v>100</v>
      </c>
      <c r="L942" s="74">
        <f>IFERROR(IF(OR(J942=0,K942=""),"",IF(E942="Positivo",MIN(MAX(K942/J942,0),1.3),MIN(MAX(J942/K942,0),1.3))),"") </f>
        <v/>
      </c>
      <c r="M942" s="14">
        <f>IFERROR(IF(OR(J942=0,K942=""),"",IF(E942="Positivo",MAX(K942/J942,0),MAX(J942/K942,0))),"") </f>
        <v/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327-2025-06-30</t>
        </is>
      </c>
    </row>
    <row r="943" hidden="1">
      <c r="A943" s="26" t="n">
        <v>327</v>
      </c>
      <c r="B943" s="5" t="inlineStr">
        <is>
          <t>Número de programas con obtención de acreditación por primera vez- Metrica</t>
        </is>
      </c>
      <c r="C943" s="5" t="inlineStr">
        <is>
          <t>Autoevaluación de programas académicos</t>
        </is>
      </c>
      <c r="D943" s="5" t="inlineStr">
        <is>
          <t>Trimestral</t>
        </is>
      </c>
      <c r="E943" s="5" t="inlineStr">
        <is>
          <t>Positivo</t>
        </is>
      </c>
      <c r="F943" s="101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100</v>
      </c>
      <c r="K943" s="5" t="n">
        <v>100</v>
      </c>
      <c r="L943" s="74" t="n"/>
      <c r="M943" s="14" t="n"/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327-2025-12-31</t>
        </is>
      </c>
      <c r="S943" t="inlineStr">
        <is>
          <t>Metrica</t>
        </is>
      </c>
    </row>
    <row r="944" hidden="1">
      <c r="A944" s="28" t="n">
        <v>328</v>
      </c>
      <c r="B944" s="5" t="inlineStr">
        <is>
          <t>Nivel de encuestas obtenidas en el encuentro institucional de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101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800</v>
      </c>
      <c r="K944" s="5" t="n">
        <v>1035</v>
      </c>
      <c r="L944" s="74">
        <f>IFERROR(IF(OR(J944=0,K944=""),"",IF(E944="Positivo",MIN(MAX(K944/J944,0),1.3),MIN(MAX(J944/K944,0),1.3))),"") </f>
        <v/>
      </c>
      <c r="M944" s="14">
        <f>IFERROR(IF(OR(J944=0,K944=""),"",IF(E944="Positivo",MAX(K944/J944,0),MAX(J944/K944,0))),"") </f>
        <v/>
      </c>
      <c r="N944" s="5" t="n"/>
      <c r="O944" s="5" t="n"/>
      <c r="P944" s="5" t="n">
        <v>0</v>
      </c>
      <c r="Q944" s="5" t="n">
        <v>0</v>
      </c>
      <c r="R944" s="5" t="inlineStr">
        <is>
          <t>328-2023-12-31</t>
        </is>
      </c>
    </row>
    <row r="945" hidden="1">
      <c r="A945" s="26" t="n">
        <v>328</v>
      </c>
      <c r="B945" s="5" t="inlineStr">
        <is>
          <t>Nivel de encuestas obtenidas en el encuentro institucional de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101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157</v>
      </c>
      <c r="L945" s="74">
        <f>IFERROR(IF(OR(J945=0,K945=""),"",IF(E945="Positivo",MIN(MAX(K945/J945,0),1.3),MIN(MAX(J945/K945,0),1.3))),"") </f>
        <v/>
      </c>
      <c r="M945" s="14">
        <f>IFERROR(IF(OR(J945=0,K945=""),"",IF(E945="Positivo",MAX(K945/J945,0),MAX(J945/K945,0))),"") </f>
        <v/>
      </c>
      <c r="N945" s="5" t="n"/>
      <c r="O945" s="5" t="n"/>
      <c r="P945" s="5" t="n">
        <v>0</v>
      </c>
      <c r="Q945" s="5" t="n">
        <v>0</v>
      </c>
      <c r="R945" s="5" t="inlineStr">
        <is>
          <t>328-2024-12-31</t>
        </is>
      </c>
    </row>
    <row r="946" hidden="1">
      <c r="A946" s="5" t="n">
        <v>329</v>
      </c>
      <c r="B946" s="5" t="inlineStr">
        <is>
          <t>Participación en actividades diseñadas para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01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3000</v>
      </c>
      <c r="K946" s="5" t="n">
        <v>3315</v>
      </c>
      <c r="L946" s="14">
        <f>IFERROR(IF(OR(J946=0,K946=""),"",IF(E946="Positivo",MIN(MAX(K946/J946,0),1.3),MIN(MAX(J946/K946,0),1.3))),"") </f>
        <v/>
      </c>
      <c r="M946" s="14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329-2023-12-31</t>
        </is>
      </c>
    </row>
    <row r="947" hidden="1">
      <c r="A947" s="5" t="n">
        <v>329</v>
      </c>
      <c r="B947" s="5" t="inlineStr">
        <is>
          <t>Participación en actividades diseñadas para graduados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01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106.63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329-2024-12-31</t>
        </is>
      </c>
    </row>
    <row r="948" hidden="1">
      <c r="A948" s="28" t="n">
        <v>331</v>
      </c>
      <c r="B948" s="5" t="inlineStr">
        <is>
          <t>Nivel de empleabilidad del graduado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01" t="n">
        <v>45291</v>
      </c>
      <c r="G948" s="5" t="n">
        <v>2023</v>
      </c>
      <c r="H948" s="5" t="inlineStr">
        <is>
          <t>Diciembre</t>
        </is>
      </c>
      <c r="I948" s="6" t="inlineStr">
        <is>
          <t>2023-2</t>
        </is>
      </c>
      <c r="J948" s="5" t="n">
        <v>0</v>
      </c>
      <c r="K948" s="5" t="n">
        <v>81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Metrica</t>
        </is>
      </c>
      <c r="O948" s="5" t="inlineStr">
        <is>
          <t>%</t>
        </is>
      </c>
      <c r="P948" s="5" t="n">
        <v>0</v>
      </c>
      <c r="Q948" s="5" t="n">
        <v>0</v>
      </c>
      <c r="R948" s="5" t="inlineStr">
        <is>
          <t>331-2023-12-31</t>
        </is>
      </c>
    </row>
    <row r="949" hidden="1">
      <c r="A949" s="26" t="n">
        <v>331</v>
      </c>
      <c r="B949" s="5" t="inlineStr">
        <is>
          <t>Nivel de empleabilidad del graduado</t>
        </is>
      </c>
      <c r="C949" s="5" t="inlineStr">
        <is>
          <t>Gestión de Graduados</t>
        </is>
      </c>
      <c r="D949" s="5" t="inlineStr">
        <is>
          <t>Anual</t>
        </is>
      </c>
      <c r="E949" s="5" t="inlineStr">
        <is>
          <t>Positivo</t>
        </is>
      </c>
      <c r="F949" s="101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0</v>
      </c>
      <c r="K949" s="5" t="n">
        <v>82</v>
      </c>
      <c r="L949" s="1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Metrica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331-2024-12-31</t>
        </is>
      </c>
    </row>
    <row r="950" hidden="1">
      <c r="A950" s="26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101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1.8</v>
      </c>
      <c r="K950" s="5" t="n">
        <v>1.57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332-2023-06-30</t>
        </is>
      </c>
    </row>
    <row r="951" hidden="1">
      <c r="A951" s="5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101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1.8</v>
      </c>
      <c r="K951" s="5" t="n">
        <v>1.3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1</v>
      </c>
      <c r="R951" s="5" t="inlineStr">
        <is>
          <t>332-2023-12-31</t>
        </is>
      </c>
    </row>
    <row r="952" hidden="1">
      <c r="A952" s="28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01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11" t="n">
        <v>1.5</v>
      </c>
      <c r="K952" s="11" t="n">
        <v>1.48</v>
      </c>
      <c r="L952" s="7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332-2024-06-30</t>
        </is>
      </c>
    </row>
    <row r="953" hidden="1">
      <c r="A953" s="26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01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1.8</v>
      </c>
      <c r="K953" s="5" t="n">
        <v>0.82</v>
      </c>
      <c r="L953" s="7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332-2024-12-31</t>
        </is>
      </c>
    </row>
    <row r="954" hidden="1">
      <c r="A954" s="5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Semestral</t>
        </is>
      </c>
      <c r="E954" s="5" t="inlineStr">
        <is>
          <t>Negativo</t>
        </is>
      </c>
      <c r="F954" s="101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1.18</v>
      </c>
      <c r="K954" s="5" t="n">
        <v>0.85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DEC</t>
        </is>
      </c>
      <c r="O954" s="5" t="inlineStr">
        <is>
          <t>DEC</t>
        </is>
      </c>
      <c r="P954" s="5" t="n">
        <v>2</v>
      </c>
      <c r="Q954" s="5" t="n">
        <v>2</v>
      </c>
      <c r="R954" s="5" t="inlineStr">
        <is>
          <t>332-2025-06-30</t>
        </is>
      </c>
    </row>
    <row r="955" hidden="1">
      <c r="A955" s="5" t="n">
        <v>332</v>
      </c>
      <c r="B955" s="5" t="inlineStr">
        <is>
          <t>Índice de rotación</t>
        </is>
      </c>
      <c r="C955" s="5" t="inlineStr">
        <is>
          <t>GESTIÓN Y DESARROLLO DEL TALENTO HUMANO</t>
        </is>
      </c>
      <c r="D955" s="5" t="inlineStr">
        <is>
          <t>Trimestral</t>
        </is>
      </c>
      <c r="E955" s="5" t="inlineStr">
        <is>
          <t>Negativo</t>
        </is>
      </c>
      <c r="F955" s="101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1.18</v>
      </c>
      <c r="K955" s="5" t="n">
        <v>0.93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DEC</t>
        </is>
      </c>
      <c r="O955" s="5" t="inlineStr">
        <is>
          <t>DEC</t>
        </is>
      </c>
      <c r="P955" s="5" t="n">
        <v>2</v>
      </c>
      <c r="Q955" s="5" t="n">
        <v>2</v>
      </c>
      <c r="R955" s="5" t="inlineStr">
        <is>
          <t>332-2025-12-31</t>
        </is>
      </c>
    </row>
    <row r="956" hidden="1">
      <c r="A956" s="26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101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88</v>
      </c>
      <c r="K956" s="5" t="n">
        <v>88.39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n"/>
      <c r="O956" s="5" t="n"/>
      <c r="P956" s="5" t="n">
        <v>0</v>
      </c>
      <c r="Q956" s="5" t="n">
        <v>0</v>
      </c>
      <c r="R956" s="5" t="inlineStr">
        <is>
          <t>334-2023-12-31</t>
        </is>
      </c>
    </row>
    <row r="957" hidden="1">
      <c r="A957" s="5" t="n">
        <v>334</v>
      </c>
      <c r="B957" s="5" t="inlineStr">
        <is>
          <t>Resultado de la evaluación 360 (evaluación por competencias)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101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88</v>
      </c>
      <c r="K957" s="5" t="n">
        <v>88.84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n"/>
      <c r="O957" s="5" t="n"/>
      <c r="P957" s="5" t="n">
        <v>0</v>
      </c>
      <c r="Q957" s="5" t="n">
        <v>0</v>
      </c>
      <c r="R957" s="5" t="inlineStr">
        <is>
          <t>334-2024-12-31</t>
        </is>
      </c>
    </row>
    <row r="958" hidden="1">
      <c r="A958" s="26" t="n">
        <v>334</v>
      </c>
      <c r="B958" s="5" t="inlineStr">
        <is>
          <t>Resultado de la evaluación 360 (evaluación por competencias)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01" t="n">
        <v>46022</v>
      </c>
      <c r="G958" s="5" t="n">
        <v>2025</v>
      </c>
      <c r="H958" s="5" t="inlineStr">
        <is>
          <t>Diciembre</t>
        </is>
      </c>
      <c r="I958" s="6" t="inlineStr">
        <is>
          <t>2025-2</t>
        </is>
      </c>
      <c r="J958" s="5" t="n">
        <v>89</v>
      </c>
      <c r="K958" s="5" t="n">
        <v>90.09999999999999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DEC</t>
        </is>
      </c>
      <c r="P958" s="5" t="n">
        <v>0</v>
      </c>
      <c r="Q958" s="5" t="n">
        <v>1</v>
      </c>
      <c r="R958" s="5" t="inlineStr">
        <is>
          <t>334-2025-12-31</t>
        </is>
      </c>
    </row>
    <row r="959" hidden="1">
      <c r="A959" s="5" t="n">
        <v>335</v>
      </c>
      <c r="B959" s="5" t="inlineStr">
        <is>
          <t>Cumplimiento de diagnóstico necesidades de capacitación por área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01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80</v>
      </c>
      <c r="K959" s="5" t="n">
        <v>93.84999999999999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335-2023-12-31</t>
        </is>
      </c>
    </row>
    <row r="960" hidden="1">
      <c r="A960" s="26" t="n">
        <v>335</v>
      </c>
      <c r="B960" s="5" t="inlineStr">
        <is>
          <t>Cumplimiento de diagnóstico necesidades de capacitación por área</t>
        </is>
      </c>
      <c r="C960" s="5" t="inlineStr">
        <is>
          <t>GESTIÓN Y DESARROLLO DEL TALENTO HUMANO</t>
        </is>
      </c>
      <c r="D960" s="5" t="inlineStr">
        <is>
          <t>Anual</t>
        </is>
      </c>
      <c r="E960" s="5" t="inlineStr">
        <is>
          <t>Positivo</t>
        </is>
      </c>
      <c r="F960" s="101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82</v>
      </c>
      <c r="K960" s="5" t="n">
        <v>80.95</v>
      </c>
      <c r="L960" s="7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n"/>
      <c r="O960" s="5" t="n"/>
      <c r="P960" s="5" t="n">
        <v>0</v>
      </c>
      <c r="Q960" s="5" t="n">
        <v>0</v>
      </c>
      <c r="R960" s="5" t="inlineStr">
        <is>
          <t>335-2024-12-31</t>
        </is>
      </c>
    </row>
    <row r="961" hidden="1">
      <c r="A961" s="5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101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2</v>
      </c>
      <c r="K961" s="5" t="n">
        <v>1.742198218602321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n"/>
      <c r="O961" s="5" t="n"/>
      <c r="P961" s="5" t="n">
        <v>0</v>
      </c>
      <c r="Q961" s="5" t="n">
        <v>0</v>
      </c>
      <c r="R961" s="5" t="inlineStr">
        <is>
          <t>336-2023-12-31</t>
        </is>
      </c>
    </row>
    <row r="962" hidden="1">
      <c r="A962" s="5" t="n">
        <v>336</v>
      </c>
      <c r="B962" s="5" t="inlineStr">
        <is>
          <t>Materiales bibliográficos en formato físico con estado de perdida</t>
        </is>
      </c>
      <c r="C962" s="5" t="inlineStr">
        <is>
          <t>Biblioteca Institucional</t>
        </is>
      </c>
      <c r="D962" s="5" t="inlineStr">
        <is>
          <t>Anual</t>
        </is>
      </c>
      <c r="E962" s="5" t="inlineStr">
        <is>
          <t>Negativo</t>
        </is>
      </c>
      <c r="F962" s="101" t="n">
        <v>45657</v>
      </c>
      <c r="G962" s="5" t="n">
        <v>2024</v>
      </c>
      <c r="H962" s="5" t="inlineStr">
        <is>
          <t>Diciembre</t>
        </is>
      </c>
      <c r="I962" s="6" t="inlineStr">
        <is>
          <t>2024-2</t>
        </is>
      </c>
      <c r="J962" s="5" t="n">
        <v>2</v>
      </c>
      <c r="K962" s="5" t="n">
        <v>0.79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n"/>
      <c r="O962" s="5" t="n"/>
      <c r="P962" s="5" t="n">
        <v>0</v>
      </c>
      <c r="Q962" s="5" t="n">
        <v>0</v>
      </c>
      <c r="R962" s="5" t="inlineStr">
        <is>
          <t>336-2024-12-31</t>
        </is>
      </c>
    </row>
    <row r="963" hidden="1">
      <c r="A963" s="28" t="n">
        <v>336</v>
      </c>
      <c r="B963" s="5" t="inlineStr">
        <is>
          <t>Materiales bibliográficos en formato físico con estado de perdida</t>
        </is>
      </c>
      <c r="C963" s="5" t="inlineStr">
        <is>
          <t>Biblioteca Institucional</t>
        </is>
      </c>
      <c r="D963" s="5" t="inlineStr">
        <is>
          <t>Anual</t>
        </is>
      </c>
      <c r="E963" s="5" t="inlineStr">
        <is>
          <t>Negativo</t>
        </is>
      </c>
      <c r="F963" s="101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2</v>
      </c>
      <c r="K963" s="5" t="n">
        <v>0.36</v>
      </c>
      <c r="L963" s="7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 t="inlineStr">
        <is>
          <t>336-2025-12-31</t>
        </is>
      </c>
    </row>
    <row r="964" hidden="1">
      <c r="A964" s="26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101" t="n">
        <v>45107</v>
      </c>
      <c r="G964" s="5" t="n">
        <v>2023</v>
      </c>
      <c r="H964" s="5" t="inlineStr">
        <is>
          <t>Junio</t>
        </is>
      </c>
      <c r="I964" s="6" t="inlineStr">
        <is>
          <t>2023-1</t>
        </is>
      </c>
      <c r="J964" s="5" t="n">
        <v>100</v>
      </c>
      <c r="K964" s="5" t="n"/>
      <c r="L964" s="74" t="n"/>
      <c r="M964" s="14" t="n"/>
      <c r="N964" s="5" t="n"/>
      <c r="O964" s="5" t="n"/>
      <c r="P964" s="5" t="n">
        <v>0</v>
      </c>
      <c r="Q964" s="5" t="n">
        <v>0</v>
      </c>
      <c r="R964" s="5" t="inlineStr">
        <is>
          <t>337-2023-06-30</t>
        </is>
      </c>
    </row>
    <row r="965" hidden="1">
      <c r="A965" s="5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101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337-2023-12-31</t>
        </is>
      </c>
    </row>
    <row r="966" hidden="1">
      <c r="A966" s="5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01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100</v>
      </c>
      <c r="K966" s="5" t="n">
        <v>100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337-2024-06-30</t>
        </is>
      </c>
    </row>
    <row r="967" hidden="1">
      <c r="A967" s="28" t="n">
        <v>337</v>
      </c>
      <c r="B967" s="5" t="inlineStr">
        <is>
          <t>Número de programas con renovación de acreditación en alta calidad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01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100</v>
      </c>
      <c r="K967" s="5" t="n"/>
      <c r="L967" s="14" t="n"/>
      <c r="M967" s="14" t="n"/>
      <c r="N967" s="5" t="n"/>
      <c r="O967" s="5" t="n"/>
      <c r="P967" s="5" t="n">
        <v>0</v>
      </c>
      <c r="Q967" s="5" t="n">
        <v>0</v>
      </c>
      <c r="R967" s="5" t="inlineStr">
        <is>
          <t>337-2024-12-31</t>
        </is>
      </c>
    </row>
    <row r="968" hidden="1">
      <c r="A968" s="26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01" t="n">
        <v>45107</v>
      </c>
      <c r="G968" s="5" t="n">
        <v>2023</v>
      </c>
      <c r="H968" s="5" t="inlineStr">
        <is>
          <t>Junio</t>
        </is>
      </c>
      <c r="I968" s="6" t="inlineStr">
        <is>
          <t>2023-1</t>
        </is>
      </c>
      <c r="J968" s="5" t="n">
        <v>100</v>
      </c>
      <c r="K968" s="5" t="n">
        <v>100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338-2023-06-30</t>
        </is>
      </c>
    </row>
    <row r="969" hidden="1">
      <c r="A969" s="5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01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100</v>
      </c>
      <c r="K969" s="5" t="n">
        <v>0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n"/>
      <c r="O969" s="5" t="n"/>
      <c r="P969" s="5" t="n">
        <v>0</v>
      </c>
      <c r="Q969" s="5" t="n">
        <v>0</v>
      </c>
      <c r="R969" s="5" t="inlineStr">
        <is>
          <t>338-2023-12-31</t>
        </is>
      </c>
    </row>
    <row r="970" hidden="1">
      <c r="A970" s="5" t="n">
        <v>338</v>
      </c>
      <c r="B970" s="5" t="inlineStr">
        <is>
          <t>Número de programas con condiciones iniciales aprobadas (indicador externo)</t>
        </is>
      </c>
      <c r="C970" s="5" t="inlineStr">
        <is>
          <t>Autoevaluación de programas académicos</t>
        </is>
      </c>
      <c r="D970" s="5" t="inlineStr">
        <is>
          <t>Semestral</t>
        </is>
      </c>
      <c r="E970" s="5" t="inlineStr">
        <is>
          <t>Positivo</t>
        </is>
      </c>
      <c r="F970" s="101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100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338-2024-06-30</t>
        </is>
      </c>
    </row>
    <row r="971" hidden="1">
      <c r="A971" s="28" t="n">
        <v>338</v>
      </c>
      <c r="B971" s="5" t="inlineStr">
        <is>
          <t>Número de programas con condiciones iniciales aprobadas (indicador externo)</t>
        </is>
      </c>
      <c r="C971" s="5" t="inlineStr">
        <is>
          <t>Autoevaluación de programas académicos</t>
        </is>
      </c>
      <c r="D971" s="5" t="inlineStr">
        <is>
          <t>Semestral</t>
        </is>
      </c>
      <c r="E971" s="5" t="inlineStr">
        <is>
          <t>Positivo</t>
        </is>
      </c>
      <c r="F971" s="101" t="n">
        <v>45657</v>
      </c>
      <c r="G971" s="5" t="n">
        <v>2024</v>
      </c>
      <c r="H971" s="5" t="inlineStr">
        <is>
          <t>Diciembre</t>
        </is>
      </c>
      <c r="I971" s="6" t="inlineStr">
        <is>
          <t>2024-2</t>
        </is>
      </c>
      <c r="J971" s="5" t="n">
        <v>100</v>
      </c>
      <c r="K971" s="5" t="n">
        <v>0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n"/>
      <c r="O971" s="5" t="n"/>
      <c r="P971" s="5" t="n">
        <v>0</v>
      </c>
      <c r="Q971" s="5" t="n">
        <v>0</v>
      </c>
      <c r="R971" s="5" t="inlineStr">
        <is>
          <t>338-2024-12-31</t>
        </is>
      </c>
    </row>
    <row r="972" hidden="1">
      <c r="A972" s="26" t="n">
        <v>338</v>
      </c>
      <c r="B972" s="5" t="inlineStr">
        <is>
          <t>Número de programas con condiciones iniciales aprobadas (indicador externo)</t>
        </is>
      </c>
      <c r="C972" s="5" t="inlineStr">
        <is>
          <t>Autoevaluación de programas académicos</t>
        </is>
      </c>
      <c r="D972" s="5" t="inlineStr">
        <is>
          <t>Semestral</t>
        </is>
      </c>
      <c r="E972" s="5" t="inlineStr">
        <is>
          <t>Positivo</t>
        </is>
      </c>
      <c r="F972" s="101" t="n">
        <v>45838</v>
      </c>
      <c r="G972" s="5" t="n">
        <v>2025</v>
      </c>
      <c r="H972" s="5" t="inlineStr">
        <is>
          <t>Junio</t>
        </is>
      </c>
      <c r="I972" s="6" t="inlineStr">
        <is>
          <t>2025-1</t>
        </is>
      </c>
      <c r="J972" s="5" t="n">
        <v>100</v>
      </c>
      <c r="K972" s="5" t="n">
        <v>100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338-2025-06-30</t>
        </is>
      </c>
    </row>
    <row r="973" hidden="1">
      <c r="A973" s="5" t="n">
        <v>338</v>
      </c>
      <c r="B973" s="5" t="inlineStr">
        <is>
          <t>Número de programas con condiciones iniciales aprobadas (indicador externo)- Metrica</t>
        </is>
      </c>
      <c r="C973" s="5" t="inlineStr">
        <is>
          <t>Autoevaluación de programas académicos</t>
        </is>
      </c>
      <c r="D973" s="5" t="inlineStr">
        <is>
          <t>Trimestral</t>
        </is>
      </c>
      <c r="E973" s="5" t="inlineStr">
        <is>
          <t>Positivo</t>
        </is>
      </c>
      <c r="F973" s="101" t="n">
        <v>46022</v>
      </c>
      <c r="G973" s="5" t="n">
        <v>2025</v>
      </c>
      <c r="H973" s="5" t="inlineStr">
        <is>
          <t>Diciembre</t>
        </is>
      </c>
      <c r="I973" s="6" t="inlineStr">
        <is>
          <t>2025-2</t>
        </is>
      </c>
      <c r="J973" s="5" t="n">
        <v>100</v>
      </c>
      <c r="K973" s="5" t="n">
        <v>100</v>
      </c>
      <c r="L973" s="14" t="n"/>
      <c r="M973" s="14" t="n"/>
      <c r="N973" s="5" t="inlineStr">
        <is>
          <t>ENT</t>
        </is>
      </c>
      <c r="O973" s="5" t="inlineStr">
        <is>
          <t>ENT</t>
        </is>
      </c>
      <c r="P973" s="5" t="n">
        <v>0</v>
      </c>
      <c r="Q973" s="5" t="n">
        <v>0</v>
      </c>
      <c r="R973" s="5" t="inlineStr">
        <is>
          <t>338-2025-12-31</t>
        </is>
      </c>
      <c r="S973" t="inlineStr">
        <is>
          <t>Metrica</t>
        </is>
      </c>
    </row>
    <row r="974" hidden="1">
      <c r="A974" s="5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101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30</v>
      </c>
      <c r="K974" s="5" t="n">
        <v>28.57142857142857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339-2023-12-31</t>
        </is>
      </c>
    </row>
    <row r="975" hidden="1">
      <c r="A975" s="28" t="n">
        <v>339</v>
      </c>
      <c r="B975" s="5" t="inlineStr">
        <is>
          <t>Programas acreditables acreditados Sede Bogotá</t>
        </is>
      </c>
      <c r="C975" s="5" t="inlineStr">
        <is>
          <t>Autoevaluación institucional</t>
        </is>
      </c>
      <c r="D975" s="5" t="inlineStr">
        <is>
          <t>Anual</t>
        </is>
      </c>
      <c r="E975" s="5" t="inlineStr">
        <is>
          <t>Positivo</t>
        </is>
      </c>
      <c r="F975" s="101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5" t="n">
        <v>30</v>
      </c>
      <c r="K975" s="5" t="n">
        <v>30.3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1</v>
      </c>
      <c r="R975" s="5" t="inlineStr">
        <is>
          <t>339-2024-12-31</t>
        </is>
      </c>
    </row>
    <row r="976" hidden="1">
      <c r="A976" s="26" t="n">
        <v>339</v>
      </c>
      <c r="B976" s="5" t="inlineStr">
        <is>
          <t>Programas acreditables acreditados Sede Bogotá</t>
        </is>
      </c>
      <c r="C976" s="5" t="inlineStr">
        <is>
          <t>Autoevaluación institucional</t>
        </is>
      </c>
      <c r="D976" s="5" t="inlineStr">
        <is>
          <t>Anual</t>
        </is>
      </c>
      <c r="E976" s="5" t="inlineStr">
        <is>
          <t>Positivo</t>
        </is>
      </c>
      <c r="F976" s="101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30</v>
      </c>
      <c r="K976" s="5" t="n">
        <v>35.29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1</v>
      </c>
      <c r="R976" s="5" t="inlineStr">
        <is>
          <t>339-2025-12-31</t>
        </is>
      </c>
    </row>
    <row r="977" hidden="1">
      <c r="A977" s="5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101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100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340-2023-06-30</t>
        </is>
      </c>
    </row>
    <row r="978" hidden="1">
      <c r="A978" s="5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101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100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340-2023-12-31</t>
        </is>
      </c>
    </row>
    <row r="979" hidden="1">
      <c r="A979" s="26" t="n">
        <v>340</v>
      </c>
      <c r="B979" s="5" t="inlineStr">
        <is>
          <t>Cumplimiento cronograma revisiones locativas</t>
        </is>
      </c>
      <c r="C979" s="5" t="inlineStr">
        <is>
          <t>Gestión Infraestructura Física</t>
        </is>
      </c>
      <c r="D979" s="5" t="inlineStr">
        <is>
          <t>Trimestral</t>
        </is>
      </c>
      <c r="E979" s="5" t="inlineStr">
        <is>
          <t>Positivo</t>
        </is>
      </c>
      <c r="F979" s="101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73" t="n">
        <v>95</v>
      </c>
      <c r="K979" s="103" t="n">
        <v>100</v>
      </c>
      <c r="L979" s="7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340-2024-06-30</t>
        </is>
      </c>
    </row>
    <row r="980" hidden="1">
      <c r="A980" s="26" t="n">
        <v>340</v>
      </c>
      <c r="B980" s="5" t="inlineStr">
        <is>
          <t>Cumplimiento cronograma revisiones locativas</t>
        </is>
      </c>
      <c r="C980" s="5" t="inlineStr">
        <is>
          <t>Gestión Infraestructura Física</t>
        </is>
      </c>
      <c r="D980" s="5" t="inlineStr">
        <is>
          <t>Trimestral</t>
        </is>
      </c>
      <c r="E980" s="5" t="inlineStr">
        <is>
          <t>Positivo</t>
        </is>
      </c>
      <c r="F980" s="101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73" t="n">
        <v>95</v>
      </c>
      <c r="K980" s="103" t="n">
        <v>100</v>
      </c>
      <c r="L980" s="7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340-2024-12-31</t>
        </is>
      </c>
    </row>
    <row r="981" hidden="1">
      <c r="A981" s="26" t="n">
        <v>341</v>
      </c>
      <c r="B981" s="5" t="inlineStr">
        <is>
          <t>Monto total de ahorro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101" t="n">
        <v>45107</v>
      </c>
      <c r="G981" s="5" t="n">
        <v>2023</v>
      </c>
      <c r="H981" s="5" t="inlineStr">
        <is>
          <t>Junio</t>
        </is>
      </c>
      <c r="I981" s="6" t="inlineStr">
        <is>
          <t>2023-1</t>
        </is>
      </c>
      <c r="J981" s="73" t="n">
        <v>100</v>
      </c>
      <c r="K981" s="103" t="n">
        <v>123.86966666667</v>
      </c>
      <c r="L981" s="7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341-2023-06-30</t>
        </is>
      </c>
    </row>
    <row r="982" hidden="1">
      <c r="A982" s="5" t="n">
        <v>341</v>
      </c>
      <c r="B982" s="5" t="inlineStr">
        <is>
          <t>Monto total de ahorro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101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100</v>
      </c>
      <c r="K982" s="5" t="n">
        <v>130.57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341-2023-12-31</t>
        </is>
      </c>
    </row>
    <row r="983" hidden="1">
      <c r="A983" s="5" t="n">
        <v>341</v>
      </c>
      <c r="B983" s="5" t="inlineStr">
        <is>
          <t>Reducción de costos en gestión de abastecimiento</t>
        </is>
      </c>
      <c r="C983" s="5" t="inlineStr">
        <is>
          <t>GESTIÓN DE ABASTECIMIENTO</t>
        </is>
      </c>
      <c r="D983" s="5" t="inlineStr">
        <is>
          <t>Semestral</t>
        </is>
      </c>
      <c r="E983" s="5" t="inlineStr">
        <is>
          <t>Positivo</t>
        </is>
      </c>
      <c r="F983" s="101" t="n">
        <v>45473</v>
      </c>
      <c r="G983" s="15" t="n">
        <v>2024</v>
      </c>
      <c r="H983" s="6" t="inlineStr">
        <is>
          <t>Junio</t>
        </is>
      </c>
      <c r="I983" s="6" t="inlineStr">
        <is>
          <t>2024-1</t>
        </is>
      </c>
      <c r="J983" s="5" t="n">
        <v>100</v>
      </c>
      <c r="K983" s="5" t="n">
        <v>125</v>
      </c>
      <c r="L983" s="7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341-2024-06-30</t>
        </is>
      </c>
    </row>
    <row r="984" hidden="1">
      <c r="A984" s="26" t="n">
        <v>341</v>
      </c>
      <c r="B984" s="5" t="inlineStr">
        <is>
          <t>Reducción de costos en gestión de abastecimiento</t>
        </is>
      </c>
      <c r="C984" s="5" t="inlineStr">
        <is>
          <t>GESTIÓN DE ABASTECIMIENTO</t>
        </is>
      </c>
      <c r="D984" s="5" t="inlineStr">
        <is>
          <t>Semestral</t>
        </is>
      </c>
      <c r="E984" s="5" t="inlineStr">
        <is>
          <t>Positivo</t>
        </is>
      </c>
      <c r="F984" s="101" t="n">
        <v>45657</v>
      </c>
      <c r="G984" s="5" t="n">
        <v>2024</v>
      </c>
      <c r="H984" s="5" t="inlineStr">
        <is>
          <t>Diciembre</t>
        </is>
      </c>
      <c r="I984" s="6" t="inlineStr">
        <is>
          <t>2024-2</t>
        </is>
      </c>
      <c r="J984" s="5" t="n">
        <v>100</v>
      </c>
      <c r="K984" s="5" t="n">
        <v>102.44</v>
      </c>
      <c r="L984" s="7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341-2024-12-31</t>
        </is>
      </c>
    </row>
    <row r="985" hidden="1">
      <c r="A985" s="5" t="n">
        <v>341</v>
      </c>
      <c r="B985" s="5" t="inlineStr">
        <is>
          <t>Reducción de costos en gestión de abastecimiento</t>
        </is>
      </c>
      <c r="C985" s="5" t="inlineStr">
        <is>
          <t>GESTIÓN DE ABASTECIMIENTO</t>
        </is>
      </c>
      <c r="D985" s="5" t="inlineStr">
        <is>
          <t>Semestral</t>
        </is>
      </c>
      <c r="E985" s="5" t="inlineStr">
        <is>
          <t>Positivo</t>
        </is>
      </c>
      <c r="F985" s="101" t="n">
        <v>45838</v>
      </c>
      <c r="G985" s="5" t="n">
        <v>2025</v>
      </c>
      <c r="H985" s="5" t="inlineStr">
        <is>
          <t>Junio</t>
        </is>
      </c>
      <c r="I985" s="6" t="inlineStr">
        <is>
          <t>2025-1</t>
        </is>
      </c>
      <c r="J985" s="5" t="n">
        <v>100</v>
      </c>
      <c r="K985" s="5" t="n">
        <v>102.25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341-2025-06-30</t>
        </is>
      </c>
    </row>
    <row r="986" hidden="1">
      <c r="A986" s="5" t="n">
        <v>341</v>
      </c>
      <c r="B986" s="5" t="inlineStr">
        <is>
          <t>Eficiencia en la reducción de costos en la gestión del abastecimiento</t>
        </is>
      </c>
      <c r="C986" s="5" t="inlineStr">
        <is>
          <t>GESTIÓN DE ABASTECIMIENTO</t>
        </is>
      </c>
      <c r="D986" s="5" t="inlineStr">
        <is>
          <t>Trimestral</t>
        </is>
      </c>
      <c r="E986" s="5" t="inlineStr">
        <is>
          <t>Positivo</t>
        </is>
      </c>
      <c r="F986" s="101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100</v>
      </c>
      <c r="K986" s="5" t="n">
        <v>102.65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$</t>
        </is>
      </c>
      <c r="O986" s="5" t="inlineStr">
        <is>
          <t>$</t>
        </is>
      </c>
      <c r="P986" s="5" t="n">
        <v>0</v>
      </c>
      <c r="Q986" s="5" t="n">
        <v>0</v>
      </c>
      <c r="R986" s="5" t="inlineStr">
        <is>
          <t>341-2025-12-31</t>
        </is>
      </c>
    </row>
    <row r="987" hidden="1">
      <c r="A987" s="26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101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90</v>
      </c>
      <c r="K987" s="5" t="n">
        <v>97.74436090225601</v>
      </c>
      <c r="L987" s="7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344-2023-06-30</t>
        </is>
      </c>
    </row>
    <row r="988" hidden="1">
      <c r="A988" s="5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101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90</v>
      </c>
      <c r="K988" s="5" t="n">
        <v>97.76000000000001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344-2023-12-31</t>
        </is>
      </c>
    </row>
    <row r="989" hidden="1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Semestral</t>
        </is>
      </c>
      <c r="E989" s="5" t="inlineStr">
        <is>
          <t>Positivo</t>
        </is>
      </c>
      <c r="F989" s="101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93</v>
      </c>
      <c r="K989" s="5" t="n">
        <v>97.34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344-2024-06-30</t>
        </is>
      </c>
    </row>
    <row r="990" hidden="1">
      <c r="A990" s="28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Semestral</t>
        </is>
      </c>
      <c r="E990" s="5" t="inlineStr">
        <is>
          <t>Positivo</t>
        </is>
      </c>
      <c r="F990" s="101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93</v>
      </c>
      <c r="K990" s="5" t="n">
        <v>99.19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344-2024-12-31</t>
        </is>
      </c>
    </row>
    <row r="991" hidden="1">
      <c r="A991" s="26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Trimestral</t>
        </is>
      </c>
      <c r="E991" s="5" t="inlineStr">
        <is>
          <t>Positivo</t>
        </is>
      </c>
      <c r="F991" s="101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93</v>
      </c>
      <c r="K991" s="5" t="n">
        <v>99.43000000000001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344-2025-06-30</t>
        </is>
      </c>
    </row>
    <row r="992" hidden="1">
      <c r="A992" s="5" t="n">
        <v>344</v>
      </c>
      <c r="B992" s="5" t="inlineStr">
        <is>
          <t>Cumplimiento del plan de Inducción institucional</t>
        </is>
      </c>
      <c r="C992" s="5" t="inlineStr">
        <is>
          <t>GESTIÓN Y DESARROLLO DEL TALENTO HUMANO</t>
        </is>
      </c>
      <c r="D992" s="5" t="inlineStr">
        <is>
          <t>Trimestral</t>
        </is>
      </c>
      <c r="E992" s="5" t="inlineStr">
        <is>
          <t>Positivo</t>
        </is>
      </c>
      <c r="F992" s="101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93</v>
      </c>
      <c r="K992" s="5" t="n">
        <v>100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344-2025-12-31</t>
        </is>
      </c>
    </row>
    <row r="993" hidden="1">
      <c r="A993" s="5" t="n">
        <v>345</v>
      </c>
      <c r="B993" s="5" t="inlineStr">
        <is>
          <t>% de profesores impactados plan de desarrollo docente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101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/>
      <c r="K993" s="5" t="n">
        <v>94.84999999999999</v>
      </c>
      <c r="L993" s="14" t="n"/>
      <c r="M993" s="14" t="n"/>
      <c r="N993" s="5" t="inlineStr">
        <is>
          <t>Linea base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345-2023-12-31</t>
        </is>
      </c>
    </row>
    <row r="994" hidden="1">
      <c r="A994" s="26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101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/>
      <c r="K994" s="5" t="n">
        <v>83.91608391608392</v>
      </c>
      <c r="L994" s="14" t="n"/>
      <c r="M994" s="14" t="n"/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346-2023-12-31</t>
        </is>
      </c>
    </row>
    <row r="995" hidden="1">
      <c r="A995" s="26" t="n">
        <v>346</v>
      </c>
      <c r="B995" s="5" t="inlineStr">
        <is>
          <t>% de profesores impactados en actividades de Bienestar</t>
        </is>
      </c>
      <c r="C995" s="5" t="inlineStr">
        <is>
          <t>GESTIÓN Y DESARROLLO DEL TALENTO HUMANO</t>
        </is>
      </c>
      <c r="D995" s="5" t="inlineStr">
        <is>
          <t>Anual</t>
        </is>
      </c>
      <c r="E995" s="5" t="inlineStr">
        <is>
          <t>Positivo</t>
        </is>
      </c>
      <c r="F995" s="101" t="n">
        <v>45657</v>
      </c>
      <c r="G995" s="5" t="n">
        <v>2024</v>
      </c>
      <c r="H995" s="5" t="inlineStr">
        <is>
          <t>Diciembre</t>
        </is>
      </c>
      <c r="I995" s="6" t="inlineStr">
        <is>
          <t>2024-2</t>
        </is>
      </c>
      <c r="J995" s="5" t="n">
        <v>85</v>
      </c>
      <c r="K995" s="5" t="n">
        <v>91.88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n"/>
      <c r="O995" s="5" t="n"/>
      <c r="P995" s="5" t="n">
        <v>0</v>
      </c>
      <c r="Q995" s="5" t="n">
        <v>0</v>
      </c>
      <c r="R995" s="5" t="inlineStr">
        <is>
          <t>346-2024-12-31</t>
        </is>
      </c>
    </row>
    <row r="996" hidden="1">
      <c r="A996" s="26" t="n">
        <v>346</v>
      </c>
      <c r="B996" s="5" t="inlineStr">
        <is>
          <t>% de profesores impactados en actividades de Bienestar</t>
        </is>
      </c>
      <c r="C996" s="5" t="inlineStr">
        <is>
          <t>GESTIÓN Y DESARROLLO DEL TALENTO HUMANO</t>
        </is>
      </c>
      <c r="D996" s="5" t="inlineStr">
        <is>
          <t>Anual</t>
        </is>
      </c>
      <c r="E996" s="5" t="inlineStr">
        <is>
          <t>Positivo</t>
        </is>
      </c>
      <c r="F996" s="101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5" t="n">
        <v>85</v>
      </c>
      <c r="K996" s="5" t="n">
        <v>97.28</v>
      </c>
      <c r="L996" s="1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Linea Base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346-2025-12-31</t>
        </is>
      </c>
    </row>
    <row r="997" hidden="1">
      <c r="A997" s="26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101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0</v>
      </c>
      <c r="K997" s="5" t="n">
        <v>6.5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347-2023-06-30</t>
        </is>
      </c>
    </row>
    <row r="998" hidden="1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101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>
        <v>0</v>
      </c>
      <c r="K998" s="5" t="n">
        <v>7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347-2023-12-31</t>
        </is>
      </c>
    </row>
    <row r="999" hidden="1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Negativo</t>
        </is>
      </c>
      <c r="F999" s="101" t="n">
        <v>45473</v>
      </c>
      <c r="G999" s="5" t="n">
        <v>2024</v>
      </c>
      <c r="H999" s="5" t="inlineStr">
        <is>
          <t>Junio</t>
        </is>
      </c>
      <c r="I999" s="6" t="inlineStr">
        <is>
          <t>2024-1</t>
        </is>
      </c>
      <c r="J999" s="5" t="n">
        <v>5</v>
      </c>
      <c r="K999" s="5" t="n">
        <v>1.5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347-2024-06-30</t>
        </is>
      </c>
    </row>
    <row r="1000" hidden="1">
      <c r="A1000" s="28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Trimestral</t>
        </is>
      </c>
      <c r="E1000" s="5" t="inlineStr">
        <is>
          <t>Negativo</t>
        </is>
      </c>
      <c r="F1000" s="101" t="n">
        <v>45657</v>
      </c>
      <c r="G1000" s="5" t="n">
        <v>2024</v>
      </c>
      <c r="H1000" s="5" t="inlineStr">
        <is>
          <t>Diciembre</t>
        </is>
      </c>
      <c r="I1000" s="6" t="inlineStr">
        <is>
          <t>2024-2</t>
        </is>
      </c>
      <c r="J1000" s="5" t="n">
        <v>5</v>
      </c>
      <c r="K1000" s="5" t="n">
        <v>0</v>
      </c>
      <c r="L1000" s="7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347-2024-12-31</t>
        </is>
      </c>
    </row>
    <row r="1001" hidden="1">
      <c r="A1001" s="26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01" t="n">
        <v>45838</v>
      </c>
      <c r="G1001" s="5" t="n">
        <v>2025</v>
      </c>
      <c r="H1001" s="5" t="inlineStr">
        <is>
          <t>Junio</t>
        </is>
      </c>
      <c r="I1001" s="6" t="inlineStr">
        <is>
          <t>2025-1</t>
        </is>
      </c>
      <c r="J1001" s="5" t="n">
        <v>5</v>
      </c>
      <c r="K1001" s="5" t="n">
        <v>1</v>
      </c>
      <c r="L1001" s="7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347-2025-06-30</t>
        </is>
      </c>
    </row>
    <row r="1002" hidden="1">
      <c r="A1002" s="5" t="n">
        <v>347</v>
      </c>
      <c r="B1002" s="5" t="inlineStr">
        <is>
          <t>Legalizaciones y anticipos</t>
        </is>
      </c>
      <c r="C1002" s="5" t="inlineStr">
        <is>
          <t>Contabilidad</t>
        </is>
      </c>
      <c r="D1002" s="5" t="inlineStr">
        <is>
          <t>Semestral</t>
        </is>
      </c>
      <c r="E1002" s="5" t="inlineStr">
        <is>
          <t>Negativo</t>
        </is>
      </c>
      <c r="F1002" s="101" t="n">
        <v>46022</v>
      </c>
      <c r="G1002" s="5" t="n">
        <v>2025</v>
      </c>
      <c r="H1002" s="5" t="inlineStr">
        <is>
          <t>Diciembre</t>
        </is>
      </c>
      <c r="I1002" s="6" t="inlineStr">
        <is>
          <t>2025-2</t>
        </is>
      </c>
      <c r="J1002" s="5" t="n">
        <v>5</v>
      </c>
      <c r="K1002" s="5" t="n">
        <v>3.5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 t="inlineStr">
        <is>
          <t>347-2025-12-31</t>
        </is>
      </c>
    </row>
    <row r="1003" hidden="1">
      <c r="A1003" s="5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101" t="n">
        <v>45016</v>
      </c>
      <c r="G1003" s="5" t="n">
        <v>2023</v>
      </c>
      <c r="H1003" s="5" t="inlineStr">
        <is>
          <t>Marzo</t>
        </is>
      </c>
      <c r="I1003" s="6" t="inlineStr">
        <is>
          <t>2023-1</t>
        </is>
      </c>
      <c r="J1003" s="5" t="n">
        <v>99</v>
      </c>
      <c r="K1003" s="5" t="n">
        <v>99.81769557994599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348-2023-03-31</t>
        </is>
      </c>
    </row>
    <row r="1004" hidden="1">
      <c r="A1004" s="26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101" t="n">
        <v>45107</v>
      </c>
      <c r="G1004" s="5" t="n">
        <v>2023</v>
      </c>
      <c r="H1004" s="5" t="inlineStr">
        <is>
          <t>Junio</t>
        </is>
      </c>
      <c r="I1004" s="6" t="inlineStr">
        <is>
          <t>2023-1</t>
        </is>
      </c>
      <c r="J1004" s="5" t="n">
        <v>99</v>
      </c>
      <c r="K1004" s="5" t="n">
        <v>99.81769557994599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348-2023-06-30</t>
        </is>
      </c>
    </row>
    <row r="1005" hidden="1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101" t="n">
        <v>45199</v>
      </c>
      <c r="G1005" s="5" t="n">
        <v>2023</v>
      </c>
      <c r="H1005" s="5" t="inlineStr">
        <is>
          <t>Septiembre</t>
        </is>
      </c>
      <c r="I1005" s="6" t="inlineStr">
        <is>
          <t>2023-2</t>
        </is>
      </c>
      <c r="J1005" s="5" t="n">
        <v>99</v>
      </c>
      <c r="K1005" s="5" t="n">
        <v>100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1</v>
      </c>
      <c r="R1005" s="5" t="inlineStr">
        <is>
          <t>348-2023-09-30</t>
        </is>
      </c>
    </row>
    <row r="1006" hidden="1">
      <c r="A1006" s="5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101" t="n">
        <v>45291</v>
      </c>
      <c r="G1006" s="5" t="n">
        <v>2023</v>
      </c>
      <c r="H1006" s="5" t="inlineStr">
        <is>
          <t>Diciembre</t>
        </is>
      </c>
      <c r="I1006" s="6" t="inlineStr">
        <is>
          <t>2023-2</t>
        </is>
      </c>
      <c r="J1006" s="5" t="n">
        <v>99</v>
      </c>
      <c r="K1006" s="5" t="n">
        <v>100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1</v>
      </c>
      <c r="R1006" s="5" t="inlineStr">
        <is>
          <t>348-2023-12-31</t>
        </is>
      </c>
    </row>
    <row r="1007" hidden="1">
      <c r="A1007" s="26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01" t="n">
        <v>45473</v>
      </c>
      <c r="G1007" s="5" t="n">
        <v>2024</v>
      </c>
      <c r="H1007" s="5" t="inlineStr">
        <is>
          <t>Junio</t>
        </is>
      </c>
      <c r="I1007" s="6" t="inlineStr">
        <is>
          <t>2024-1</t>
        </is>
      </c>
      <c r="J1007" s="5" t="n">
        <v>99</v>
      </c>
      <c r="K1007" s="5" t="n">
        <v>99.92500000000001</v>
      </c>
      <c r="L1007" s="7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348-2024-06-30</t>
        </is>
      </c>
    </row>
    <row r="1008" hidden="1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01" t="n">
        <v>45657</v>
      </c>
      <c r="G1008" s="5" t="n">
        <v>2024</v>
      </c>
      <c r="H1008" s="5" t="inlineStr">
        <is>
          <t>Diciembre</t>
        </is>
      </c>
      <c r="I1008" s="6" t="inlineStr">
        <is>
          <t>2024-2</t>
        </is>
      </c>
      <c r="J1008" s="5" t="n">
        <v>99</v>
      </c>
      <c r="K1008" s="5" t="n">
        <v>100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348-2024-12-31</t>
        </is>
      </c>
    </row>
    <row r="1009" hidden="1">
      <c r="A1009" s="26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Positivo</t>
        </is>
      </c>
      <c r="F1009" s="101" t="n">
        <v>45838</v>
      </c>
      <c r="G1009" s="5" t="n">
        <v>2025</v>
      </c>
      <c r="H1009" s="5" t="inlineStr">
        <is>
          <t>Junio</t>
        </is>
      </c>
      <c r="I1009" s="6" t="inlineStr">
        <is>
          <t>2025-1</t>
        </is>
      </c>
      <c r="J1009" s="5" t="n">
        <v>99</v>
      </c>
      <c r="K1009" s="5" t="n">
        <v>100</v>
      </c>
      <c r="L1009" s="7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348-2025-06-30</t>
        </is>
      </c>
    </row>
    <row r="1010" hidden="1">
      <c r="A1010" s="26" t="n">
        <v>348</v>
      </c>
      <c r="B1010" s="5" t="inlineStr">
        <is>
          <t>Cuentas por pagar</t>
        </is>
      </c>
      <c r="C1010" s="5" t="inlineStr">
        <is>
          <t>Contabilidad</t>
        </is>
      </c>
      <c r="D1010" s="5" t="inlineStr">
        <is>
          <t>Semestral</t>
        </is>
      </c>
      <c r="E1010" s="5" t="inlineStr">
        <is>
          <t>Positivo</t>
        </is>
      </c>
      <c r="F1010" s="101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99</v>
      </c>
      <c r="K1010" s="5" t="n">
        <v>100</v>
      </c>
      <c r="L1010" s="7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348-2025-12-31</t>
        </is>
      </c>
    </row>
    <row r="1011" hidden="1">
      <c r="A1011" s="5" t="n">
        <v>349</v>
      </c>
      <c r="B1011" s="5" t="inlineStr">
        <is>
          <t>Número de redes de investigación</t>
        </is>
      </c>
      <c r="C1011" s="5" t="inlineStr">
        <is>
          <t>Investigación, desarrollo tecnológico, innovación y creación</t>
        </is>
      </c>
      <c r="D1011" s="5" t="inlineStr">
        <is>
          <t>Anual</t>
        </is>
      </c>
      <c r="E1011" s="5" t="inlineStr">
        <is>
          <t>Positivo</t>
        </is>
      </c>
      <c r="F1011" s="101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n"/>
      <c r="K1011" s="5" t="n">
        <v>0</v>
      </c>
      <c r="L1011" s="14" t="n"/>
      <c r="M1011" s="14" t="n"/>
      <c r="N1011" s="5" t="n"/>
      <c r="O1011" s="5" t="n"/>
      <c r="P1011" s="5" t="n">
        <v>0</v>
      </c>
      <c r="Q1011" s="5" t="n">
        <v>0</v>
      </c>
      <c r="R1011" s="5" t="inlineStr">
        <is>
          <t>349-2023-12-31</t>
        </is>
      </c>
    </row>
    <row r="1012" hidden="1">
      <c r="A1012" s="5" t="n">
        <v>350</v>
      </c>
      <c r="B1012" s="5" t="inlineStr">
        <is>
          <t>Centros de investigación, ciencia y de apoyo a CTI en consolidación</t>
        </is>
      </c>
      <c r="C1012" s="5" t="inlineStr">
        <is>
          <t>Investigación, desarrollo tecnológico, innovación y creación</t>
        </is>
      </c>
      <c r="D1012" s="5" t="inlineStr">
        <is>
          <t>Anual</t>
        </is>
      </c>
      <c r="E1012" s="5" t="inlineStr">
        <is>
          <t>Positivo</t>
        </is>
      </c>
      <c r="F1012" s="101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/>
      <c r="K1012" s="5" t="n">
        <v>0</v>
      </c>
      <c r="L1012" s="14" t="n"/>
      <c r="M1012" s="14" t="n"/>
      <c r="N1012" s="5" t="n"/>
      <c r="O1012" s="5" t="n"/>
      <c r="P1012" s="5" t="n">
        <v>0</v>
      </c>
      <c r="Q1012" s="5" t="n">
        <v>0</v>
      </c>
      <c r="R1012" s="5" t="inlineStr">
        <is>
          <t>350-2023-12-31</t>
        </is>
      </c>
    </row>
    <row r="1013" hidden="1">
      <c r="A1013" s="26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1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0</v>
      </c>
      <c r="K1013" s="5" t="n">
        <v>9.826042041491526</v>
      </c>
      <c r="L1013" s="7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351-2023-06-30</t>
        </is>
      </c>
    </row>
    <row r="1014" hidden="1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01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0</v>
      </c>
      <c r="K1014" s="5" t="n">
        <v>6.921122099497337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351-2023-12-31</t>
        </is>
      </c>
    </row>
    <row r="1015" hidden="1">
      <c r="A1015" s="5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01" t="n">
        <v>45473</v>
      </c>
      <c r="G1015" s="5" t="n">
        <v>2024</v>
      </c>
      <c r="H1015" s="5" t="inlineStr">
        <is>
          <t>Junio</t>
        </is>
      </c>
      <c r="I1015" s="6" t="inlineStr">
        <is>
          <t>2024-1</t>
        </is>
      </c>
      <c r="J1015" s="5" t="n">
        <v>0</v>
      </c>
      <c r="K1015" s="5" t="n">
        <v>8.764600983830958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1</v>
      </c>
      <c r="R1015" s="5" t="inlineStr">
        <is>
          <t>351-2024-06-30</t>
        </is>
      </c>
    </row>
    <row r="1016" hidden="1">
      <c r="A1016" s="5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Negativo</t>
        </is>
      </c>
      <c r="F1016" s="101" t="n">
        <v>45657</v>
      </c>
      <c r="G1016" s="5" t="n">
        <v>2024</v>
      </c>
      <c r="H1016" s="5" t="inlineStr">
        <is>
          <t>Diciembre</t>
        </is>
      </c>
      <c r="I1016" s="6" t="inlineStr">
        <is>
          <t>2024-2</t>
        </is>
      </c>
      <c r="J1016" s="5" t="n">
        <v>0</v>
      </c>
      <c r="K1016" s="5" t="n">
        <v>2.338777826654054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1</v>
      </c>
      <c r="R1016" s="5" t="inlineStr">
        <is>
          <t>351-2024-12-31</t>
        </is>
      </c>
    </row>
    <row r="1017" hidden="1">
      <c r="A1017" s="5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101" t="n">
        <v>45838</v>
      </c>
      <c r="G1017" s="5" t="n">
        <v>2025</v>
      </c>
      <c r="H1017" s="5" t="inlineStr">
        <is>
          <t>Junio</t>
        </is>
      </c>
      <c r="I1017" s="6" t="inlineStr">
        <is>
          <t>2025-1</t>
        </is>
      </c>
      <c r="J1017" s="5" t="n">
        <v>0</v>
      </c>
      <c r="K1017" s="5" t="n">
        <v>0.5600000000000001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1</v>
      </c>
      <c r="R1017" s="5" t="inlineStr">
        <is>
          <t>351-2025-06-30</t>
        </is>
      </c>
    </row>
    <row r="1018" hidden="1">
      <c r="A1018" s="5" t="n">
        <v>351</v>
      </c>
      <c r="B1018" s="5" t="inlineStr">
        <is>
          <t>Partidas conciliatorias de bancos</t>
        </is>
      </c>
      <c r="C1018" s="5" t="inlineStr">
        <is>
          <t>Contabilidad</t>
        </is>
      </c>
      <c r="D1018" s="5" t="inlineStr">
        <is>
          <t>Semestral</t>
        </is>
      </c>
      <c r="E1018" s="5" t="inlineStr">
        <is>
          <t>Negativo</t>
        </is>
      </c>
      <c r="F1018" s="101" t="n">
        <v>46022</v>
      </c>
      <c r="G1018" s="5" t="n">
        <v>2025</v>
      </c>
      <c r="H1018" s="5" t="inlineStr">
        <is>
          <t>Diciembre</t>
        </is>
      </c>
      <c r="I1018" s="6" t="inlineStr">
        <is>
          <t>2025-2</t>
        </is>
      </c>
      <c r="J1018" s="5" t="n">
        <v>0</v>
      </c>
      <c r="K1018" s="5" t="n">
        <v>0.26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DEC</t>
        </is>
      </c>
      <c r="P1018" s="5" t="n">
        <v>0</v>
      </c>
      <c r="Q1018" s="5" t="n">
        <v>1</v>
      </c>
      <c r="R1018" s="5" t="inlineStr">
        <is>
          <t>351-2025-12-31</t>
        </is>
      </c>
    </row>
    <row r="1019" hidden="1">
      <c r="A1019" s="5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01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0</v>
      </c>
      <c r="K1019" s="5" t="n">
        <v>0.01904339979070545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5" t="n">
        <v>2</v>
      </c>
      <c r="Q1019" s="5" t="n">
        <v>2</v>
      </c>
      <c r="R1019" s="5" t="inlineStr">
        <is>
          <t>352-2023-06-30</t>
        </is>
      </c>
    </row>
    <row r="1020" hidden="1">
      <c r="A1020" s="5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01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0</v>
      </c>
      <c r="K1020" s="5" t="n">
        <v>0.1541960807832302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5" t="n">
        <v>2</v>
      </c>
      <c r="Q1020" s="5" t="n">
        <v>2</v>
      </c>
      <c r="R1020" s="5" t="inlineStr">
        <is>
          <t>352-2023-12-31</t>
        </is>
      </c>
    </row>
    <row r="1021" hidden="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01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0</v>
      </c>
      <c r="K1021" s="5" t="n">
        <v>0.0866016801252273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352-2024-06-30</t>
        </is>
      </c>
    </row>
    <row r="1022" hidden="1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Negativo</t>
        </is>
      </c>
      <c r="F1022" s="101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0</v>
      </c>
      <c r="K1022" s="5" t="n">
        <v>0.00048259287499875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352-2024-12-31</t>
        </is>
      </c>
    </row>
    <row r="1023" hidden="1">
      <c r="A1023" s="5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Negativo</t>
        </is>
      </c>
      <c r="F1023" s="101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0</v>
      </c>
      <c r="K1023" s="5" t="n">
        <v>0.005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352-2025-06-30</t>
        </is>
      </c>
    </row>
    <row r="1024" hidden="1">
      <c r="A1024" s="5" t="n">
        <v>352</v>
      </c>
      <c r="B1024" s="5" t="inlineStr">
        <is>
          <t>Nivel de facturas generadas con error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Negativo</t>
        </is>
      </c>
      <c r="F1024" s="101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0</v>
      </c>
      <c r="K1024" s="5" t="n">
        <v>0.01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2</v>
      </c>
      <c r="R1024" s="5" t="inlineStr">
        <is>
          <t>352-2025-12-31</t>
        </is>
      </c>
    </row>
    <row r="1025" hidden="1">
      <c r="A1025" s="5" t="n">
        <v>353</v>
      </c>
      <c r="B1025" s="5" t="inlineStr">
        <is>
          <t>Cobertura de tableros BI en procesos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101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25</v>
      </c>
      <c r="K1025" s="5" t="n">
        <v>40.3846153846154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n"/>
      <c r="O1025" s="5" t="n"/>
      <c r="P1025" s="5" t="n">
        <v>1</v>
      </c>
      <c r="Q1025" s="5" t="n">
        <v>1</v>
      </c>
      <c r="R1025" s="5" t="inlineStr">
        <is>
          <t>353-2023-06-30</t>
        </is>
      </c>
    </row>
    <row r="1026" hidden="1">
      <c r="A1026" s="5" t="n">
        <v>353</v>
      </c>
      <c r="B1026" s="5" t="inlineStr">
        <is>
          <t>Cobertura de tableros BI en procesos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101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35</v>
      </c>
      <c r="K1026" s="5" t="n">
        <v>40.3846153846154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n"/>
      <c r="O1026" s="5" t="n"/>
      <c r="P1026" s="5" t="n">
        <v>1</v>
      </c>
      <c r="Q1026" s="5" t="n">
        <v>1</v>
      </c>
      <c r="R1026" s="5" t="inlineStr">
        <is>
          <t>353-2023-12-31</t>
        </is>
      </c>
    </row>
    <row r="1027" hidden="1">
      <c r="A1027" s="5" t="n">
        <v>354</v>
      </c>
      <c r="B1027" s="5" t="inlineStr">
        <is>
          <t>Plan de formación en analitica</t>
        </is>
      </c>
      <c r="C1027" s="5" t="inlineStr">
        <is>
          <t>DATOS Y ANALÍTICA</t>
        </is>
      </c>
      <c r="D1027" s="5" t="inlineStr">
        <is>
          <t>Semestral</t>
        </is>
      </c>
      <c r="E1027" s="5" t="inlineStr">
        <is>
          <t>Positivo</t>
        </is>
      </c>
      <c r="F1027" s="101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10</v>
      </c>
      <c r="K1027" s="5" t="n">
        <v>5.07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n"/>
      <c r="O1027" s="5" t="n"/>
      <c r="P1027" s="5" t="n">
        <v>1</v>
      </c>
      <c r="Q1027" s="5" t="n">
        <v>1</v>
      </c>
      <c r="R1027" s="5" t="inlineStr">
        <is>
          <t>354-2023-06-30</t>
        </is>
      </c>
    </row>
    <row r="1028" hidden="1">
      <c r="A1028" s="5" t="n">
        <v>354</v>
      </c>
      <c r="B1028" s="5" t="inlineStr">
        <is>
          <t>Plan de formación en analitica</t>
        </is>
      </c>
      <c r="C1028" s="5" t="inlineStr">
        <is>
          <t>DATOS Y ANALÍTICA</t>
        </is>
      </c>
      <c r="D1028" s="5" t="inlineStr">
        <is>
          <t>Semestral</t>
        </is>
      </c>
      <c r="E1028" s="5" t="inlineStr">
        <is>
          <t>Positivo</t>
        </is>
      </c>
      <c r="F1028" s="101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10</v>
      </c>
      <c r="K1028" s="5" t="n">
        <v>31.77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n"/>
      <c r="O1028" s="5" t="n"/>
      <c r="P1028" s="5" t="n">
        <v>1</v>
      </c>
      <c r="Q1028" s="5" t="n">
        <v>1</v>
      </c>
      <c r="R1028" s="5" t="inlineStr">
        <is>
          <t>354-2023-12-31</t>
        </is>
      </c>
    </row>
    <row r="1029" hidden="1">
      <c r="A1029" s="5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101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</v>
      </c>
      <c r="K1029" s="5" t="n">
        <v>0.31754780991781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DEC</t>
        </is>
      </c>
      <c r="P1029" s="5" t="n">
        <v>1</v>
      </c>
      <c r="Q1029" s="5" t="n">
        <v>1</v>
      </c>
      <c r="R1029" s="5" t="inlineStr">
        <is>
          <t>355-2023-06-30</t>
        </is>
      </c>
    </row>
    <row r="1030" hidden="1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101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>
        <v>1</v>
      </c>
      <c r="K1030" s="5" t="n">
        <v>1.64916004403234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n"/>
      <c r="O1030" s="5" t="n"/>
      <c r="P1030" s="5" t="n">
        <v>1</v>
      </c>
      <c r="Q1030" s="5" t="n">
        <v>1</v>
      </c>
      <c r="R1030" s="5" t="inlineStr">
        <is>
          <t>355-2023-12-31</t>
        </is>
      </c>
    </row>
    <row r="1031" hidden="1">
      <c r="A1031" s="5" t="n">
        <v>355</v>
      </c>
      <c r="B1031" s="5" t="inlineStr">
        <is>
          <t>Indice de liquidez</t>
        </is>
      </c>
      <c r="C1031" s="5" t="inlineStr">
        <is>
          <t>Tesorería</t>
        </is>
      </c>
      <c r="D1031" s="5" t="inlineStr">
        <is>
          <t>Anual</t>
        </is>
      </c>
      <c r="E1031" s="5" t="inlineStr">
        <is>
          <t>Positivo</t>
        </is>
      </c>
      <c r="F1031" s="101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1.7</v>
      </c>
      <c r="K1031" s="5" t="n">
        <v>1.69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n"/>
      <c r="O1031" s="5" t="n"/>
      <c r="P1031" s="5" t="n">
        <v>0</v>
      </c>
      <c r="Q1031" s="5" t="n">
        <v>0</v>
      </c>
      <c r="R1031" s="5" t="inlineStr">
        <is>
          <t>355-2024-12-31</t>
        </is>
      </c>
    </row>
    <row r="1032" hidden="1">
      <c r="A1032" s="5" t="n">
        <v>355</v>
      </c>
      <c r="B1032" s="5" t="inlineStr">
        <is>
          <t>Indice de liquidez</t>
        </is>
      </c>
      <c r="C1032" s="5" t="inlineStr">
        <is>
          <t>Tesorería</t>
        </is>
      </c>
      <c r="D1032" s="5" t="inlineStr">
        <is>
          <t>Anual</t>
        </is>
      </c>
      <c r="E1032" s="5" t="inlineStr">
        <is>
          <t>Positivo</t>
        </is>
      </c>
      <c r="F1032" s="101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1.4</v>
      </c>
      <c r="K1032" s="5" t="n">
        <v>1.56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DEC</t>
        </is>
      </c>
      <c r="P1032" s="5" t="n">
        <v>1</v>
      </c>
      <c r="Q1032" s="5" t="n">
        <v>1</v>
      </c>
      <c r="R1032" s="5" t="inlineStr">
        <is>
          <t>355-2025-12-31</t>
        </is>
      </c>
    </row>
    <row r="1033" hidden="1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101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60</v>
      </c>
      <c r="K1033" s="5" t="n">
        <v>49.213961407602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1</v>
      </c>
      <c r="Q1033" s="5" t="n">
        <v>1</v>
      </c>
      <c r="R1033" s="5" t="inlineStr">
        <is>
          <t>356-2023-06-30</t>
        </is>
      </c>
    </row>
    <row r="1034" hidden="1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101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60</v>
      </c>
      <c r="K1034" s="5" t="n">
        <v>61.54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5" t="n">
        <v>1</v>
      </c>
      <c r="Q1034" s="5" t="n">
        <v>1</v>
      </c>
      <c r="R1034" s="5" t="inlineStr">
        <is>
          <t>356-2023-12-31</t>
        </is>
      </c>
    </row>
    <row r="1035" hidden="1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Semestral</t>
        </is>
      </c>
      <c r="E1035" s="5" t="inlineStr">
        <is>
          <t>Negativo</t>
        </is>
      </c>
      <c r="F1035" s="101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60</v>
      </c>
      <c r="K1035" s="5" t="n">
        <v>54.08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356-2024-06-30</t>
        </is>
      </c>
    </row>
    <row r="1036" hidden="1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Semestral</t>
        </is>
      </c>
      <c r="E1036" s="5" t="inlineStr">
        <is>
          <t>Negativo</t>
        </is>
      </c>
      <c r="F1036" s="101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60</v>
      </c>
      <c r="K1036" s="5" t="n">
        <v>65.55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356-2024-12-31</t>
        </is>
      </c>
    </row>
    <row r="1037" hidden="1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Negativo</t>
        </is>
      </c>
      <c r="F1037" s="101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60</v>
      </c>
      <c r="K1037" s="5" t="n">
        <v>49.14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356-2025-06-30</t>
        </is>
      </c>
    </row>
    <row r="1038" hidden="1">
      <c r="A1038" s="5" t="n">
        <v>356</v>
      </c>
      <c r="B1038" s="5" t="inlineStr">
        <is>
          <t>Indice de Endeudamiento</t>
        </is>
      </c>
      <c r="C1038" s="5" t="inlineStr">
        <is>
          <t>Tesorería</t>
        </is>
      </c>
      <c r="D1038" s="5" t="inlineStr">
        <is>
          <t>Trimestral</t>
        </is>
      </c>
      <c r="E1038" s="5" t="inlineStr">
        <is>
          <t>Negativo</t>
        </is>
      </c>
      <c r="F1038" s="101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60</v>
      </c>
      <c r="K1038" s="5" t="n">
        <v>64.77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1</v>
      </c>
      <c r="R1038" s="5" t="inlineStr">
        <is>
          <t>356-2025-12-31</t>
        </is>
      </c>
    </row>
    <row r="1039" hidden="1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101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/>
      <c r="K1039" s="5" t="n">
        <v>3.0055354363176</v>
      </c>
      <c r="L1039" s="14" t="n"/>
      <c r="M1039" s="14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357-2023-06-30</t>
        </is>
      </c>
    </row>
    <row r="1040" hidden="1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101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/>
      <c r="K1040" s="5" t="n">
        <v>4.45</v>
      </c>
      <c r="L1040" s="14" t="n"/>
      <c r="M1040" s="14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357-2023-12-31</t>
        </is>
      </c>
    </row>
    <row r="1041" hidden="1">
      <c r="A1041" s="5" t="n">
        <v>357</v>
      </c>
      <c r="B1041" s="5" t="inlineStr">
        <is>
          <t>Cartera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Positivo</t>
        </is>
      </c>
      <c r="F1041" s="101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/>
      <c r="K1041" s="5" t="n">
        <v>3.87</v>
      </c>
      <c r="L1041" s="14" t="n"/>
      <c r="M1041" s="14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357-2024-06-30</t>
        </is>
      </c>
    </row>
    <row r="1042" hidden="1">
      <c r="A1042" s="5" t="n">
        <v>357</v>
      </c>
      <c r="B1042" s="5" t="inlineStr">
        <is>
          <t>Cartera</t>
        </is>
      </c>
      <c r="C1042" s="5" t="inlineStr">
        <is>
          <t>Tesorería</t>
        </is>
      </c>
      <c r="D1042" s="5" t="inlineStr">
        <is>
          <t>Semestral</t>
        </is>
      </c>
      <c r="E1042" s="5" t="inlineStr">
        <is>
          <t>Positivo</t>
        </is>
      </c>
      <c r="F1042" s="101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/>
      <c r="K1042" s="5" t="n">
        <v>0.51</v>
      </c>
      <c r="L1042" s="14" t="n"/>
      <c r="M1042" s="14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357-2024-12-31</t>
        </is>
      </c>
    </row>
    <row r="1043" hidden="1">
      <c r="A1043" s="5" t="n">
        <v>357</v>
      </c>
      <c r="B1043" s="5" t="inlineStr">
        <is>
          <t>Cartera</t>
        </is>
      </c>
      <c r="C1043" s="5" t="inlineStr">
        <is>
          <t>Tesorería</t>
        </is>
      </c>
      <c r="D1043" s="5" t="inlineStr">
        <is>
          <t>Semestral</t>
        </is>
      </c>
      <c r="E1043" s="5" t="inlineStr">
        <is>
          <t>Positivo</t>
        </is>
      </c>
      <c r="F1043" s="101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/>
      <c r="K1043" s="5" t="n">
        <v>0.85</v>
      </c>
      <c r="L1043" s="14" t="n"/>
      <c r="M1043" s="14" t="n"/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357-2025-06-30</t>
        </is>
      </c>
    </row>
    <row r="1044" hidden="1">
      <c r="A1044" s="5" t="n">
        <v>357</v>
      </c>
      <c r="B1044" s="5" t="inlineStr">
        <is>
          <t>Cartera - Metrica</t>
        </is>
      </c>
      <c r="C1044" s="5" t="inlineStr">
        <is>
          <t>Tesorería</t>
        </is>
      </c>
      <c r="D1044" s="5" t="inlineStr">
        <is>
          <t>Trimestral</t>
        </is>
      </c>
      <c r="E1044" s="5" t="inlineStr">
        <is>
          <t>Positivo</t>
        </is>
      </c>
      <c r="F1044" s="101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10049277970</v>
      </c>
      <c r="K1044" s="5" t="n">
        <v>0.44</v>
      </c>
      <c r="L1044" s="14" t="n"/>
      <c r="M1044" s="14" t="n"/>
      <c r="N1044" s="5" t="inlineStr">
        <is>
          <t>Metrica</t>
        </is>
      </c>
      <c r="O1044" s="5" t="n"/>
      <c r="P1044" s="5" t="n">
        <v>0</v>
      </c>
      <c r="Q1044" s="5" t="n">
        <v>2</v>
      </c>
      <c r="R1044" s="5" t="inlineStr">
        <is>
          <t>357-2025-12-31</t>
        </is>
      </c>
      <c r="S1044" t="inlineStr">
        <is>
          <t>Metrica</t>
        </is>
      </c>
    </row>
    <row r="1045" hidden="1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101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87</v>
      </c>
      <c r="K1045" s="5" t="n">
        <v>86.98453608247399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358-2023-06-30</t>
        </is>
      </c>
    </row>
    <row r="1046" hidden="1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101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87</v>
      </c>
      <c r="K1046" s="5" t="n">
        <v>95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358-2023-12-31</t>
        </is>
      </c>
    </row>
    <row r="1047" hidden="1">
      <c r="A1047" s="5" t="n">
        <v>358</v>
      </c>
      <c r="B1047" s="5" t="inlineStr">
        <is>
          <t>Acompañamiento a estudiantes en practicas</t>
        </is>
      </c>
      <c r="C1047" s="5" t="inlineStr">
        <is>
          <t>Prácticas</t>
        </is>
      </c>
      <c r="D1047" s="5" t="inlineStr">
        <is>
          <t>Semestral</t>
        </is>
      </c>
      <c r="E1047" s="5" t="inlineStr">
        <is>
          <t>Positivo</t>
        </is>
      </c>
      <c r="F1047" s="101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87</v>
      </c>
      <c r="K1047" s="5" t="n">
        <v>97.98999999999999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358-2024-06-30</t>
        </is>
      </c>
    </row>
    <row r="1048" hidden="1">
      <c r="A1048" s="5" t="n">
        <v>358</v>
      </c>
      <c r="B1048" s="5" t="inlineStr">
        <is>
          <t>Acompañamiento a estudiantes en practicas</t>
        </is>
      </c>
      <c r="C1048" s="5" t="inlineStr">
        <is>
          <t>Prácticas</t>
        </is>
      </c>
      <c r="D1048" s="5" t="inlineStr">
        <is>
          <t>Semestral</t>
        </is>
      </c>
      <c r="E1048" s="5" t="inlineStr">
        <is>
          <t>Positivo</t>
        </is>
      </c>
      <c r="F1048" s="101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87</v>
      </c>
      <c r="K1048" s="5" t="n">
        <v>100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358-2024-12-31</t>
        </is>
      </c>
    </row>
    <row r="1049" hidden="1">
      <c r="A1049" s="5" t="n">
        <v>358</v>
      </c>
      <c r="B1049" s="5" t="inlineStr">
        <is>
          <t>Acompañamiento a estudiantes en practicas</t>
        </is>
      </c>
      <c r="C1049" s="5" t="inlineStr">
        <is>
          <t>Prácticas</t>
        </is>
      </c>
      <c r="D1049" s="5" t="inlineStr">
        <is>
          <t>Semestral</t>
        </is>
      </c>
      <c r="E1049" s="5" t="inlineStr">
        <is>
          <t>Positivo</t>
        </is>
      </c>
      <c r="F1049" s="101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100</v>
      </c>
      <c r="K1049" s="5" t="n">
        <v>100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358-2025-06-30</t>
        </is>
      </c>
    </row>
    <row r="1050" hidden="1">
      <c r="A1050" s="5" t="n">
        <v>358</v>
      </c>
      <c r="B1050" s="5" t="inlineStr">
        <is>
          <t>Nivel de acompañamiento a estudiantes en práctica</t>
        </is>
      </c>
      <c r="C1050" s="5" t="inlineStr">
        <is>
          <t>Prácticas</t>
        </is>
      </c>
      <c r="D1050" s="5" t="inlineStr">
        <is>
          <t>Trimestral</t>
        </is>
      </c>
      <c r="E1050" s="5" t="inlineStr">
        <is>
          <t>Positivo</t>
        </is>
      </c>
      <c r="F1050" s="101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100</v>
      </c>
      <c r="K1050" s="5" t="n">
        <v>100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358-2025-12-31</t>
        </is>
      </c>
    </row>
    <row r="1051" hidden="1">
      <c r="A1051" s="5" t="n">
        <v>359</v>
      </c>
      <c r="B1051" s="5" t="inlineStr">
        <is>
          <t>Porcentaje Iniciativas aprobadas</t>
        </is>
      </c>
      <c r="C1051" s="5" t="inlineStr">
        <is>
          <t>EXPERIENCIA INSTITUCIONAL</t>
        </is>
      </c>
      <c r="D1051" s="5" t="inlineStr">
        <is>
          <t>Anual</t>
        </is>
      </c>
      <c r="E1051" s="5" t="inlineStr">
        <is>
          <t>Positivo</t>
        </is>
      </c>
      <c r="F1051" s="101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/>
      <c r="K1051" s="5" t="n">
        <v>0</v>
      </c>
      <c r="L1051" s="14" t="n"/>
      <c r="M1051" s="14" t="n"/>
      <c r="N1051" s="5" t="n"/>
      <c r="O1051" s="5" t="n"/>
      <c r="P1051" s="5" t="n">
        <v>0</v>
      </c>
      <c r="Q1051" s="5" t="n">
        <v>0</v>
      </c>
      <c r="R1051" s="5" t="inlineStr">
        <is>
          <t>359-2023-12-31</t>
        </is>
      </c>
    </row>
    <row r="1052" hidden="1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101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80</v>
      </c>
      <c r="K1052" s="5" t="n">
        <v>0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359-2024-06-30</t>
        </is>
      </c>
    </row>
    <row r="1053" hidden="1">
      <c r="A1053" s="5" t="n">
        <v>359</v>
      </c>
      <c r="B1053" s="5" t="inlineStr">
        <is>
          <t>Satisfacción Institucional</t>
        </is>
      </c>
      <c r="C1053" s="5" t="inlineStr">
        <is>
          <t>EXPERIENCIA INSTITUCIONAL</t>
        </is>
      </c>
      <c r="D1053" s="5" t="inlineStr">
        <is>
          <t>Semestral</t>
        </is>
      </c>
      <c r="E1053" s="5" t="inlineStr">
        <is>
          <t>Positivo</t>
        </is>
      </c>
      <c r="F1053" s="101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80</v>
      </c>
      <c r="K1053" s="5" t="n">
        <v>86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359-2024-12-31</t>
        </is>
      </c>
    </row>
    <row r="1054" hidden="1">
      <c r="A1054" s="5" t="n">
        <v>359</v>
      </c>
      <c r="B1054" s="5" t="inlineStr">
        <is>
          <t>Satisfacción Institucional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101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80</v>
      </c>
      <c r="K1054" s="5" t="n">
        <v>90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359-2025-06-30</t>
        </is>
      </c>
    </row>
    <row r="1055" hidden="1">
      <c r="A1055" s="5" t="n">
        <v>359</v>
      </c>
      <c r="B1055" s="5" t="inlineStr">
        <is>
          <t>Satisfacción Institucional CSAT</t>
        </is>
      </c>
      <c r="C1055" s="5" t="inlineStr">
        <is>
          <t>EXPERIENCIA INSTITUCIONAL</t>
        </is>
      </c>
      <c r="D1055" s="5" t="inlineStr">
        <is>
          <t>Trimestral</t>
        </is>
      </c>
      <c r="E1055" s="5" t="inlineStr">
        <is>
          <t>Positivo</t>
        </is>
      </c>
      <c r="F1055" s="101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85</v>
      </c>
      <c r="K1055" s="5" t="n">
        <v>89.90000000000001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359-2025-12-31</t>
        </is>
      </c>
    </row>
    <row r="1056" hidden="1">
      <c r="A1056" s="5" t="n">
        <v>360</v>
      </c>
      <c r="B1056" s="5" t="inlineStr">
        <is>
          <t>Cumplimiento de cronogramas</t>
        </is>
      </c>
      <c r="C1056" s="5" t="inlineStr">
        <is>
          <t>EXPERIENCIA INSTITUCIONAL</t>
        </is>
      </c>
      <c r="D1056" s="5" t="inlineStr">
        <is>
          <t>Semestral</t>
        </is>
      </c>
      <c r="E1056" s="5" t="inlineStr">
        <is>
          <t>Positivo</t>
        </is>
      </c>
      <c r="F1056" s="101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360-2023-06-30</t>
        </is>
      </c>
    </row>
    <row r="1057" hidden="1">
      <c r="A1057" s="5" t="n">
        <v>360</v>
      </c>
      <c r="B1057" s="5" t="inlineStr">
        <is>
          <t>Cumplimiento de cronogramas</t>
        </is>
      </c>
      <c r="C1057" s="5" t="inlineStr">
        <is>
          <t>EXPERIENCIA INSTITUCIONAL</t>
        </is>
      </c>
      <c r="D1057" s="5" t="inlineStr">
        <is>
          <t>Semestral</t>
        </is>
      </c>
      <c r="E1057" s="5" t="inlineStr">
        <is>
          <t>Positivo</t>
        </is>
      </c>
      <c r="F1057" s="101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0</v>
      </c>
      <c r="K1057" s="5" t="n">
        <v>0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360-2023-12-31</t>
        </is>
      </c>
    </row>
    <row r="1058" hidden="1">
      <c r="A1058" s="5" t="n">
        <v>361</v>
      </c>
      <c r="B1058" s="5" t="inlineStr">
        <is>
          <t>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101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4.5</v>
      </c>
      <c r="K1058" s="5" t="n">
        <v>4.56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n"/>
      <c r="O1058" s="5" t="n"/>
      <c r="P1058" s="5" t="n">
        <v>2</v>
      </c>
      <c r="Q1058" s="5" t="n">
        <v>2</v>
      </c>
      <c r="R1058" s="5" t="inlineStr">
        <is>
          <t>361-2023-12-31</t>
        </is>
      </c>
    </row>
    <row r="1059" hidden="1">
      <c r="A1059" s="5" t="n">
        <v>361</v>
      </c>
      <c r="B1059" s="5" t="inlineStr">
        <is>
          <t>Inclusión</t>
        </is>
      </c>
      <c r="C1059" s="5" t="inlineStr">
        <is>
          <t>Gestión de la Responsabilidad Social</t>
        </is>
      </c>
      <c r="D1059" s="5" t="inlineStr">
        <is>
          <t>Anual</t>
        </is>
      </c>
      <c r="E1059" s="5" t="inlineStr">
        <is>
          <t>Positivo</t>
        </is>
      </c>
      <c r="F1059" s="101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0</v>
      </c>
      <c r="K1059" s="5" t="n"/>
      <c r="L1059" s="14" t="n"/>
      <c r="M1059" s="14" t="n"/>
      <c r="N1059" s="5" t="inlineStr">
        <is>
          <t>ENT</t>
        </is>
      </c>
      <c r="O1059" s="5" t="inlineStr">
        <is>
          <t>N/A</t>
        </is>
      </c>
      <c r="P1059" s="5" t="n">
        <v>0</v>
      </c>
      <c r="Q1059" s="5" t="n">
        <v>0</v>
      </c>
      <c r="R1059" s="5" t="inlineStr">
        <is>
          <t>361-2024-12-31</t>
        </is>
      </c>
    </row>
    <row r="1060" hidden="1">
      <c r="A1060" s="5" t="n">
        <v>361</v>
      </c>
      <c r="B1060" s="5" t="inlineStr">
        <is>
          <t>Índice de Inclusión</t>
        </is>
      </c>
      <c r="C1060" s="5" t="inlineStr">
        <is>
          <t>Gestión de la Responsabilidad Social</t>
        </is>
      </c>
      <c r="D1060" s="5" t="inlineStr">
        <is>
          <t>Anual</t>
        </is>
      </c>
      <c r="E1060" s="5" t="inlineStr">
        <is>
          <t>Positivo</t>
        </is>
      </c>
      <c r="F1060" s="101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4.6</v>
      </c>
      <c r="K1060" s="5" t="n">
        <v>4.78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DEC</t>
        </is>
      </c>
      <c r="O1060" s="5" t="inlineStr">
        <is>
          <t>DEC</t>
        </is>
      </c>
      <c r="P1060" s="5" t="n">
        <v>1</v>
      </c>
      <c r="Q1060" s="5" t="n">
        <v>2</v>
      </c>
      <c r="R1060" s="5" t="inlineStr">
        <is>
          <t>361-2025-12-31</t>
        </is>
      </c>
    </row>
    <row r="1061" hidden="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 pregrado y posgrado presencial.</t>
        </is>
      </c>
      <c r="D1061" s="5" t="inlineStr">
        <is>
          <t>Semestral</t>
        </is>
      </c>
      <c r="E1061" s="5" t="inlineStr">
        <is>
          <t>Positivo</t>
        </is>
      </c>
      <c r="F1061" s="101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100</v>
      </c>
      <c r="K1061" s="5" t="n">
        <v>99.156641448592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362-2023-12-31</t>
        </is>
      </c>
    </row>
    <row r="1062" hidden="1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Semestral</t>
        </is>
      </c>
      <c r="E1062" s="5" t="inlineStr">
        <is>
          <t>Positivo</t>
        </is>
      </c>
      <c r="F1062" s="101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98</v>
      </c>
      <c r="K1062" s="5" t="n">
        <v>99.58432304038006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362-2024-06-30</t>
        </is>
      </c>
    </row>
    <row r="1063" hidden="1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Semestral</t>
        </is>
      </c>
      <c r="E1063" s="5" t="inlineStr">
        <is>
          <t>Positivo</t>
        </is>
      </c>
      <c r="F1063" s="101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98</v>
      </c>
      <c r="K1063" s="5" t="n">
        <v>99.48999999999999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362-2024-12-31</t>
        </is>
      </c>
    </row>
    <row r="1064" hidden="1">
      <c r="A1064" s="5" t="n">
        <v>362</v>
      </c>
      <c r="B1064" s="5" t="inlineStr">
        <is>
          <t>Aseguramiento de matricula académica presencial</t>
        </is>
      </c>
      <c r="C1064" s="5" t="inlineStr">
        <is>
          <t>Operaciones Académicas</t>
        </is>
      </c>
      <c r="D1064" s="5" t="inlineStr">
        <is>
          <t>Semestral</t>
        </is>
      </c>
      <c r="E1064" s="5" t="inlineStr">
        <is>
          <t>Positivo</t>
        </is>
      </c>
      <c r="F1064" s="101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98</v>
      </c>
      <c r="K1064" s="5" t="n">
        <v>99.63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362-2025-06-30</t>
        </is>
      </c>
    </row>
    <row r="1065" hidden="1">
      <c r="A1065" s="5" t="n">
        <v>362</v>
      </c>
      <c r="B1065" s="5" t="inlineStr">
        <is>
          <t>Aseguramiento de matricula académica presencial</t>
        </is>
      </c>
      <c r="C1065" s="5" t="inlineStr">
        <is>
          <t>Operaciones Académicas</t>
        </is>
      </c>
      <c r="D1065" s="5" t="inlineStr">
        <is>
          <t>Trimestral</t>
        </is>
      </c>
      <c r="E1065" s="5" t="inlineStr">
        <is>
          <t>Positivo</t>
        </is>
      </c>
      <c r="F1065" s="101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98</v>
      </c>
      <c r="K1065" s="5" t="n">
        <v>99.7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5" t="n">
        <v>0</v>
      </c>
      <c r="Q1065" s="5" t="n">
        <v>0</v>
      </c>
      <c r="R1065" s="5" t="inlineStr">
        <is>
          <t>362-2025-12-31</t>
        </is>
      </c>
    </row>
    <row r="1066" hidden="1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 pregrado y posgrado virtual</t>
        </is>
      </c>
      <c r="D1066" s="5" t="inlineStr">
        <is>
          <t>Semestral</t>
        </is>
      </c>
      <c r="E1066" s="5" t="inlineStr">
        <is>
          <t>Positivo</t>
        </is>
      </c>
      <c r="F1066" s="101" t="n">
        <v>45107</v>
      </c>
      <c r="G1066" s="5" t="n">
        <v>2023</v>
      </c>
      <c r="H1066" s="5" t="inlineStr">
        <is>
          <t>Junio</t>
        </is>
      </c>
      <c r="I1066" s="6" t="inlineStr">
        <is>
          <t>2023-1</t>
        </is>
      </c>
      <c r="J1066" s="5" t="n">
        <v>0</v>
      </c>
      <c r="K1066" s="5" t="n">
        <v>0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n"/>
      <c r="O1066" s="5" t="n"/>
      <c r="P1066" s="5" t="n">
        <v>0</v>
      </c>
      <c r="Q1066" s="5" t="n">
        <v>0</v>
      </c>
      <c r="R1066" s="5" t="inlineStr">
        <is>
          <t>363-2023-06-30</t>
        </is>
      </c>
    </row>
    <row r="1067" hidden="1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 pregrado y posgrado virtual</t>
        </is>
      </c>
      <c r="D1067" s="5" t="inlineStr">
        <is>
          <t>Semestral</t>
        </is>
      </c>
      <c r="E1067" s="5" t="inlineStr">
        <is>
          <t>Positivo</t>
        </is>
      </c>
      <c r="F1067" s="101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n"/>
      <c r="O1067" s="5" t="n"/>
      <c r="P1067" s="5" t="n">
        <v>0</v>
      </c>
      <c r="Q1067" s="5" t="n">
        <v>0</v>
      </c>
      <c r="R1067" s="5" t="inlineStr">
        <is>
          <t>363-2023-12-31</t>
        </is>
      </c>
    </row>
    <row r="1068" hidden="1">
      <c r="A1068" s="21" t="n">
        <v>363</v>
      </c>
      <c r="B1068" s="20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01" t="n">
        <v>45473</v>
      </c>
      <c r="G1068" s="5" t="n">
        <v>2024</v>
      </c>
      <c r="H1068" s="5" t="inlineStr">
        <is>
          <t>Junio</t>
        </is>
      </c>
      <c r="I1068" s="6" t="inlineStr">
        <is>
          <t>2024-1</t>
        </is>
      </c>
      <c r="J1068" s="5" t="n">
        <v>100</v>
      </c>
      <c r="K1068" s="52" t="n">
        <v>100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n"/>
      <c r="O1068" s="5" t="n"/>
      <c r="P1068" s="5" t="n">
        <v>0</v>
      </c>
      <c r="Q1068" s="5" t="n">
        <v>0</v>
      </c>
      <c r="R1068" s="5" t="inlineStr">
        <is>
          <t>363-2024-06-30</t>
        </is>
      </c>
    </row>
    <row r="1069" hidden="1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01" t="n">
        <v>45657</v>
      </c>
      <c r="G1069" s="5" t="n">
        <v>2024</v>
      </c>
      <c r="H1069" s="5" t="inlineStr">
        <is>
          <t>Diciembre</t>
        </is>
      </c>
      <c r="I1069" s="6" t="inlineStr">
        <is>
          <t>2024-2</t>
        </is>
      </c>
      <c r="J1069" s="5" t="n">
        <v>100</v>
      </c>
      <c r="K1069" s="15" t="n">
        <v>100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n"/>
      <c r="O1069" s="5" t="n"/>
      <c r="P1069" s="5" t="n">
        <v>0</v>
      </c>
      <c r="Q1069" s="5" t="n">
        <v>0</v>
      </c>
      <c r="R1069" s="5" t="inlineStr">
        <is>
          <t>363-2024-12-31</t>
        </is>
      </c>
    </row>
    <row r="1070" hidden="1">
      <c r="A1070" s="5" t="n">
        <v>363</v>
      </c>
      <c r="B1070" s="5" t="inlineStr">
        <is>
          <t>Seguimiento a la parametrización de aulas master y secciones de asignaturas</t>
        </is>
      </c>
      <c r="C1070" s="5" t="inlineStr">
        <is>
          <t>Operaciones Académicas</t>
        </is>
      </c>
      <c r="D1070" s="5" t="inlineStr">
        <is>
          <t>Semestral</t>
        </is>
      </c>
      <c r="E1070" s="5" t="inlineStr">
        <is>
          <t>Positivo</t>
        </is>
      </c>
      <c r="F1070" s="101" t="n">
        <v>45838</v>
      </c>
      <c r="G1070" s="5" t="n">
        <v>2025</v>
      </c>
      <c r="H1070" s="5" t="inlineStr">
        <is>
          <t>Junio</t>
        </is>
      </c>
      <c r="I1070" s="6" t="inlineStr">
        <is>
          <t>2025-1</t>
        </is>
      </c>
      <c r="J1070" s="5" t="n">
        <v>100</v>
      </c>
      <c r="K1070" s="5" t="n">
        <v>100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363-2025-06-30</t>
        </is>
      </c>
    </row>
    <row r="1071" hidden="1">
      <c r="A1071" s="5" t="n">
        <v>363</v>
      </c>
      <c r="B1071" s="5" t="inlineStr">
        <is>
          <t>Seguimiento a la parametrización de aulas master y secciones de asignaturas</t>
        </is>
      </c>
      <c r="C1071" s="5" t="inlineStr">
        <is>
          <t>Operaciones Académicas</t>
        </is>
      </c>
      <c r="D1071" s="5" t="inlineStr">
        <is>
          <t>Trimestral</t>
        </is>
      </c>
      <c r="E1071" s="5" t="inlineStr">
        <is>
          <t>Positivo</t>
        </is>
      </c>
      <c r="F1071" s="101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5" t="n">
        <v>0</v>
      </c>
      <c r="Q1071" s="5" t="n">
        <v>0</v>
      </c>
      <c r="R1071" s="5" t="inlineStr">
        <is>
          <t>363-2025-12-31</t>
        </is>
      </c>
    </row>
    <row r="1072" hidden="1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Negativo</t>
        </is>
      </c>
      <c r="F1072" s="101" t="n">
        <v>45107</v>
      </c>
      <c r="G1072" s="5" t="n">
        <v>2023</v>
      </c>
      <c r="H1072" s="5" t="inlineStr">
        <is>
          <t>Junio</t>
        </is>
      </c>
      <c r="I1072" s="6" t="inlineStr">
        <is>
          <t>2023-1</t>
        </is>
      </c>
      <c r="J1072" s="5" t="n">
        <v>0</v>
      </c>
      <c r="K1072" s="5" t="n">
        <v>30244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inlineStr">
        <is>
          <t>Linea base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364-2023-06-30</t>
        </is>
      </c>
    </row>
    <row r="1073" hidden="1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Negativo</t>
        </is>
      </c>
      <c r="F1073" s="101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0</v>
      </c>
      <c r="K1073" s="5" t="n">
        <v>78450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Linea base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364-2023-12-31</t>
        </is>
      </c>
    </row>
    <row r="1074" hidden="1">
      <c r="A1074" s="5" t="n">
        <v>364</v>
      </c>
      <c r="B1074" s="5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Semestral</t>
        </is>
      </c>
      <c r="E1074" s="5" t="inlineStr">
        <is>
          <t>Positivo</t>
        </is>
      </c>
      <c r="F1074" s="101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100</v>
      </c>
      <c r="K1074" s="5" t="n">
        <v>132.73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364-2024-06-30</t>
        </is>
      </c>
    </row>
    <row r="1075" hidden="1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Semestral</t>
        </is>
      </c>
      <c r="E1075" s="5" t="inlineStr">
        <is>
          <t>Positivo</t>
        </is>
      </c>
      <c r="F1075" s="101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100</v>
      </c>
      <c r="K1075" s="5" t="n">
        <v>98.09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364-2024-12-31</t>
        </is>
      </c>
    </row>
    <row r="1076" hidden="1">
      <c r="A1076" s="5" t="n">
        <v>364</v>
      </c>
      <c r="B1076" s="5" t="inlineStr">
        <is>
          <t>Impacto de actividades de Responsabilidad y proyección</t>
        </is>
      </c>
      <c r="C1076" s="5" t="inlineStr">
        <is>
          <t>Gestión de la Responsabilidad Social</t>
        </is>
      </c>
      <c r="D1076" s="5" t="inlineStr">
        <is>
          <t>Trimestral</t>
        </is>
      </c>
      <c r="E1076" s="5" t="inlineStr">
        <is>
          <t>Positivo</t>
        </is>
      </c>
      <c r="F1076" s="101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100</v>
      </c>
      <c r="K1076" s="5" t="n">
        <v>93.89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 t="inlineStr">
        <is>
          <t>364-2025-06-30</t>
        </is>
      </c>
    </row>
    <row r="1077" hidden="1">
      <c r="A1077" s="5" t="n">
        <v>364</v>
      </c>
      <c r="B1077" s="5" t="inlineStr">
        <is>
          <t>Impacto de actividades de Responsabilidad y proyección</t>
        </is>
      </c>
      <c r="C1077" s="5" t="inlineStr">
        <is>
          <t>Gestión de la Responsabilidad Social</t>
        </is>
      </c>
      <c r="D1077" s="5" t="inlineStr">
        <is>
          <t>Trimestral</t>
        </is>
      </c>
      <c r="E1077" s="5" t="inlineStr">
        <is>
          <t>Positivo</t>
        </is>
      </c>
      <c r="F1077" s="101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100</v>
      </c>
      <c r="K1077" s="5" t="n">
        <v>78.11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 t="inlineStr">
        <is>
          <t>364-2025-12-31</t>
        </is>
      </c>
    </row>
    <row r="1078" hidden="1">
      <c r="A1078" s="5" t="n">
        <v>365</v>
      </c>
      <c r="B1078" s="5" t="inlineStr">
        <is>
          <t>Seguimiento de asignación docente a NRC Pregrado-Posgrado Presencial</t>
        </is>
      </c>
      <c r="C1078" s="5" t="inlineStr">
        <is>
          <t>Operaciones Académica pregrado y posgrado presencial.</t>
        </is>
      </c>
      <c r="D1078" s="5" t="inlineStr">
        <is>
          <t>Semestral</t>
        </is>
      </c>
      <c r="E1078" s="5" t="inlineStr">
        <is>
          <t>Positivo</t>
        </is>
      </c>
      <c r="F1078" s="101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100</v>
      </c>
      <c r="K1078" s="5" t="n">
        <v>100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365-2023-12-31</t>
        </is>
      </c>
    </row>
    <row r="1079" hidden="1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 pregrado y posgrado presencial.</t>
        </is>
      </c>
      <c r="D1079" s="5" t="inlineStr">
        <is>
          <t>Anual</t>
        </is>
      </c>
      <c r="E1079" s="5" t="inlineStr">
        <is>
          <t>Positivo</t>
        </is>
      </c>
      <c r="F1079" s="101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100</v>
      </c>
      <c r="K1079" s="5" t="n">
        <v>100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n"/>
      <c r="O1079" s="5" t="n"/>
      <c r="P1079" s="5" t="n">
        <v>0</v>
      </c>
      <c r="Q1079" s="5" t="n">
        <v>0</v>
      </c>
      <c r="R1079" s="5" t="inlineStr">
        <is>
          <t>366-2023-12-31</t>
        </is>
      </c>
    </row>
    <row r="1080" hidden="1">
      <c r="A1080" s="5" t="n">
        <v>366</v>
      </c>
      <c r="B1080" s="5" t="inlineStr">
        <is>
          <t>Normalización de cobros pecuniarios</t>
        </is>
      </c>
      <c r="C1080" s="5" t="inlineStr">
        <is>
          <t>Operaciones Académicas</t>
        </is>
      </c>
      <c r="D1080" s="5" t="inlineStr">
        <is>
          <t>Anual</t>
        </is>
      </c>
      <c r="E1080" s="5" t="inlineStr">
        <is>
          <t>Positivo</t>
        </is>
      </c>
      <c r="F1080" s="101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100</v>
      </c>
      <c r="K1080" s="5" t="n">
        <v>100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n"/>
      <c r="O1080" s="5" t="n"/>
      <c r="P1080" s="5" t="n">
        <v>0</v>
      </c>
      <c r="Q1080" s="5" t="n">
        <v>0</v>
      </c>
      <c r="R1080" s="5" t="inlineStr">
        <is>
          <t>366-2024-12-31</t>
        </is>
      </c>
    </row>
    <row r="1081" hidden="1">
      <c r="A1081" s="5" t="n">
        <v>366</v>
      </c>
      <c r="B1081" s="5" t="inlineStr">
        <is>
          <t>Normalización de cobros pecuniarios</t>
        </is>
      </c>
      <c r="C1081" s="5" t="inlineStr">
        <is>
          <t>Operaciones Académicas</t>
        </is>
      </c>
      <c r="D1081" s="5" t="inlineStr">
        <is>
          <t>Anual</t>
        </is>
      </c>
      <c r="E1081" s="5" t="inlineStr">
        <is>
          <t>Positivo</t>
        </is>
      </c>
      <c r="F1081" s="101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100</v>
      </c>
      <c r="K1081" s="5" t="n">
        <v>100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366-2025-12-31</t>
        </is>
      </c>
    </row>
    <row r="1082" hidden="1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101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5</v>
      </c>
      <c r="K1082" s="5" t="n">
        <v>6.249756705204562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inlineStr">
        <is>
          <t>%</t>
        </is>
      </c>
      <c r="O1082" s="5" t="inlineStr">
        <is>
          <t>%</t>
        </is>
      </c>
      <c r="P1082" s="5" t="n">
        <v>2</v>
      </c>
      <c r="Q1082" s="5" t="n">
        <v>2</v>
      </c>
      <c r="R1082" s="5" t="inlineStr">
        <is>
          <t>367-2023-12-31</t>
        </is>
      </c>
    </row>
    <row r="1083" hidden="1">
      <c r="A1083" s="5" t="n">
        <v>367</v>
      </c>
      <c r="B1083" s="5" t="inlineStr">
        <is>
          <t>Estudiantes con Becas</t>
        </is>
      </c>
      <c r="C1083" s="5" t="inlineStr">
        <is>
          <t>Gestión de la Responsabilidad Social</t>
        </is>
      </c>
      <c r="D1083" s="5" t="inlineStr">
        <is>
          <t>Anual</t>
        </is>
      </c>
      <c r="E1083" s="5" t="inlineStr">
        <is>
          <t>Positivo</t>
        </is>
      </c>
      <c r="F1083" s="101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5</v>
      </c>
      <c r="K1083" s="5" t="n">
        <v>4.96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inlineStr">
        <is>
          <t>%</t>
        </is>
      </c>
      <c r="O1083" s="5" t="inlineStr">
        <is>
          <t>%</t>
        </is>
      </c>
      <c r="P1083" s="5" t="n">
        <v>2</v>
      </c>
      <c r="Q1083" s="5" t="n">
        <v>2</v>
      </c>
      <c r="R1083" s="5" t="inlineStr">
        <is>
          <t>367-2024-12-31</t>
        </is>
      </c>
    </row>
    <row r="1084" hidden="1">
      <c r="A1084" s="5" t="n">
        <v>367</v>
      </c>
      <c r="B1084" s="5" t="inlineStr">
        <is>
          <t>Estudiantes con Becas</t>
        </is>
      </c>
      <c r="C1084" s="5" t="inlineStr">
        <is>
          <t>Gestión de la Responsabilidad Social</t>
        </is>
      </c>
      <c r="D1084" s="5" t="inlineStr">
        <is>
          <t>Anual</t>
        </is>
      </c>
      <c r="E1084" s="5" t="inlineStr">
        <is>
          <t>Positivo</t>
        </is>
      </c>
      <c r="F1084" s="101" t="n">
        <v>46022</v>
      </c>
      <c r="G1084" s="5" t="n">
        <v>2025</v>
      </c>
      <c r="H1084" s="5" t="inlineStr">
        <is>
          <t>Diciembre</t>
        </is>
      </c>
      <c r="I1084" s="6" t="inlineStr">
        <is>
          <t>2025-2</t>
        </is>
      </c>
      <c r="J1084" s="5" t="n">
        <v>5</v>
      </c>
      <c r="K1084" s="5" t="n">
        <v>3.82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2</v>
      </c>
      <c r="R1084" s="5" t="inlineStr">
        <is>
          <t>367-2025-12-31</t>
        </is>
      </c>
    </row>
    <row r="1085" hidden="1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101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90</v>
      </c>
      <c r="K1085" s="5" t="n">
        <v>94.5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368-2023-12-31</t>
        </is>
      </c>
    </row>
    <row r="1086" hidden="1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Educación no Formal</t>
        </is>
      </c>
      <c r="D1086" s="5" t="inlineStr">
        <is>
          <t>Trimestral</t>
        </is>
      </c>
      <c r="E1086" s="5" t="inlineStr">
        <is>
          <t>Positivo</t>
        </is>
      </c>
      <c r="F1086" s="101" t="n">
        <v>45473</v>
      </c>
      <c r="G1086" s="5" t="n">
        <v>2024</v>
      </c>
      <c r="H1086" s="5" t="inlineStr">
        <is>
          <t>Junio</t>
        </is>
      </c>
      <c r="I1086" s="6" t="inlineStr">
        <is>
          <t>2024-1</t>
        </is>
      </c>
      <c r="J1086" s="5" t="n">
        <v>90</v>
      </c>
      <c r="K1086" s="5" t="n">
        <v>94.5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368-2024-06-30</t>
        </is>
      </c>
    </row>
    <row r="1087" hidden="1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Educación no Formal</t>
        </is>
      </c>
      <c r="D1087" s="5" t="inlineStr">
        <is>
          <t>Trimestral</t>
        </is>
      </c>
      <c r="E1087" s="5" t="inlineStr">
        <is>
          <t>Positivo</t>
        </is>
      </c>
      <c r="F1087" s="101" t="n">
        <v>45657</v>
      </c>
      <c r="G1087" s="5" t="n">
        <v>2024</v>
      </c>
      <c r="H1087" s="5" t="inlineStr">
        <is>
          <t>Diciembre</t>
        </is>
      </c>
      <c r="I1087" s="6" t="inlineStr">
        <is>
          <t>2024-2</t>
        </is>
      </c>
      <c r="J1087" s="5" t="n">
        <v>90</v>
      </c>
      <c r="K1087" s="5" t="n">
        <v>94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368-2024-12-31</t>
        </is>
      </c>
    </row>
    <row r="1088" hidden="1">
      <c r="A1088" s="5" t="n">
        <v>368</v>
      </c>
      <c r="B1088" s="5" t="inlineStr">
        <is>
          <t>Satisfacción de los estudiantes de Educación para toda la vida</t>
        </is>
      </c>
      <c r="C1088" s="5" t="inlineStr">
        <is>
          <t>Operación de Educación no Formal</t>
        </is>
      </c>
      <c r="D1088" s="5" t="inlineStr">
        <is>
          <t>Trimestral</t>
        </is>
      </c>
      <c r="E1088" s="5" t="inlineStr">
        <is>
          <t>Positivo</t>
        </is>
      </c>
      <c r="F1088" s="101" t="n">
        <v>45838</v>
      </c>
      <c r="G1088" s="5" t="n">
        <v>2025</v>
      </c>
      <c r="H1088" s="5" t="inlineStr">
        <is>
          <t>Junio</t>
        </is>
      </c>
      <c r="I1088" s="6" t="inlineStr">
        <is>
          <t>2025-1</t>
        </is>
      </c>
      <c r="J1088" s="5" t="n">
        <v>93</v>
      </c>
      <c r="K1088" s="5" t="n">
        <v>95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%</t>
        </is>
      </c>
      <c r="O1088" s="5" t="inlineStr">
        <is>
          <t>%</t>
        </is>
      </c>
      <c r="P1088" s="5" t="n">
        <v>0</v>
      </c>
      <c r="Q1088" s="5" t="n">
        <v>0</v>
      </c>
      <c r="R1088" s="5" t="inlineStr">
        <is>
          <t>368-2025-06-30</t>
        </is>
      </c>
    </row>
    <row r="1089" hidden="1">
      <c r="A1089" s="5" t="n">
        <v>368</v>
      </c>
      <c r="B1089" s="5" t="inlineStr">
        <is>
          <t>Satisfacción de los estudiantes de Educación para toda la vida</t>
        </is>
      </c>
      <c r="C1089" s="5" t="inlineStr">
        <is>
          <t>Operación de nuevos negocios y CI</t>
        </is>
      </c>
      <c r="D1089" s="5" t="inlineStr">
        <is>
          <t>Semestral</t>
        </is>
      </c>
      <c r="E1089" s="5" t="inlineStr">
        <is>
          <t>Positivo</t>
        </is>
      </c>
      <c r="F1089" s="101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93</v>
      </c>
      <c r="K1089" s="5" t="n">
        <v>95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 t="inlineStr">
        <is>
          <t>368-2025-12-31</t>
        </is>
      </c>
    </row>
    <row r="1090" hidden="1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1" t="n">
        <v>45107</v>
      </c>
      <c r="G1090" s="5" t="n">
        <v>2023</v>
      </c>
      <c r="H1090" s="5" t="inlineStr">
        <is>
          <t>Junio</t>
        </is>
      </c>
      <c r="I1090" s="6" t="inlineStr">
        <is>
          <t>2023-1</t>
        </is>
      </c>
      <c r="J1090" s="5" t="n">
        <v>0</v>
      </c>
      <c r="K1090" s="5" t="n">
        <v>78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Linea Base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369-2023-06-30</t>
        </is>
      </c>
    </row>
    <row r="1091" hidden="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01" t="n">
        <v>45291</v>
      </c>
      <c r="G1091" s="5" t="n">
        <v>2023</v>
      </c>
      <c r="H1091" s="5" t="inlineStr">
        <is>
          <t>Diciembre</t>
        </is>
      </c>
      <c r="I1091" s="6" t="inlineStr">
        <is>
          <t>2023-2</t>
        </is>
      </c>
      <c r="J1091" s="5" t="n">
        <v>0</v>
      </c>
      <c r="K1091" s="5" t="n">
        <v>96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Linea Base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369-2023-12-31</t>
        </is>
      </c>
    </row>
    <row r="1092" hidden="1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01" t="n">
        <v>45473</v>
      </c>
      <c r="G1092" s="5" t="n">
        <v>2024</v>
      </c>
      <c r="H1092" s="5" t="inlineStr">
        <is>
          <t>Junio</t>
        </is>
      </c>
      <c r="I1092" s="6" t="inlineStr">
        <is>
          <t>2024-1</t>
        </is>
      </c>
      <c r="J1092" s="5" t="n">
        <v>100</v>
      </c>
      <c r="K1092" s="5" t="n">
        <v>76.25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369-2024-06-30</t>
        </is>
      </c>
    </row>
    <row r="1093" hidden="1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Semestral</t>
        </is>
      </c>
      <c r="E1093" s="5" t="inlineStr">
        <is>
          <t>Positivo</t>
        </is>
      </c>
      <c r="F1093" s="101" t="n">
        <v>45657</v>
      </c>
      <c r="G1093" s="5" t="n">
        <v>2024</v>
      </c>
      <c r="H1093" s="5" t="inlineStr">
        <is>
          <t>Diciembre</t>
        </is>
      </c>
      <c r="I1093" s="6" t="inlineStr">
        <is>
          <t>2024-2</t>
        </is>
      </c>
      <c r="J1093" s="5" t="n">
        <v>100</v>
      </c>
      <c r="K1093" s="5" t="n">
        <v>71.3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369-2024-12-31</t>
        </is>
      </c>
    </row>
    <row r="1094" hidden="1">
      <c r="A1094" s="5" t="n">
        <v>369</v>
      </c>
      <c r="B1094" s="5" t="inlineStr">
        <is>
          <t>Participación de POLI- voluntariados (Estudiantes- Colaboradores)</t>
        </is>
      </c>
      <c r="C1094" s="5" t="inlineStr">
        <is>
          <t>Gestión de la Responsabilidad Social</t>
        </is>
      </c>
      <c r="D1094" s="5" t="inlineStr">
        <is>
          <t>Trimestral</t>
        </is>
      </c>
      <c r="E1094" s="5" t="inlineStr">
        <is>
          <t>Positivo</t>
        </is>
      </c>
      <c r="F1094" s="101" t="n">
        <v>45838</v>
      </c>
      <c r="G1094" s="5" t="n">
        <v>2025</v>
      </c>
      <c r="H1094" s="5" t="inlineStr">
        <is>
          <t>Junio</t>
        </is>
      </c>
      <c r="I1094" s="6" t="inlineStr">
        <is>
          <t>2025-1</t>
        </is>
      </c>
      <c r="J1094" s="5" t="n">
        <v>100</v>
      </c>
      <c r="K1094" t="n">
        <v>88.89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 t="inlineStr">
        <is>
          <t>369-2025-06-30</t>
        </is>
      </c>
    </row>
    <row r="1095" hidden="1">
      <c r="A1095" s="5" t="n">
        <v>369</v>
      </c>
      <c r="B1095" s="5" t="inlineStr">
        <is>
          <t>Participación de POLI- voluntariados (Estudiantes- Colaboradores)</t>
        </is>
      </c>
      <c r="C1095" s="5" t="inlineStr">
        <is>
          <t>Gestión de la Responsabilidad Social</t>
        </is>
      </c>
      <c r="D1095" s="5" t="inlineStr">
        <is>
          <t>Trimestral</t>
        </is>
      </c>
      <c r="E1095" s="5" t="inlineStr">
        <is>
          <t>Positivo</t>
        </is>
      </c>
      <c r="F1095" s="101" t="n">
        <v>46022</v>
      </c>
      <c r="G1095" s="5" t="n">
        <v>2025</v>
      </c>
      <c r="H1095" s="5" t="inlineStr">
        <is>
          <t>Diciembre</t>
        </is>
      </c>
      <c r="I1095" s="6" t="inlineStr">
        <is>
          <t>2025-2</t>
        </is>
      </c>
      <c r="J1095" s="5" t="n">
        <v>100</v>
      </c>
      <c r="K1095" t="n">
        <v>108.26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369-2025-12-31</t>
        </is>
      </c>
    </row>
    <row r="1096" hidden="1">
      <c r="A1096" s="5" t="n">
        <v>370</v>
      </c>
      <c r="B1096" s="5" t="inlineStr">
        <is>
          <t>Oportunidades de mejora - Huella Verde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01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0</v>
      </c>
      <c r="K1096" t="n">
        <v>0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n"/>
      <c r="O1096" s="5" t="n"/>
      <c r="P1096" s="5" t="n">
        <v>0</v>
      </c>
      <c r="Q1096" s="5" t="n">
        <v>0</v>
      </c>
      <c r="R1096" s="5" t="inlineStr">
        <is>
          <t>370-2023-06-30</t>
        </is>
      </c>
    </row>
    <row r="1097" hidden="1">
      <c r="A1097" s="5" t="n">
        <v>370</v>
      </c>
      <c r="B1097" s="5" t="inlineStr">
        <is>
          <t>Oportunidades de mejora - Huella Verde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01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0</v>
      </c>
      <c r="K1097" t="n">
        <v>0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n"/>
      <c r="O1097" s="5" t="n"/>
      <c r="P1097" s="5" t="n">
        <v>0</v>
      </c>
      <c r="Q1097" s="5" t="n">
        <v>0</v>
      </c>
      <c r="R1097" s="5" t="inlineStr">
        <is>
          <t>370-2023-12-31</t>
        </is>
      </c>
    </row>
    <row r="1098" hidden="1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01" t="n">
        <v>45107</v>
      </c>
      <c r="G1098" s="5" t="n">
        <v>2023</v>
      </c>
      <c r="H1098" s="5" t="inlineStr">
        <is>
          <t>Junio</t>
        </is>
      </c>
      <c r="I1098" s="6" t="inlineStr">
        <is>
          <t>2023-1</t>
        </is>
      </c>
      <c r="J1098" s="5" t="n">
        <v>100</v>
      </c>
      <c r="K1098" t="n">
        <v>157.50274243636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371-2023-06-30</t>
        </is>
      </c>
    </row>
    <row r="1099" hidden="1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101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100</v>
      </c>
      <c r="K1099" t="n">
        <v>173.07</v>
      </c>
      <c r="L1099" s="14">
        <f>IFERROR(IF(OR(J1099=0,K1099=""),"",IF(E1099="Positivo",MIN(MAX(K1099/J1099,0),1.3),MIN(MAX(J1099/K1099,0),1.3))),"") </f>
        <v/>
      </c>
      <c r="M1099" s="14">
        <f>IFERROR(IF(OR(J1099=0,K1099=""),"",IF(E1099="Positivo",MAX(K1099/J1099,0),MAX(J1099/K1099,0))),"") </f>
        <v/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371-2023-12-31</t>
        </is>
      </c>
    </row>
    <row r="1100" hidden="1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Semestral</t>
        </is>
      </c>
      <c r="E1100" s="5" t="inlineStr">
        <is>
          <t>Positivo</t>
        </is>
      </c>
      <c r="F1100" s="101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5" t="n">
        <v>100</v>
      </c>
      <c r="K1100" s="5" t="n">
        <v>149.72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371-2024-06-30</t>
        </is>
      </c>
    </row>
    <row r="1101" hidden="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01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100</v>
      </c>
      <c r="K1101" s="5" t="n">
        <v>96.98999999999999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371-2024-12-31</t>
        </is>
      </c>
    </row>
    <row r="1102" hidden="1">
      <c r="A1102" s="5" t="n">
        <v>371</v>
      </c>
      <c r="B1102" s="5" t="inlineStr">
        <is>
          <t>Recaudación de fondos</t>
        </is>
      </c>
      <c r="C1102" s="5" t="inlineStr">
        <is>
          <t>Gestión de la Responsabilidad Social</t>
        </is>
      </c>
      <c r="D1102" s="5" t="inlineStr">
        <is>
          <t>Semestral</t>
        </is>
      </c>
      <c r="E1102" s="5" t="inlineStr">
        <is>
          <t>Positivo</t>
        </is>
      </c>
      <c r="F1102" s="101" t="n">
        <v>45838</v>
      </c>
      <c r="G1102" s="5" t="n">
        <v>2025</v>
      </c>
      <c r="H1102" s="5" t="inlineStr">
        <is>
          <t>Junio</t>
        </is>
      </c>
      <c r="I1102" s="6" t="inlineStr">
        <is>
          <t>2025-1</t>
        </is>
      </c>
      <c r="J1102" s="5" t="n">
        <v>100</v>
      </c>
      <c r="K1102" s="5" t="n">
        <v>73.69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inlineStr">
        <is>
          <t>$</t>
        </is>
      </c>
      <c r="O1102" s="5" t="inlineStr">
        <is>
          <t>$</t>
        </is>
      </c>
      <c r="P1102" s="5" t="n">
        <v>0</v>
      </c>
      <c r="Q1102" s="5" t="n">
        <v>0</v>
      </c>
      <c r="R1102" s="5" t="inlineStr">
        <is>
          <t>371-2025-06-30</t>
        </is>
      </c>
    </row>
    <row r="1103" hidden="1">
      <c r="A1103" s="5" t="n">
        <v>371</v>
      </c>
      <c r="B1103" s="5" t="inlineStr">
        <is>
          <t>Recaudación de fondos</t>
        </is>
      </c>
      <c r="C1103" s="5" t="inlineStr">
        <is>
          <t>Gestión de la Responsabilidad Social</t>
        </is>
      </c>
      <c r="D1103" s="5" t="inlineStr">
        <is>
          <t>Trimestral</t>
        </is>
      </c>
      <c r="E1103" s="5" t="inlineStr">
        <is>
          <t>Positivo</t>
        </is>
      </c>
      <c r="F1103" s="101" t="n">
        <v>46022</v>
      </c>
      <c r="G1103" s="5" t="n">
        <v>2025</v>
      </c>
      <c r="H1103" s="5" t="inlineStr">
        <is>
          <t>Diciembre</t>
        </is>
      </c>
      <c r="I1103" s="6" t="inlineStr">
        <is>
          <t>2025-2</t>
        </is>
      </c>
      <c r="J1103" s="5" t="n">
        <v>100</v>
      </c>
      <c r="K1103" s="5" t="n">
        <v>83.42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$</t>
        </is>
      </c>
      <c r="O1103" s="5" t="inlineStr">
        <is>
          <t>$</t>
        </is>
      </c>
      <c r="P1103" s="5" t="n">
        <v>0</v>
      </c>
      <c r="Q1103" s="5" t="n">
        <v>0</v>
      </c>
      <c r="R1103" s="5" t="inlineStr">
        <is>
          <t>371-2025-12-31</t>
        </is>
      </c>
    </row>
    <row r="1104" hidden="1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101" t="n">
        <v>45199</v>
      </c>
      <c r="G1104" s="5" t="n">
        <v>2023</v>
      </c>
      <c r="H1104" s="5" t="inlineStr">
        <is>
          <t>Septiembre</t>
        </is>
      </c>
      <c r="I1104" s="6" t="inlineStr">
        <is>
          <t>2023-2</t>
        </is>
      </c>
      <c r="J1104" s="5" t="n">
        <v>87</v>
      </c>
      <c r="K1104" s="5" t="n">
        <v>95.5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372-2023-09-30</t>
        </is>
      </c>
    </row>
    <row r="1105" hidden="1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101" t="n">
        <v>45291</v>
      </c>
      <c r="G1105" s="5" t="n">
        <v>2023</v>
      </c>
      <c r="H1105" s="5" t="inlineStr">
        <is>
          <t>Diciembre</t>
        </is>
      </c>
      <c r="I1105" s="6" t="inlineStr">
        <is>
          <t>2023-2</t>
        </is>
      </c>
      <c r="J1105" s="5" t="n">
        <v>87</v>
      </c>
      <c r="K1105" s="5" t="n">
        <v>95.5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372-2023-12-31</t>
        </is>
      </c>
    </row>
    <row r="1106" hidden="1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Educación no Formal</t>
        </is>
      </c>
      <c r="D1106" s="5" t="inlineStr">
        <is>
          <t>Trimestral</t>
        </is>
      </c>
      <c r="E1106" s="5" t="inlineStr">
        <is>
          <t>Positivo</t>
        </is>
      </c>
      <c r="F1106" s="101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87</v>
      </c>
      <c r="K1106" s="5" t="n">
        <v>91.5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372-2024-06-30</t>
        </is>
      </c>
    </row>
    <row r="1107" hidden="1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Educación no Formal</t>
        </is>
      </c>
      <c r="D1107" s="5" t="inlineStr">
        <is>
          <t>Trimestral</t>
        </is>
      </c>
      <c r="E1107" s="5" t="inlineStr">
        <is>
          <t>Positivo</t>
        </is>
      </c>
      <c r="F1107" s="101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87</v>
      </c>
      <c r="K1107" s="5" t="n">
        <v>92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372-2024-12-31</t>
        </is>
      </c>
    </row>
    <row r="1108" hidden="1">
      <c r="A1108" s="5" t="n">
        <v>372</v>
      </c>
      <c r="B1108" s="5" t="inlineStr">
        <is>
          <t>Satisfacción de los clientes corporativos Educación para toda la vida</t>
        </is>
      </c>
      <c r="C1108" s="5" t="inlineStr">
        <is>
          <t>Operación de Educación no Formal</t>
        </is>
      </c>
      <c r="D1108" s="5" t="inlineStr">
        <is>
          <t>Trimestral</t>
        </is>
      </c>
      <c r="E1108" s="5" t="inlineStr">
        <is>
          <t>Positivo</t>
        </is>
      </c>
      <c r="F1108" s="101" t="n">
        <v>45838</v>
      </c>
      <c r="G1108" s="5" t="n">
        <v>2025</v>
      </c>
      <c r="H1108" s="5" t="inlineStr">
        <is>
          <t>Junio</t>
        </is>
      </c>
      <c r="I1108" s="6" t="inlineStr">
        <is>
          <t>2025-1</t>
        </is>
      </c>
      <c r="J1108" s="5" t="n">
        <v>90</v>
      </c>
      <c r="K1108" s="5" t="n">
        <v>94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372-2025-06-30</t>
        </is>
      </c>
    </row>
    <row r="1109" hidden="1">
      <c r="A1109" s="5" t="n">
        <v>372</v>
      </c>
      <c r="B1109" s="5" t="inlineStr">
        <is>
          <t>Satisfacción de los clientes corporativos Educación para toda la vida</t>
        </is>
      </c>
      <c r="C1109" s="5" t="inlineStr">
        <is>
          <t>Operación de nuevos negocios y CI</t>
        </is>
      </c>
      <c r="D1109" s="5" t="inlineStr">
        <is>
          <t>Semestral</t>
        </is>
      </c>
      <c r="E1109" s="5" t="inlineStr">
        <is>
          <t>Positivo</t>
        </is>
      </c>
      <c r="F1109" s="101" t="n">
        <v>46022</v>
      </c>
      <c r="G1109" s="5" t="n">
        <v>2025</v>
      </c>
      <c r="H1109" s="5" t="inlineStr">
        <is>
          <t>Diciembre</t>
        </is>
      </c>
      <c r="I1109" s="6" t="inlineStr">
        <is>
          <t>2025-2</t>
        </is>
      </c>
      <c r="J1109" s="5" t="n">
        <v>90</v>
      </c>
      <c r="K1109" s="5" t="n">
        <v>97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372-2025-12-31</t>
        </is>
      </c>
    </row>
    <row r="1110" hidden="1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101" t="n">
        <v>45107</v>
      </c>
      <c r="G1110" s="5" t="n">
        <v>2023</v>
      </c>
      <c r="H1110" s="5" t="inlineStr">
        <is>
          <t>Junio</t>
        </is>
      </c>
      <c r="I1110" s="6" t="inlineStr">
        <is>
          <t>2023-1</t>
        </is>
      </c>
      <c r="J1110" s="5" t="n">
        <v>100</v>
      </c>
      <c r="K1110" s="5" t="n">
        <v>53.585833333335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373-2023-06-30</t>
        </is>
      </c>
    </row>
    <row r="1111" hidden="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101" t="n">
        <v>45291</v>
      </c>
      <c r="G1111" s="5" t="n">
        <v>2023</v>
      </c>
      <c r="H1111" s="5" t="inlineStr">
        <is>
          <t>Diciembre</t>
        </is>
      </c>
      <c r="I1111" s="6" t="inlineStr">
        <is>
          <t>2023-2</t>
        </is>
      </c>
      <c r="J1111" s="5" t="n">
        <v>100</v>
      </c>
      <c r="K1111" s="5" t="n">
        <v>94.33750000000001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373-2023-12-31</t>
        </is>
      </c>
    </row>
    <row r="1112" hidden="1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101" t="n">
        <v>45473</v>
      </c>
      <c r="G1112" s="5" t="n">
        <v>2024</v>
      </c>
      <c r="H1112" s="5" t="inlineStr">
        <is>
          <t>Junio</t>
        </is>
      </c>
      <c r="I1112" s="6" t="inlineStr">
        <is>
          <t>2024-1</t>
        </is>
      </c>
      <c r="J1112" s="5" t="n">
        <v>100</v>
      </c>
      <c r="K1112" s="5" t="n">
        <v>97.91</v>
      </c>
      <c r="L1112" s="14">
        <f>IFERROR(IF(OR(J1112=0,K1112=""),"",IF(E1112="Positivo",MIN(MAX(K1112/J1112,0),1.3),MIN(MAX(J1112/K1112,0),1.3))),"") </f>
        <v/>
      </c>
      <c r="M1112" s="14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373-2024-06-30</t>
        </is>
      </c>
    </row>
    <row r="1113" hidden="1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101" t="n">
        <v>45657</v>
      </c>
      <c r="G1113" s="5" t="n">
        <v>2024</v>
      </c>
      <c r="H1113" s="5" t="inlineStr">
        <is>
          <t>Diciembre</t>
        </is>
      </c>
      <c r="I1113" s="6" t="inlineStr">
        <is>
          <t>2024-2</t>
        </is>
      </c>
      <c r="J1113" s="5" t="n">
        <v>100</v>
      </c>
      <c r="K1113" s="5" t="n">
        <v>99.14</v>
      </c>
      <c r="L1113" s="14">
        <f>IFERROR(IF(OR(J1113=0,K1113=""),"",IF(E1113="Positivo",MIN(MAX(K1113/J1113,0),1.3),MIN(MAX(J1113/K1113,0),1.3))),"") </f>
        <v/>
      </c>
      <c r="M1113" s="14">
        <f>IFERROR(IF(OR(J1113=0,K1113=""),"",IF(E1113="Positivo",MAX(K1113/J1113,0),MAX(J1113/K1113,0))),"") </f>
        <v/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373-2024-12-31</t>
        </is>
      </c>
    </row>
    <row r="1114" hidden="1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Semestral</t>
        </is>
      </c>
      <c r="E1114" s="5" t="inlineStr">
        <is>
          <t>Positivo</t>
        </is>
      </c>
      <c r="F1114" s="101" t="n">
        <v>45838</v>
      </c>
      <c r="G1114" s="5" t="n">
        <v>2025</v>
      </c>
      <c r="H1114" s="5" t="inlineStr">
        <is>
          <t>Junio</t>
        </is>
      </c>
      <c r="I1114" s="6" t="inlineStr">
        <is>
          <t>2025-1</t>
        </is>
      </c>
      <c r="J1114" s="5" t="n">
        <v>100</v>
      </c>
      <c r="K1114" s="5" t="n">
        <v>104.605</v>
      </c>
      <c r="L1114" s="14">
        <f>IFERROR(IF(OR(J1114=0,K1114=""),"",IF(E1114="Positivo",MIN(MAX(K1114/J1114,0),1.3),MIN(MAX(J1114/K1114,0),1.3))),"") </f>
        <v/>
      </c>
      <c r="M1114" s="14">
        <f>IFERROR(IF(OR(J1114=0,K1114=""),"",IF(E1114="Positivo",MAX(K1114/J1114,0),MAX(J1114/K1114,0))),"") </f>
        <v/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373-2025-06-30</t>
        </is>
      </c>
    </row>
    <row r="1115" hidden="1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Semestral</t>
        </is>
      </c>
      <c r="E1115" s="5" t="inlineStr">
        <is>
          <t>Positivo</t>
        </is>
      </c>
      <c r="F1115" s="101" t="n">
        <v>46022</v>
      </c>
      <c r="G1115" s="5" t="n">
        <v>2025</v>
      </c>
      <c r="H1115" s="5" t="inlineStr">
        <is>
          <t>Diciembre</t>
        </is>
      </c>
      <c r="I1115" s="6" t="inlineStr">
        <is>
          <t>2025-2</t>
        </is>
      </c>
      <c r="J1115" s="5" t="n">
        <v>100</v>
      </c>
      <c r="K1115" s="10" t="n">
        <v>97.82499999999999</v>
      </c>
      <c r="L1115" s="14">
        <f>IFERROR(IF(OR(J1115=0,K1115=""),"",IF(E1115="Positivo",MIN(MAX(K1115/J1115,0),1.3),MIN(MAX(J1115/K1115,0),1.3))),"") </f>
        <v/>
      </c>
      <c r="M1115" s="14">
        <f>IFERROR(IF(OR(J1115=0,K1115=""),"",IF(E1115="Positivo",MAX(K1115/J1115,0),MAX(J1115/K1115,0))),"") </f>
        <v/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373-2025-12-31</t>
        </is>
      </c>
    </row>
    <row r="1116" hidden="1">
      <c r="A1116" s="5" t="n">
        <v>374</v>
      </c>
      <c r="B1116" s="5" t="inlineStr">
        <is>
          <t>Disponibilidad de máster modalidad virtual</t>
        </is>
      </c>
      <c r="C1116" s="5" t="inlineStr">
        <is>
          <t>Operaciones Académica pregrado y posgrado virtual</t>
        </is>
      </c>
      <c r="D1116" s="5" t="inlineStr">
        <is>
          <t>Semestral</t>
        </is>
      </c>
      <c r="E1116" s="5" t="inlineStr">
        <is>
          <t>Positivo</t>
        </is>
      </c>
      <c r="F1116" s="101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100</v>
      </c>
      <c r="K1116" s="10" t="n">
        <v>100</v>
      </c>
      <c r="L1116" s="14">
        <f>IFERROR(IF(OR(J1116=0,K1116=""),"",IF(E1116="Positivo",MIN(MAX(K1116/J1116,0),1.3),MIN(MAX(J1116/K1116,0),1.3))),"") </f>
        <v/>
      </c>
      <c r="M1116" s="14">
        <f>IFERROR(IF(OR(J1116=0,K1116=""),"",IF(E1116="Positivo",MAX(K1116/J1116,0),MAX(J1116/K1116,0))),"") </f>
        <v/>
      </c>
      <c r="N1116" s="5" t="n"/>
      <c r="O1116" s="5" t="n"/>
      <c r="P1116" s="5" t="n">
        <v>0</v>
      </c>
      <c r="Q1116" s="5" t="n">
        <v>0</v>
      </c>
      <c r="R1116" s="5" t="inlineStr">
        <is>
          <t>374-2023-12-31</t>
        </is>
      </c>
    </row>
    <row r="1117" hidden="1">
      <c r="A1117" s="26" t="n">
        <v>375</v>
      </c>
      <c r="B1117" s="5" t="inlineStr">
        <is>
          <t>Disponibilidad de catálogo de asignaturas pregrado y posgrado presencial</t>
        </is>
      </c>
      <c r="C1117" s="5" t="inlineStr">
        <is>
          <t>Operaciones Académicas</t>
        </is>
      </c>
      <c r="D1117" s="5" t="inlineStr">
        <is>
          <t>Trimestral</t>
        </is>
      </c>
      <c r="E1117" s="5" t="inlineStr">
        <is>
          <t>Positivo</t>
        </is>
      </c>
      <c r="F1117" s="101" t="n">
        <v>45107</v>
      </c>
      <c r="G1117" s="15" t="n">
        <v>2023</v>
      </c>
      <c r="H1117" s="6" t="inlineStr">
        <is>
          <t>Junio</t>
        </is>
      </c>
      <c r="I1117" s="6" t="inlineStr">
        <is>
          <t>2023-1</t>
        </is>
      </c>
      <c r="J1117" s="5" t="n">
        <v>100</v>
      </c>
      <c r="K1117" s="5" t="n">
        <v>0</v>
      </c>
      <c r="L1117" s="14">
        <f>IFERROR(IF(OR(J1117=0,K1117=""),"",IF(E1117="Positivo",MIN(MAX(K1117/J1117,0),1.3),MIN(MAX(J1117/K1117,0),1.3))),"") </f>
        <v/>
      </c>
      <c r="M1117" s="14">
        <f>IFERROR(IF(OR(J1117=0,K1117=""),"",IF(E1117="Positivo",MAX(K1117/J1117,0),MAX(J1117/K1117,0))),"") </f>
        <v/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375-2023-06-30</t>
        </is>
      </c>
    </row>
    <row r="1118" hidden="1">
      <c r="A1118" s="26" t="n">
        <v>375</v>
      </c>
      <c r="B1118" s="5" t="inlineStr">
        <is>
          <t>Disponibilidad de catálogo de asignaturas pregrado y posgrado presencial</t>
        </is>
      </c>
      <c r="C1118" s="5" t="inlineStr">
        <is>
          <t>Operaciones Académica pregrado y posgrado presencial.</t>
        </is>
      </c>
      <c r="D1118" s="5" t="inlineStr">
        <is>
          <t>Semestral</t>
        </is>
      </c>
      <c r="E1118" s="5" t="inlineStr">
        <is>
          <t>Positivo</t>
        </is>
      </c>
      <c r="F1118" s="101" t="n">
        <v>45291</v>
      </c>
      <c r="G1118" s="15" t="n">
        <v>2023</v>
      </c>
      <c r="H1118" s="6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14">
        <f>IFERROR(IF(OR(J1118=0,K1118=""),"",IF(E1118="Positivo",MIN(MAX(K1118/J1118,0),1.3),MIN(MAX(J1118/K1118,0),1.3))),"") </f>
        <v/>
      </c>
      <c r="M1118" s="14">
        <f>IFERROR(IF(OR(J1118=0,K1118=""),"",IF(E1118="Positivo",MAX(K1118/J1118,0),MAX(J1118/K1118,0))),"") </f>
        <v/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375-2023-12-31</t>
        </is>
      </c>
    </row>
    <row r="1119" hidden="1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Semestral</t>
        </is>
      </c>
      <c r="E1119" s="5" t="inlineStr">
        <is>
          <t>Positivo</t>
        </is>
      </c>
      <c r="F1119" s="101" t="n">
        <v>45473</v>
      </c>
      <c r="G1119" s="15" t="n">
        <v>2024</v>
      </c>
      <c r="H1119" s="6" t="inlineStr">
        <is>
          <t>Junio</t>
        </is>
      </c>
      <c r="I1119" s="6" t="inlineStr">
        <is>
          <t>2024-1</t>
        </is>
      </c>
      <c r="J1119" s="5" t="n">
        <v>100</v>
      </c>
      <c r="K1119" s="5" t="n">
        <v>100</v>
      </c>
      <c r="L1119" s="14">
        <f>IFERROR(IF(OR(J1119=0,K1119=""),"",IF(E1119="Positivo",MIN(MAX(K1119/J1119,0),1.3),MIN(MAX(J1119/K1119,0),1.3))),"") </f>
        <v/>
      </c>
      <c r="M1119" s="14">
        <f>IFERROR(IF(OR(J1119=0,K1119=""),"",IF(E1119="Positivo",MAX(K1119/J1119,0),MAX(J1119/K1119,0))),"") </f>
        <v/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375-2024-06-30</t>
        </is>
      </c>
    </row>
    <row r="1120" hidden="1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Académicas</t>
        </is>
      </c>
      <c r="D1120" s="5" t="inlineStr">
        <is>
          <t>Semestral</t>
        </is>
      </c>
      <c r="E1120" s="5" t="inlineStr">
        <is>
          <t>Positivo</t>
        </is>
      </c>
      <c r="F1120" s="101" t="n">
        <v>45657</v>
      </c>
      <c r="G1120" s="15" t="n">
        <v>2024</v>
      </c>
      <c r="H1120" s="6" t="inlineStr">
        <is>
          <t>Diciembre</t>
        </is>
      </c>
      <c r="I1120" s="6" t="inlineStr">
        <is>
          <t>2024-2</t>
        </is>
      </c>
      <c r="J1120" s="5" t="n">
        <v>100</v>
      </c>
      <c r="K1120" s="5" t="n">
        <v>100</v>
      </c>
      <c r="L1120" s="14">
        <f>IFERROR(IF(OR(J1120=0,K1120=""),"",IF(E1120="Positivo",MIN(MAX(K1120/J1120,0),1.3),MIN(MAX(J1120/K1120,0),1.3))),"") </f>
        <v/>
      </c>
      <c r="M1120" s="14">
        <f>IFERROR(IF(OR(J1120=0,K1120=""),"",IF(E1120="Positivo",MAX(K1120/J1120,0),MAX(J1120/K1120,0))),"") </f>
        <v/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375-2024-12-31</t>
        </is>
      </c>
    </row>
    <row r="1121" hidden="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Semestral</t>
        </is>
      </c>
      <c r="E1121" s="5" t="inlineStr">
        <is>
          <t>Positivo</t>
        </is>
      </c>
      <c r="F1121" s="101" t="n">
        <v>45838</v>
      </c>
      <c r="G1121" s="15" t="n">
        <v>2025</v>
      </c>
      <c r="H1121" s="6" t="inlineStr">
        <is>
          <t>Junio</t>
        </is>
      </c>
      <c r="I1121" s="6" t="inlineStr">
        <is>
          <t>2025-1</t>
        </is>
      </c>
      <c r="J1121" s="5" t="n">
        <v>100</v>
      </c>
      <c r="K1121" s="5" t="n">
        <v>100</v>
      </c>
      <c r="L1121" s="14">
        <f>IFERROR(IF(OR(J1121=0,K1121=""),"",IF(E1121="Positivo",MIN(MAX(K1121/J1121,0),1.3),MIN(MAX(J1121/K1121,0),1.3))),"") </f>
        <v/>
      </c>
      <c r="M1121" s="14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375-2025-06-30</t>
        </is>
      </c>
    </row>
    <row r="1122" hidden="1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Trimestral</t>
        </is>
      </c>
      <c r="E1122" s="5" t="inlineStr">
        <is>
          <t>Positivo</t>
        </is>
      </c>
      <c r="F1122" s="101" t="n">
        <v>46022</v>
      </c>
      <c r="G1122" s="15" t="n">
        <v>2025</v>
      </c>
      <c r="H1122" s="6" t="inlineStr">
        <is>
          <t>Diciembre</t>
        </is>
      </c>
      <c r="I1122" s="6" t="inlineStr">
        <is>
          <t>2025-2</t>
        </is>
      </c>
      <c r="J1122" s="5" t="n">
        <v>100</v>
      </c>
      <c r="K1122" s="5" t="n">
        <v>100</v>
      </c>
      <c r="L1122" s="14">
        <f>IFERROR(IF(OR(J1122=0,K1122=""),"",IF(E1122="Positivo",MIN(MAX(K1122/J1122,0),1.3),MIN(MAX(J1122/K1122,0),1.3))),"") </f>
        <v/>
      </c>
      <c r="M1122" s="14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375-2025-12-31</t>
        </is>
      </c>
    </row>
    <row r="1123" hidden="1">
      <c r="A1123" s="5" t="n">
        <v>376</v>
      </c>
      <c r="B1123" s="5" t="inlineStr">
        <is>
          <t>Cumplimiento EBIDTA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Positivo</t>
        </is>
      </c>
      <c r="F1123" s="101" t="n">
        <v>45107</v>
      </c>
      <c r="G1123" s="15" t="n">
        <v>2023</v>
      </c>
      <c r="H1123" s="6" t="inlineStr">
        <is>
          <t>Junio</t>
        </is>
      </c>
      <c r="I1123" s="6" t="inlineStr">
        <is>
          <t>2023-1</t>
        </is>
      </c>
      <c r="J1123" s="5" t="n">
        <v>95</v>
      </c>
      <c r="K1123" s="10" t="n">
        <v>149.7223763395</v>
      </c>
      <c r="L1123" s="14">
        <f>IFERROR(IF(OR(J1123=0,K1123=""),"",IF(E1123="Positivo",MIN(MAX(K1123/J1123,0),1.3),MIN(MAX(J1123/K1123,0),1.3))),"") </f>
        <v/>
      </c>
      <c r="M1123" s="14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376-2023-06-30</t>
        </is>
      </c>
    </row>
    <row r="1124" hidden="1">
      <c r="A1124" s="26" t="n">
        <v>376</v>
      </c>
      <c r="B1124" s="5" t="inlineStr">
        <is>
          <t>Cumplimiento EBIDTA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Positivo</t>
        </is>
      </c>
      <c r="F1124" s="100" t="n">
        <v>45291</v>
      </c>
      <c r="G1124" s="15" t="n">
        <v>2023</v>
      </c>
      <c r="H1124" s="6" t="inlineStr">
        <is>
          <t>Diciembre</t>
        </is>
      </c>
      <c r="I1124" s="6" t="inlineStr">
        <is>
          <t>2023-2</t>
        </is>
      </c>
      <c r="J1124" s="5" t="n">
        <v>95</v>
      </c>
      <c r="K1124" s="5" t="n">
        <v>101.26</v>
      </c>
      <c r="L1124" s="14">
        <f>IFERROR(IF(OR(J1124=0,K1124=""),"",IF(E1124="Positivo",MIN(MAX(K1124/J1124,0),1.3),MIN(MAX(J1124/K1124,0),1.3))),"") </f>
        <v/>
      </c>
      <c r="M1124" s="14">
        <f>IFERROR(IF(OR(J1124=0,K1124=""),"",IF(E1124="Positivo",MAX(K1124/J1124,0),MAX(J1124/K1124,0))),"") </f>
        <v/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376-2023-12-31</t>
        </is>
      </c>
    </row>
    <row r="1125" hidden="1">
      <c r="A1125" s="5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101" t="n">
        <v>45473</v>
      </c>
      <c r="G1125" s="15" t="n">
        <v>2024</v>
      </c>
      <c r="H1125" s="6" t="inlineStr">
        <is>
          <t>Junio</t>
        </is>
      </c>
      <c r="I1125" s="6" t="inlineStr">
        <is>
          <t>2024-1</t>
        </is>
      </c>
      <c r="J1125" s="5" t="n">
        <v>95</v>
      </c>
      <c r="K1125" s="5" t="n">
        <v>104</v>
      </c>
      <c r="L1125" s="14">
        <f>IFERROR(IF(OR(J1125=0,K1125=""),"",IF(E1125="Positivo",MIN(MAX(K1125/J1125,0),1.3),MIN(MAX(J1125/K1125,0),1.3))),"") </f>
        <v/>
      </c>
      <c r="M1125" s="14">
        <f>IFERROR(IF(OR(J1125=0,K1125=""),"",IF(E1125="Positivo",MAX(K1125/J1125,0),MAX(J1125/K1125,0))),"") </f>
        <v/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376-2024-06-30</t>
        </is>
      </c>
    </row>
    <row r="1126" hidden="1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101" t="n">
        <v>45657</v>
      </c>
      <c r="G1126" s="15" t="n">
        <v>2024</v>
      </c>
      <c r="H1126" s="6" t="inlineStr">
        <is>
          <t>Diciembre</t>
        </is>
      </c>
      <c r="I1126" s="6" t="inlineStr">
        <is>
          <t>2024-2</t>
        </is>
      </c>
      <c r="J1126" s="5" t="n">
        <v>95</v>
      </c>
      <c r="K1126" s="10" t="n">
        <v>109.1</v>
      </c>
      <c r="L1126" s="14">
        <f>IFERROR(IF(OR(J1126=0,K1126=""),"",IF(E1126="Positivo",MIN(MAX(K1126/J1126,0),1.3),MIN(MAX(J1126/K1126,0),1.3))),"") </f>
        <v/>
      </c>
      <c r="M1126" s="14">
        <f>IFERROR(IF(OR(J1126=0,K1126=""),"",IF(E1126="Positivo",MAX(K1126/J1126,0),MAX(J1126/K1126,0))),"") </f>
        <v/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376-2024-12-31</t>
        </is>
      </c>
    </row>
    <row r="1127" hidden="1">
      <c r="A1127" s="5" t="n">
        <v>376</v>
      </c>
      <c r="B1127" s="5" t="inlineStr">
        <is>
          <t>Cumplimiento EBIDTA</t>
        </is>
      </c>
      <c r="C1127" s="5" t="inlineStr">
        <is>
          <t>Planeación Financiera</t>
        </is>
      </c>
      <c r="D1127" s="5" t="inlineStr">
        <is>
          <t>Semestral</t>
        </is>
      </c>
      <c r="E1127" s="5" t="inlineStr">
        <is>
          <t>Positivo</t>
        </is>
      </c>
      <c r="F1127" s="101" t="n">
        <v>45838</v>
      </c>
      <c r="G1127" s="15" t="n">
        <v>2025</v>
      </c>
      <c r="H1127" s="6" t="inlineStr">
        <is>
          <t>Junio</t>
        </is>
      </c>
      <c r="I1127" s="6" t="inlineStr">
        <is>
          <t>2025-1</t>
        </is>
      </c>
      <c r="J1127" s="5" t="n">
        <v>95</v>
      </c>
      <c r="K1127" s="15" t="n">
        <v>117.87</v>
      </c>
      <c r="L1127" s="14">
        <f>IFERROR(IF(OR(J1127=0,K1127=""),"",IF(E1127="Positivo",MIN(MAX(K1127/J1127,0),1.3),MIN(MAX(J1127/K1127,0),1.3))),"") </f>
        <v/>
      </c>
      <c r="M1127" s="14">
        <f>IFERROR(IF(OR(J1127=0,K1127=""),"",IF(E1127="Positivo",MAX(K1127/J1127,0),MAX(J1127/K1127,0))),"") </f>
        <v/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376-2025-06-30</t>
        </is>
      </c>
    </row>
    <row r="1128" hidden="1">
      <c r="A1128" s="5" t="n">
        <v>376</v>
      </c>
      <c r="B1128" s="5" t="inlineStr">
        <is>
          <t>Cumplimiento EBITDA</t>
        </is>
      </c>
      <c r="C1128" s="5" t="inlineStr">
        <is>
          <t>Planeación Financiera</t>
        </is>
      </c>
      <c r="D1128" s="5" t="inlineStr">
        <is>
          <t>Trimestral</t>
        </is>
      </c>
      <c r="E1128" s="5" t="inlineStr">
        <is>
          <t>Positivo</t>
        </is>
      </c>
      <c r="F1128" s="101" t="n">
        <v>46022</v>
      </c>
      <c r="G1128" s="15" t="n">
        <v>2025</v>
      </c>
      <c r="H1128" s="6" t="inlineStr">
        <is>
          <t>Diciembre</t>
        </is>
      </c>
      <c r="I1128" s="6" t="inlineStr">
        <is>
          <t>2025-2</t>
        </is>
      </c>
      <c r="J1128" s="5" t="n">
        <v>95</v>
      </c>
      <c r="K1128" s="5" t="n">
        <v>117.51</v>
      </c>
      <c r="L1128" s="14">
        <f>IFERROR(IF(OR(J1128=0,K1128=""),"",IF(E1128="Positivo",MIN(MAX(K1128/J1128,0),1.3),MIN(MAX(J1128/K1128,0),1.3))),"") </f>
        <v/>
      </c>
      <c r="M1128" s="14">
        <f>IFERROR(IF(OR(J1128=0,K1128=""),"",IF(E1128="Positivo",MAX(K1128/J1128,0),MAX(J1128/K1128,0))),"") </f>
        <v/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376-2025-12-31</t>
        </is>
      </c>
    </row>
    <row r="1129" hidden="1">
      <c r="A1129" s="5" t="n">
        <v>377</v>
      </c>
      <c r="B1129" s="5" t="inlineStr">
        <is>
          <t>CAPEX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Negativo</t>
        </is>
      </c>
      <c r="F1129" s="101" t="n">
        <v>45107</v>
      </c>
      <c r="G1129" s="15" t="n">
        <v>2023</v>
      </c>
      <c r="H1129" s="6" t="inlineStr">
        <is>
          <t>Junio</t>
        </is>
      </c>
      <c r="I1129" s="6" t="inlineStr">
        <is>
          <t>2023-1</t>
        </is>
      </c>
      <c r="J1129" s="5" t="n">
        <v>100</v>
      </c>
      <c r="K1129" s="5" t="n">
        <v>22.314798348502</v>
      </c>
      <c r="L1129" s="14">
        <f>IFERROR(IF(OR(J1129=0,K1129=""),"",IF(E1129="Positivo",MIN(MAX(K1129/J1129,0),1.3),MIN(MAX(J1129/K1129,0),1.3))),"") </f>
        <v/>
      </c>
      <c r="M1129" s="14">
        <f>IFERROR(IF(OR(J1129=0,K1129=""),"",IF(E1129="Positivo",MAX(K1129/J1129,0),MAX(J1129/K1129,0))),"") </f>
        <v/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377-2023-06-30</t>
        </is>
      </c>
    </row>
    <row r="1130" hidden="1">
      <c r="A1130" s="5" t="n">
        <v>377</v>
      </c>
      <c r="B1130" s="5" t="inlineStr">
        <is>
          <t>CAPEX</t>
        </is>
      </c>
      <c r="C1130" s="5" t="inlineStr">
        <is>
          <t>Planeación Financiera</t>
        </is>
      </c>
      <c r="D1130" s="5" t="inlineStr">
        <is>
          <t>Semestral</t>
        </is>
      </c>
      <c r="E1130" s="5" t="inlineStr">
        <is>
          <t>Negativo</t>
        </is>
      </c>
      <c r="F1130" s="101" t="n">
        <v>45291</v>
      </c>
      <c r="G1130" s="15" t="n">
        <v>2023</v>
      </c>
      <c r="H1130" s="6" t="inlineStr">
        <is>
          <t>Diciembre</t>
        </is>
      </c>
      <c r="I1130" s="6" t="inlineStr">
        <is>
          <t>2023-2</t>
        </is>
      </c>
      <c r="J1130" s="5" t="n">
        <v>100</v>
      </c>
      <c r="K1130" s="5" t="n">
        <v>60.77</v>
      </c>
      <c r="L1130" s="14">
        <f>IFERROR(IF(OR(J1130=0,K1130=""),"",IF(E1130="Positivo",MIN(MAX(K1130/J1130,0),1.3),MIN(MAX(J1130/K1130,0),1.3))),"") </f>
        <v/>
      </c>
      <c r="M1130" s="14">
        <f>IFERROR(IF(OR(J1130=0,K1130=""),"",IF(E1130="Positivo",MAX(K1130/J1130,0),MAX(J1130/K1130,0))),"") </f>
        <v/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377-2023-12-31</t>
        </is>
      </c>
    </row>
    <row r="1131" hidden="1">
      <c r="A1131" s="5" t="n">
        <v>377</v>
      </c>
      <c r="B1131" s="5" t="inlineStr">
        <is>
          <t>CAPEX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Negativo</t>
        </is>
      </c>
      <c r="F1131" s="101" t="n">
        <v>45473</v>
      </c>
      <c r="G1131" s="15" t="n">
        <v>2024</v>
      </c>
      <c r="H1131" s="6" t="inlineStr">
        <is>
          <t>Junio</t>
        </is>
      </c>
      <c r="I1131" s="6" t="inlineStr">
        <is>
          <t>2024-1</t>
        </is>
      </c>
      <c r="J1131" s="5" t="n">
        <v>100</v>
      </c>
      <c r="K1131" s="5" t="n">
        <v>48.24</v>
      </c>
      <c r="L1131" s="14">
        <f>IFERROR(IF(OR(J1131=0,K1131=""),"",IF(E1131="Positivo",MIN(MAX(K1131/J1131,0),1.3),MIN(MAX(J1131/K1131,0),1.3))),"") </f>
        <v/>
      </c>
      <c r="M1131" s="14">
        <f>IFERROR(IF(OR(J1131=0,K1131=""),"",IF(E1131="Positivo",MAX(K1131/J1131,0),MAX(J1131/K1131,0))),"") </f>
        <v/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377-2024-06-30</t>
        </is>
      </c>
    </row>
    <row r="1132" hidden="1">
      <c r="A1132" s="5" t="n">
        <v>377</v>
      </c>
      <c r="B1132" s="5" t="inlineStr">
        <is>
          <t>CAPEX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Negativo</t>
        </is>
      </c>
      <c r="F1132" s="101" t="n">
        <v>45657</v>
      </c>
      <c r="G1132" s="15" t="n">
        <v>2024</v>
      </c>
      <c r="H1132" s="6" t="inlineStr">
        <is>
          <t>Diciembre</t>
        </is>
      </c>
      <c r="I1132" s="6" t="inlineStr">
        <is>
          <t>2024-2</t>
        </is>
      </c>
      <c r="J1132" s="5" t="n">
        <v>100</v>
      </c>
      <c r="K1132" s="5" t="n">
        <v>125.01</v>
      </c>
      <c r="L1132" s="14">
        <f>IFERROR(IF(OR(J1132=0,K1132=""),"",IF(E1132="Positivo",MIN(MAX(K1132/J1132,0),1.3),MIN(MAX(J1132/K1132,0),1.3))),"") </f>
        <v/>
      </c>
      <c r="M1132" s="14">
        <f>IFERROR(IF(OR(J1132=0,K1132=""),"",IF(E1132="Positivo",MAX(K1132/J1132,0),MAX(J1132/K1132,0))),"") </f>
        <v/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377-2024-12-31</t>
        </is>
      </c>
    </row>
    <row r="1133" hidden="1">
      <c r="A1133" s="5" t="n">
        <v>377</v>
      </c>
      <c r="B1133" s="5" t="inlineStr">
        <is>
          <t>CAPEX</t>
        </is>
      </c>
      <c r="C1133" s="5" t="inlineStr">
        <is>
          <t>Planeación Financiera</t>
        </is>
      </c>
      <c r="D1133" s="5" t="inlineStr">
        <is>
          <t>Anual</t>
        </is>
      </c>
      <c r="E1133" s="5" t="inlineStr">
        <is>
          <t>Positivo</t>
        </is>
      </c>
      <c r="F1133" s="101" t="n">
        <v>46022</v>
      </c>
      <c r="G1133" s="15" t="n">
        <v>2025</v>
      </c>
      <c r="H1133" s="6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107.11</v>
      </c>
      <c r="L1133" s="14">
        <f>IFERROR(IF(OR(J1133=0,K1133=""),"",IF(E1133="Positivo",MIN(MAX(K1133/J1133,0),1.3),MIN(MAX(J1133/K1133,0),1.3))),"") </f>
        <v/>
      </c>
      <c r="M1133" s="14">
        <f>IFERROR(IF(OR(J1133=0,K1133=""),"",IF(E1133="Positivo",MAX(K1133/J1133,0),MAX(J1133/K1133,0))),"") </f>
        <v/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377-2025-12-31</t>
        </is>
      </c>
    </row>
    <row r="1134" hidden="1">
      <c r="A1134" s="5" t="n">
        <v>378</v>
      </c>
      <c r="B1134" s="5" t="inlineStr">
        <is>
          <t>Proyectos tecnológicos</t>
        </is>
      </c>
      <c r="C1134" s="5" t="inlineStr">
        <is>
          <t>GESTIÓN DE LA TECNOLOGÍA E INNOVACIÓN DIGITAL</t>
        </is>
      </c>
      <c r="D1134" s="5" t="inlineStr">
        <is>
          <t>Mensual</t>
        </is>
      </c>
      <c r="E1134" s="5" t="inlineStr">
        <is>
          <t>Positivo</t>
        </is>
      </c>
      <c r="F1134" s="101" t="n">
        <v>45107</v>
      </c>
      <c r="G1134" s="15" t="n">
        <v>2023</v>
      </c>
      <c r="H1134" s="6" t="inlineStr">
        <is>
          <t>Junio</t>
        </is>
      </c>
      <c r="I1134" s="6" t="inlineStr">
        <is>
          <t>2023-1</t>
        </is>
      </c>
      <c r="J1134" s="5" t="n">
        <v>92</v>
      </c>
      <c r="K1134" s="5" t="n">
        <v>93.83</v>
      </c>
      <c r="L1134" s="14">
        <f>IFERROR(IF(OR(J1134=0,K1134=""),"",IF(E1134="Positivo",MIN(MAX(K1134/J1134,0),1.3),MIN(MAX(J1134/K1134,0),1.3))),"") </f>
        <v/>
      </c>
      <c r="M1134" s="14">
        <f>IFERROR(IF(OR(J1134=0,K1134=""),"",IF(E1134="Positivo",MAX(K1134/J1134,0),MAX(J1134/K1134,0))),"") </f>
        <v/>
      </c>
      <c r="N1134" s="5" t="inlineStr">
        <is>
          <t>%</t>
        </is>
      </c>
      <c r="O1134" s="5" t="inlineStr">
        <is>
          <t>%</t>
        </is>
      </c>
      <c r="P1134" s="5" t="n">
        <v>0</v>
      </c>
      <c r="Q1134" s="5" t="n">
        <v>0</v>
      </c>
      <c r="R1134" s="5" t="inlineStr">
        <is>
          <t>378-2023-06-30</t>
        </is>
      </c>
    </row>
    <row r="1135" hidden="1">
      <c r="A1135" s="5" t="n">
        <v>378</v>
      </c>
      <c r="B1135" s="5" t="inlineStr">
        <is>
          <t>Proyectos tecnológicos</t>
        </is>
      </c>
      <c r="C1135" s="5" t="inlineStr">
        <is>
          <t>GESTIÓN DE LA TECNOLOGÍA E INNOVACIÓN DIGITAL</t>
        </is>
      </c>
      <c r="D1135" s="5" t="inlineStr">
        <is>
          <t>Mensual</t>
        </is>
      </c>
      <c r="E1135" s="5" t="inlineStr">
        <is>
          <t>Positivo</t>
        </is>
      </c>
      <c r="F1135" s="101" t="n">
        <v>45291</v>
      </c>
      <c r="G1135" s="15" t="n">
        <v>2023</v>
      </c>
      <c r="H1135" s="6" t="inlineStr">
        <is>
          <t>Diciembre</t>
        </is>
      </c>
      <c r="I1135" s="6" t="inlineStr">
        <is>
          <t>2023-2</t>
        </is>
      </c>
      <c r="J1135" s="5" t="n">
        <v>92</v>
      </c>
      <c r="K1135" s="5" t="n">
        <v>97.3</v>
      </c>
      <c r="L1135" s="14">
        <f>IFERROR(IF(OR(J1135=0,K1135=""),"",IF(E1135="Positivo",MIN(MAX(K1135/J1135,0),1.3),MIN(MAX(J1135/K1135,0),1.3))),"") </f>
        <v/>
      </c>
      <c r="M1135" s="14">
        <f>IFERROR(IF(OR(J1135=0,K1135=""),"",IF(E1135="Positivo",MAX(K1135/J1135,0),MAX(J1135/K1135,0))),"") </f>
        <v/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378-2023-12-31</t>
        </is>
      </c>
    </row>
    <row r="1136" hidden="1">
      <c r="A1136" s="5" t="n">
        <v>378</v>
      </c>
      <c r="B1136" s="5" t="inlineStr">
        <is>
          <t>Proyectos tecnológicos</t>
        </is>
      </c>
      <c r="C1136" s="5" t="inlineStr">
        <is>
          <t>GESTIÓN DE LA TECNOLOGÍA E INNOVACIÓN DIGITAL</t>
        </is>
      </c>
      <c r="D1136" s="5" t="inlineStr">
        <is>
          <t>Mensual</t>
        </is>
      </c>
      <c r="E1136" s="5" t="inlineStr">
        <is>
          <t>Positivo</t>
        </is>
      </c>
      <c r="F1136" s="101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92</v>
      </c>
      <c r="K1136" s="10" t="n">
        <v>98.5</v>
      </c>
      <c r="L1136" s="14">
        <f>IFERROR(IF(OR(J1136=0,K1136=""),"",IF(E1136="Positivo",MIN(MAX(K1136/J1136,0),1.3),MIN(MAX(J1136/K1136,0),1.3))),"") </f>
        <v/>
      </c>
      <c r="M1136" s="14">
        <f>IFERROR(IF(OR(J1136=0,K1136=""),"",IF(E1136="Positivo",MAX(K1136/J1136,0),MAX(J1136/K1136,0))),"") </f>
        <v/>
      </c>
      <c r="N1136" s="5" t="n"/>
      <c r="O1136" s="5" t="n"/>
      <c r="P1136" s="5" t="n">
        <v>0</v>
      </c>
      <c r="Q1136" s="5" t="n">
        <v>0</v>
      </c>
      <c r="R1136" s="5" t="inlineStr">
        <is>
          <t>378-2024-06-30</t>
        </is>
      </c>
    </row>
    <row r="1137" hidden="1">
      <c r="A1137" s="5" t="n">
        <v>378</v>
      </c>
      <c r="B1137" s="5" t="inlineStr">
        <is>
          <t>Proyectos tecnológicos</t>
        </is>
      </c>
      <c r="C1137" s="5" t="inlineStr">
        <is>
          <t>GESTIÓN DE LA TECNOLOGÍA E INNOVACIÓN DIGITAL</t>
        </is>
      </c>
      <c r="D1137" s="5" t="inlineStr">
        <is>
          <t>Mensual</t>
        </is>
      </c>
      <c r="E1137" s="5" t="inlineStr">
        <is>
          <t>Positivo</t>
        </is>
      </c>
      <c r="F1137" s="101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0</v>
      </c>
      <c r="K1137" s="5" t="n">
        <v>0</v>
      </c>
      <c r="L1137" s="14">
        <f>IFERROR(IF(OR(J1137=0,K1137=""),"",IF(E1137="Positivo",MIN(MAX(K1137/J1137,0),1.3),MIN(MAX(J1137/K1137,0),1.3))),"") </f>
        <v/>
      </c>
      <c r="M1137" s="14">
        <f>IFERROR(IF(OR(J1137=0,K1137=""),"",IF(E1137="Positivo",MAX(K1137/J1137,0),MAX(J1137/K1137,0))),"") </f>
        <v/>
      </c>
      <c r="N1137" s="5" t="n"/>
      <c r="O1137" s="5" t="n"/>
      <c r="P1137" s="5" t="n">
        <v>0</v>
      </c>
      <c r="Q1137" s="5" t="n">
        <v>0</v>
      </c>
      <c r="R1137" s="5" t="inlineStr">
        <is>
          <t>378-2024-12-31</t>
        </is>
      </c>
    </row>
    <row r="1138" hidden="1">
      <c r="A1138" s="5" t="n">
        <v>379</v>
      </c>
      <c r="B1138" s="5" t="inlineStr">
        <is>
          <t>Total estudiantes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01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102.72877164056</v>
      </c>
      <c r="L1138" s="74">
        <f>IFERROR(IF(OR(J1138=0,K1138=""),"",IF(E1138="Positivo",MIN(MAX(K1138/J1138,0),1.3),MIN(MAX(J1138/K1138,0),1.3))),"") </f>
        <v/>
      </c>
      <c r="M1138" s="14">
        <f>IFERROR(IF(OR(J1138=0,K1138=""),"",IF(E1138="Positivo",MAX(K1138/J1138,0),MAX(J1138/K1138,0))),"") </f>
        <v/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379-2023-06-30</t>
        </is>
      </c>
    </row>
    <row r="1139" hidden="1">
      <c r="A1139" s="5" t="n">
        <v>379</v>
      </c>
      <c r="B1139" s="5" t="inlineStr">
        <is>
          <t>Total estudiantes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01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10" t="n">
        <v>108.65</v>
      </c>
      <c r="L1139" s="14">
        <f>IFERROR(IF(OR(J1139=0,K1139=""),"",IF(E1139="Positivo",MIN(MAX(K1139/J1139,0),1.3),MIN(MAX(J1139/K1139,0),1.3))),"") </f>
        <v/>
      </c>
      <c r="M1139" s="14">
        <f>IFERROR(IF(OR(J1139=0,K1139=""),"",IF(E1139="Positivo",MAX(K1139/J1139,0),MAX(J1139/K1139,0))),"") </f>
        <v/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379-2023-12-31</t>
        </is>
      </c>
    </row>
    <row r="1140" hidden="1">
      <c r="A1140" s="5" t="n">
        <v>379</v>
      </c>
      <c r="B1140" s="5" t="inlineStr">
        <is>
          <t>Total estudiantes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01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73" t="n">
        <v>100</v>
      </c>
      <c r="K1140" s="9" t="n">
        <v>95.92</v>
      </c>
      <c r="L1140" s="14">
        <f>IFERROR(IF(OR(J1140=0,K1140=""),"",IF(E1140="Positivo",MIN(MAX(K1140/J1140,0),1.3),MIN(MAX(J1140/K1140,0),1.3))),"") </f>
        <v/>
      </c>
      <c r="M1140" s="14">
        <f>IFERROR(IF(OR(J1140=0,K1140=""),"",IF(E1140="Positivo",MAX(K1140/J1140,0),MAX(J1140/K1140,0))),"") </f>
        <v/>
      </c>
      <c r="N1140" s="9" t="inlineStr">
        <is>
          <t>ENT</t>
        </is>
      </c>
      <c r="O1140" s="9" t="inlineStr">
        <is>
          <t>ENT</t>
        </is>
      </c>
      <c r="P1140" s="5" t="n">
        <v>0</v>
      </c>
      <c r="Q1140" s="5" t="n">
        <v>0</v>
      </c>
      <c r="R1140" s="5" t="inlineStr">
        <is>
          <t>379-2024-06-30</t>
        </is>
      </c>
    </row>
    <row r="1141" hidden="1">
      <c r="A1141" s="5" t="n">
        <v>379</v>
      </c>
      <c r="B1141" s="5" t="inlineStr">
        <is>
          <t>Total estudiantes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01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5" t="n">
        <v>100</v>
      </c>
      <c r="K1141" s="5" t="n">
        <v>99.31</v>
      </c>
      <c r="L1141" s="14">
        <f>IFERROR(IF(OR(J1141=0,K1141=""),"",IF(E1141="Positivo",MIN(MAX(K1141/J1141,0),1.3),MIN(MAX(J1141/K1141,0),1.3))),"") </f>
        <v/>
      </c>
      <c r="M1141" s="14">
        <f>IFERROR(IF(OR(J1141=0,K1141=""),"",IF(E1141="Positivo",MAX(K1141/J1141,0),MAX(J1141/K1141,0))),"") </f>
        <v/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379-2024-12-31</t>
        </is>
      </c>
    </row>
    <row r="1142" hidden="1">
      <c r="A1142" s="5" t="n">
        <v>379</v>
      </c>
      <c r="B1142" s="5" t="inlineStr">
        <is>
          <t>Total estudiantes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01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5" t="n">
        <v>104.11</v>
      </c>
      <c r="L1142" s="1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379-2025-06-30</t>
        </is>
      </c>
    </row>
    <row r="1143" hidden="1">
      <c r="A1143" s="5" t="n">
        <v>379</v>
      </c>
      <c r="B1143" s="5" t="inlineStr">
        <is>
          <t>Total estudiantes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01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5" t="n">
        <v>102.41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379-2025-12-31</t>
        </is>
      </c>
    </row>
    <row r="1144" hidden="1">
      <c r="A1144" s="5" t="n">
        <v>380</v>
      </c>
      <c r="B1144" s="5" t="inlineStr">
        <is>
          <t>Ingresos de matriculas de estudiantes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01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24659.314309</v>
      </c>
      <c r="K1144" s="5" t="n">
        <v>25754.085546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$</t>
        </is>
      </c>
      <c r="O1144" s="5" t="inlineStr">
        <is>
          <t>$</t>
        </is>
      </c>
      <c r="P1144" s="5" t="n">
        <v>0</v>
      </c>
      <c r="Q1144" s="5" t="n">
        <v>0</v>
      </c>
      <c r="R1144" s="5" t="inlineStr">
        <is>
          <t>380-2023-06-30</t>
        </is>
      </c>
    </row>
    <row r="1145" hidden="1">
      <c r="A1145" s="5" t="n">
        <v>380</v>
      </c>
      <c r="B1145" s="5" t="inlineStr">
        <is>
          <t>Ingresos de matriculas de estudiantes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01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24724.802794</v>
      </c>
      <c r="K1145" s="5" t="n">
        <v>25340.546506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380-2023-12-31</t>
        </is>
      </c>
    </row>
    <row r="1146" hidden="1">
      <c r="A1146" s="5" t="n">
        <v>380</v>
      </c>
      <c r="B1146" s="5" t="inlineStr">
        <is>
          <t>Ingresos de matriculas de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01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29596.26987</v>
      </c>
      <c r="K1146" s="5" t="n">
        <v>28449.632913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380-2024-06-30</t>
        </is>
      </c>
    </row>
    <row r="1147" hidden="1">
      <c r="A1147" s="5" t="n">
        <v>380</v>
      </c>
      <c r="B1147" s="5" t="inlineStr">
        <is>
          <t>Ingresos de matriculas de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01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78.92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n"/>
      <c r="O1147" s="5" t="n"/>
      <c r="P1147" s="5" t="n">
        <v>0</v>
      </c>
      <c r="Q1147" s="5" t="n">
        <v>0</v>
      </c>
      <c r="R1147" s="5" t="inlineStr">
        <is>
          <t>380-2024-12-31</t>
        </is>
      </c>
    </row>
    <row r="1148" hidden="1">
      <c r="A1148" s="5" t="n">
        <v>381</v>
      </c>
      <c r="B1148" s="5" t="inlineStr">
        <is>
          <t>Cumplimiento de matrículas pregrado presencial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01" t="n">
        <v>45107</v>
      </c>
      <c r="G1148" s="5" t="n">
        <v>2023</v>
      </c>
      <c r="H1148" s="5" t="inlineStr">
        <is>
          <t>Junio</t>
        </is>
      </c>
      <c r="I1148" s="6" t="inlineStr">
        <is>
          <t>2023-1</t>
        </is>
      </c>
      <c r="J1148" s="5" t="n">
        <v>100</v>
      </c>
      <c r="K1148" s="5" t="n">
        <v>104.27170868347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381-2023-06-30</t>
        </is>
      </c>
    </row>
    <row r="1149" hidden="1">
      <c r="A1149" s="5" t="n">
        <v>381</v>
      </c>
      <c r="B1149" s="5" t="inlineStr">
        <is>
          <t>Cumplimiento de matrículas pregrado presencial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01" t="n">
        <v>45291</v>
      </c>
      <c r="G1149" s="5" t="n">
        <v>2023</v>
      </c>
      <c r="H1149" s="5" t="inlineStr">
        <is>
          <t>Diciembre</t>
        </is>
      </c>
      <c r="I1149" s="6" t="inlineStr">
        <is>
          <t>2023-2</t>
        </is>
      </c>
      <c r="J1149" s="5" t="n">
        <v>100</v>
      </c>
      <c r="K1149" s="10" t="n">
        <v>113.7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381-2023-12-31</t>
        </is>
      </c>
    </row>
    <row r="1150" hidden="1">
      <c r="A1150" s="5" t="n">
        <v>381</v>
      </c>
      <c r="B1150" s="5" t="inlineStr">
        <is>
          <t>Cumplimiento de matrículas pregrado presencial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01" t="n">
        <v>45473</v>
      </c>
      <c r="G1150" s="5" t="n">
        <v>2024</v>
      </c>
      <c r="H1150" s="5" t="inlineStr">
        <is>
          <t>Junio</t>
        </is>
      </c>
      <c r="I1150" s="6" t="inlineStr">
        <is>
          <t>2024-1</t>
        </is>
      </c>
      <c r="J1150" s="5" t="n">
        <v>100</v>
      </c>
      <c r="K1150" s="5" t="n">
        <v>105.26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381-2024-06-30</t>
        </is>
      </c>
    </row>
    <row r="1151" hidden="1">
      <c r="A1151" s="5" t="n">
        <v>381</v>
      </c>
      <c r="B1151" s="5" t="inlineStr">
        <is>
          <t>Cumplimiento de matrículas pregrado presencial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01" t="n">
        <v>45657</v>
      </c>
      <c r="G1151" s="5" t="n">
        <v>2024</v>
      </c>
      <c r="H1151" s="5" t="inlineStr">
        <is>
          <t>Diciembre</t>
        </is>
      </c>
      <c r="I1151" s="6" t="inlineStr">
        <is>
          <t>2024-2</t>
        </is>
      </c>
      <c r="J1151" s="76" t="n">
        <v>100</v>
      </c>
      <c r="K1151" s="10" t="n">
        <v>89.19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381-2024-12-31</t>
        </is>
      </c>
    </row>
    <row r="1152" hidden="1">
      <c r="A1152" s="5" t="n">
        <v>381</v>
      </c>
      <c r="B1152" s="5" t="inlineStr">
        <is>
          <t>Cumplimiento de matrículas pregrado presencial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1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9" t="n">
        <v>98.22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381-2025-06-30</t>
        </is>
      </c>
    </row>
    <row r="1153" hidden="1">
      <c r="A1153" s="5" t="n">
        <v>381</v>
      </c>
      <c r="B1153" s="5" t="inlineStr">
        <is>
          <t>Cumplimiento de matrículas pregrado presencial nuevos</t>
        </is>
      </c>
      <c r="C1153" s="5" t="inlineStr">
        <is>
          <t>Inscripción, admisión y matrícula de estudiantes nuevos</t>
        </is>
      </c>
      <c r="D1153" s="5" t="inlineStr">
        <is>
          <t>Trimestral</t>
        </is>
      </c>
      <c r="E1153" s="5" t="inlineStr">
        <is>
          <t>Positivo</t>
        </is>
      </c>
      <c r="F1153" s="101" t="n">
        <v>46022</v>
      </c>
      <c r="G1153" s="5" t="n">
        <v>2025</v>
      </c>
      <c r="H1153" s="5" t="inlineStr">
        <is>
          <t>Diciembre</t>
        </is>
      </c>
      <c r="I1153" s="6" t="inlineStr">
        <is>
          <t>2025-2</t>
        </is>
      </c>
      <c r="J1153" s="5" t="n">
        <v>100</v>
      </c>
      <c r="K1153" s="10" t="n">
        <v>113.66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381-2025-12-31</t>
        </is>
      </c>
    </row>
    <row r="1154" hidden="1">
      <c r="A1154" s="5" t="n">
        <v>382</v>
      </c>
      <c r="B1154" s="5" t="inlineStr">
        <is>
          <t>Cumplimiento de matrículas pregrado virtual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01" t="n">
        <v>45107</v>
      </c>
      <c r="G1154" s="5" t="n">
        <v>2023</v>
      </c>
      <c r="H1154" s="5" t="inlineStr">
        <is>
          <t>Junio</t>
        </is>
      </c>
      <c r="I1154" s="6" t="inlineStr">
        <is>
          <t>2023-1</t>
        </is>
      </c>
      <c r="J1154" s="5" t="n">
        <v>100</v>
      </c>
      <c r="K1154" s="11" t="n">
        <v>101.25041131951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382-2023-06-30</t>
        </is>
      </c>
    </row>
    <row r="1155" hidden="1">
      <c r="A1155" s="5" t="n">
        <v>382</v>
      </c>
      <c r="B1155" s="5" t="inlineStr">
        <is>
          <t>Cumplimiento de matrículas pregrado virtual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01" t="n">
        <v>45291</v>
      </c>
      <c r="G1155" s="5" t="n">
        <v>2023</v>
      </c>
      <c r="H1155" s="5" t="inlineStr">
        <is>
          <t>Diciembre</t>
        </is>
      </c>
      <c r="I1155" s="6" t="inlineStr">
        <is>
          <t>2023-2</t>
        </is>
      </c>
      <c r="J1155" s="5" t="n">
        <v>100</v>
      </c>
      <c r="K1155" s="5" t="n">
        <v>103.01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382-2023-12-31</t>
        </is>
      </c>
    </row>
    <row r="1156" hidden="1">
      <c r="A1156" s="5" t="n">
        <v>382</v>
      </c>
      <c r="B1156" s="5" t="inlineStr">
        <is>
          <t>Cumplimiento de matrículas pregrado virtual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1" t="n">
        <v>45473</v>
      </c>
      <c r="G1156" s="5" t="n">
        <v>2024</v>
      </c>
      <c r="H1156" s="5" t="inlineStr">
        <is>
          <t>Junio</t>
        </is>
      </c>
      <c r="I1156" s="6" t="inlineStr">
        <is>
          <t>2024-1</t>
        </is>
      </c>
      <c r="J1156" s="5" t="n">
        <v>100</v>
      </c>
      <c r="K1156" s="5" t="n">
        <v>93.7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382-2024-06-30</t>
        </is>
      </c>
    </row>
    <row r="1157" hidden="1">
      <c r="A1157" s="5" t="n">
        <v>382</v>
      </c>
      <c r="B1157" s="5" t="inlineStr">
        <is>
          <t>Cumplimiento de matrículas pregrado virtual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1" t="n">
        <v>45657</v>
      </c>
      <c r="G1157" s="5" t="n">
        <v>2024</v>
      </c>
      <c r="H1157" s="5" t="inlineStr">
        <is>
          <t>Diciembre</t>
        </is>
      </c>
      <c r="I1157" s="6" t="inlineStr">
        <is>
          <t>2024-2</t>
        </is>
      </c>
      <c r="J1157" s="5" t="n">
        <v>100</v>
      </c>
      <c r="K1157" s="5" t="n">
        <v>98.13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382-2024-12-31</t>
        </is>
      </c>
    </row>
    <row r="1158" hidden="1">
      <c r="A1158" s="5" t="n">
        <v>382</v>
      </c>
      <c r="B1158" s="5" t="inlineStr">
        <is>
          <t>Cumplimiento de matrículas pregrado virtual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1" t="n">
        <v>45838</v>
      </c>
      <c r="G1158" s="5" t="n">
        <v>2025</v>
      </c>
      <c r="H1158" s="5" t="inlineStr">
        <is>
          <t>Junio</t>
        </is>
      </c>
      <c r="I1158" s="6" t="inlineStr">
        <is>
          <t>2025-1</t>
        </is>
      </c>
      <c r="J1158" s="5" t="n">
        <v>100</v>
      </c>
      <c r="K1158" s="5" t="n">
        <v>99.84999999999999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382-2025-06-30</t>
        </is>
      </c>
    </row>
    <row r="1159" hidden="1">
      <c r="A1159" s="5" t="n">
        <v>382</v>
      </c>
      <c r="B1159" s="5" t="inlineStr">
        <is>
          <t>Cumplimiento de matrículas pregrado virtual nuevos</t>
        </is>
      </c>
      <c r="C1159" s="5" t="inlineStr">
        <is>
          <t>Inscripción, admisión y matrícula de estudiantes nuevos</t>
        </is>
      </c>
      <c r="D1159" s="5" t="inlineStr">
        <is>
          <t>Trimestral</t>
        </is>
      </c>
      <c r="E1159" s="5" t="inlineStr">
        <is>
          <t>Positivo</t>
        </is>
      </c>
      <c r="F1159" s="101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>
        <v>100</v>
      </c>
      <c r="K1159" s="5" t="n">
        <v>97.20999999999999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382-2025-12-31</t>
        </is>
      </c>
    </row>
    <row r="1160" hidden="1">
      <c r="A1160" s="26" t="n">
        <v>383</v>
      </c>
      <c r="B1160" s="5" t="inlineStr">
        <is>
          <t>Cumplimiento de matrículas posgrado virtual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01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100</v>
      </c>
      <c r="K1160" s="5" t="n">
        <v>109.38232994527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383-2023-06-30</t>
        </is>
      </c>
    </row>
    <row r="1161" hidden="1">
      <c r="A1161" s="5" t="n">
        <v>383</v>
      </c>
      <c r="B1161" s="5" t="inlineStr">
        <is>
          <t>Cumplimiento de matrículas posgrado virtual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01" t="n">
        <v>45291</v>
      </c>
      <c r="G1161" s="5" t="n">
        <v>2023</v>
      </c>
      <c r="H1161" s="5" t="inlineStr">
        <is>
          <t>Diciembre</t>
        </is>
      </c>
      <c r="I1161" s="6" t="inlineStr">
        <is>
          <t>2023-2</t>
        </is>
      </c>
      <c r="J1161" s="5" t="n">
        <v>100</v>
      </c>
      <c r="K1161" s="10" t="n">
        <v>148.66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383-2023-12-31</t>
        </is>
      </c>
    </row>
    <row r="1162" hidden="1">
      <c r="A1162" s="5" t="n">
        <v>383</v>
      </c>
      <c r="B1162" s="5" t="inlineStr">
        <is>
          <t>Cumplimiento de matrículas posgrado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01" t="n">
        <v>45473</v>
      </c>
      <c r="G1162" s="5" t="n">
        <v>2024</v>
      </c>
      <c r="H1162" s="5" t="inlineStr">
        <is>
          <t>Junio</t>
        </is>
      </c>
      <c r="I1162" s="6" t="inlineStr">
        <is>
          <t>2024-1</t>
        </is>
      </c>
      <c r="J1162" s="5" t="n">
        <v>100</v>
      </c>
      <c r="K1162" s="5" t="n">
        <v>100.2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383-2024-06-30</t>
        </is>
      </c>
    </row>
    <row r="1163" hidden="1">
      <c r="A1163" s="5" t="n">
        <v>383</v>
      </c>
      <c r="B1163" s="5" t="inlineStr">
        <is>
          <t>Cumplimiento de matrículas posgrado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01" t="n">
        <v>45657</v>
      </c>
      <c r="G1163" s="5" t="n">
        <v>2024</v>
      </c>
      <c r="H1163" s="5" t="inlineStr">
        <is>
          <t>Diciembre</t>
        </is>
      </c>
      <c r="I1163" s="6" t="inlineStr">
        <is>
          <t>2024-2</t>
        </is>
      </c>
      <c r="J1163" s="5" t="n">
        <v>100</v>
      </c>
      <c r="K1163" s="10" t="n">
        <v>120.71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383-2024-12-31</t>
        </is>
      </c>
    </row>
    <row r="1164" hidden="1">
      <c r="A1164" s="5" t="n">
        <v>383</v>
      </c>
      <c r="B1164" s="5" t="inlineStr">
        <is>
          <t>Cumplimiento de matrículas posgrado virtual nuevos</t>
        </is>
      </c>
      <c r="C1164" s="5" t="inlineStr">
        <is>
          <t>Inscripción, admisión y matrícula de estudiantes nuevos</t>
        </is>
      </c>
      <c r="D1164" s="5" t="inlineStr">
        <is>
          <t>Trimestral</t>
        </is>
      </c>
      <c r="E1164" s="5" t="inlineStr">
        <is>
          <t>Positivo</t>
        </is>
      </c>
      <c r="F1164" s="101" t="n">
        <v>45838</v>
      </c>
      <c r="G1164" s="5" t="n">
        <v>2025</v>
      </c>
      <c r="H1164" s="5" t="inlineStr">
        <is>
          <t>Junio</t>
        </is>
      </c>
      <c r="I1164" s="6" t="inlineStr">
        <is>
          <t>2025-1</t>
        </is>
      </c>
      <c r="J1164" s="5" t="n">
        <v>100</v>
      </c>
      <c r="K1164" s="5" t="n">
        <v>136.96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ENT</t>
        </is>
      </c>
      <c r="O1164" s="5" t="inlineStr">
        <is>
          <t>ENT</t>
        </is>
      </c>
      <c r="P1164" s="5" t="n">
        <v>0</v>
      </c>
      <c r="Q1164" s="5" t="n">
        <v>0</v>
      </c>
      <c r="R1164" s="5" t="inlineStr">
        <is>
          <t>383-2025-06-30</t>
        </is>
      </c>
    </row>
    <row r="1165" hidden="1">
      <c r="A1165" s="5" t="n">
        <v>383</v>
      </c>
      <c r="B1165" s="5" t="inlineStr">
        <is>
          <t>Cumplimiento de matrículas posgrado virtual nuevos</t>
        </is>
      </c>
      <c r="C1165" s="5" t="inlineStr">
        <is>
          <t>Inscripción, admisión y matrícula de estudiantes nuevos</t>
        </is>
      </c>
      <c r="D1165" s="5" t="inlineStr">
        <is>
          <t>Trimestral</t>
        </is>
      </c>
      <c r="E1165" s="5" t="inlineStr">
        <is>
          <t>Positivo</t>
        </is>
      </c>
      <c r="F1165" s="101" t="n">
        <v>46022</v>
      </c>
      <c r="G1165" s="5" t="n">
        <v>2025</v>
      </c>
      <c r="H1165" s="5" t="inlineStr">
        <is>
          <t>Diciembre</t>
        </is>
      </c>
      <c r="I1165" s="6" t="inlineStr">
        <is>
          <t>2025-2</t>
        </is>
      </c>
      <c r="J1165" s="5" t="n">
        <v>100</v>
      </c>
      <c r="K1165" s="5" t="n">
        <v>127.87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383-2025-12-31</t>
        </is>
      </c>
    </row>
    <row r="1166" hidden="1">
      <c r="A1166" s="5" t="n">
        <v>384</v>
      </c>
      <c r="B1166" s="5" t="inlineStr">
        <is>
          <t>Cumplimiento de matrículas posgrado presencial nuevos</t>
        </is>
      </c>
      <c r="C1166" s="5" t="inlineStr">
        <is>
          <t>Inscripción, admisión y matrícula de estudiantes nuevos</t>
        </is>
      </c>
      <c r="D1166" s="5" t="inlineStr">
        <is>
          <t>Semestral</t>
        </is>
      </c>
      <c r="E1166" s="5" t="inlineStr">
        <is>
          <t>Positivo</t>
        </is>
      </c>
      <c r="F1166" s="101" t="n">
        <v>45107</v>
      </c>
      <c r="G1166" s="5" t="n">
        <v>2023</v>
      </c>
      <c r="H1166" s="5" t="inlineStr">
        <is>
          <t>Junio</t>
        </is>
      </c>
      <c r="I1166" s="6" t="inlineStr">
        <is>
          <t>2023-1</t>
        </is>
      </c>
      <c r="J1166" s="5" t="n">
        <v>100</v>
      </c>
      <c r="K1166" s="5" t="n">
        <v>111.76470588235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384-2023-06-30</t>
        </is>
      </c>
    </row>
    <row r="1167" hidden="1">
      <c r="A1167" s="5" t="n">
        <v>384</v>
      </c>
      <c r="B1167" s="5" t="inlineStr">
        <is>
          <t>Cumplimiento de matrículas posgrado presencial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01" t="n">
        <v>45291</v>
      </c>
      <c r="G1167" s="5" t="n">
        <v>2023</v>
      </c>
      <c r="H1167" s="5" t="inlineStr">
        <is>
          <t>Diciembre</t>
        </is>
      </c>
      <c r="I1167" s="6" t="inlineStr">
        <is>
          <t>2023-2</t>
        </is>
      </c>
      <c r="J1167" s="5" t="n">
        <v>100</v>
      </c>
      <c r="K1167" s="5" t="n">
        <v>115.38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384-2023-12-31</t>
        </is>
      </c>
    </row>
    <row r="1168" hidden="1">
      <c r="A1168" s="5" t="n">
        <v>384</v>
      </c>
      <c r="B1168" s="5" t="inlineStr">
        <is>
          <t>Cumplimiento de matrículas posgrado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01" t="n">
        <v>45473</v>
      </c>
      <c r="G1168" s="5" t="n">
        <v>2024</v>
      </c>
      <c r="H1168" s="5" t="inlineStr">
        <is>
          <t>Junio</t>
        </is>
      </c>
      <c r="I1168" s="6" t="inlineStr">
        <is>
          <t>2024-1</t>
        </is>
      </c>
      <c r="J1168" s="5" t="n">
        <v>100</v>
      </c>
      <c r="K1168" s="5" t="n">
        <v>102.2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384-2024-06-30</t>
        </is>
      </c>
    </row>
    <row r="1169" hidden="1">
      <c r="A1169" s="5" t="n">
        <v>384</v>
      </c>
      <c r="B1169" s="5" t="inlineStr">
        <is>
          <t>Cumplimiento de matrículas posgrado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01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81" t="n">
        <v>100</v>
      </c>
      <c r="K1169" s="51" t="n">
        <v>87.90000000000001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384-2024-12-31</t>
        </is>
      </c>
    </row>
    <row r="1170" hidden="1">
      <c r="A1170" s="26" t="n">
        <v>384</v>
      </c>
      <c r="B1170" s="5" t="inlineStr">
        <is>
          <t>Cumplimiento de matrículas posgrado presencial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00" t="n">
        <v>45838</v>
      </c>
      <c r="G1170" s="5" t="n">
        <v>2025</v>
      </c>
      <c r="H1170" s="5" t="inlineStr">
        <is>
          <t>Junio</t>
        </is>
      </c>
      <c r="I1170" s="6" t="inlineStr">
        <is>
          <t>2025-1</t>
        </is>
      </c>
      <c r="J1170" s="5" t="n">
        <v>100</v>
      </c>
      <c r="K1170" s="5" t="n">
        <v>103.23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384-2025-06-30</t>
        </is>
      </c>
    </row>
    <row r="1171" hidden="1">
      <c r="A1171" s="5" t="n">
        <v>384</v>
      </c>
      <c r="B1171" s="5" t="inlineStr">
        <is>
          <t>Cumplimiento de matrículas posgrado presencial nuevos</t>
        </is>
      </c>
      <c r="C1171" s="5" t="inlineStr">
        <is>
          <t>Inscripción, admisión y matrícula de estudiantes nuevos</t>
        </is>
      </c>
      <c r="D1171" s="5" t="inlineStr">
        <is>
          <t>Trimestral</t>
        </is>
      </c>
      <c r="E1171" s="5" t="inlineStr">
        <is>
          <t>Positivo</t>
        </is>
      </c>
      <c r="F1171" s="101" t="n">
        <v>46022</v>
      </c>
      <c r="G1171" s="5" t="n">
        <v>2025</v>
      </c>
      <c r="H1171" s="5" t="inlineStr">
        <is>
          <t>Diciembre</t>
        </is>
      </c>
      <c r="I1171" s="6" t="inlineStr">
        <is>
          <t>2025-2</t>
        </is>
      </c>
      <c r="J1171" s="5" t="n">
        <v>100</v>
      </c>
      <c r="K1171" s="5" t="n">
        <v>100.93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11" t="inlineStr">
        <is>
          <t>ENT</t>
        </is>
      </c>
      <c r="O1171" s="11" t="inlineStr">
        <is>
          <t>ENT</t>
        </is>
      </c>
      <c r="P1171" s="5" t="n">
        <v>0</v>
      </c>
      <c r="Q1171" s="5" t="n">
        <v>0</v>
      </c>
      <c r="R1171" s="5" t="inlineStr">
        <is>
          <t>384-2025-12-31</t>
        </is>
      </c>
    </row>
    <row r="1172" hidden="1">
      <c r="A1172" s="5" t="n">
        <v>385</v>
      </c>
      <c r="B1172" s="5" t="inlineStr">
        <is>
          <t>Ingresos totales de educación para la vida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01" t="n">
        <v>45107</v>
      </c>
      <c r="G1172" s="5" t="n">
        <v>2023</v>
      </c>
      <c r="H1172" s="5" t="inlineStr">
        <is>
          <t>Junio</t>
        </is>
      </c>
      <c r="I1172" s="6" t="inlineStr">
        <is>
          <t>2023-1</t>
        </is>
      </c>
      <c r="J1172" s="5" t="n">
        <v>100</v>
      </c>
      <c r="K1172" s="5" t="n">
        <v>102.98486566654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385-2023-06-30</t>
        </is>
      </c>
    </row>
    <row r="1173" hidden="1">
      <c r="A1173" s="5" t="n">
        <v>385</v>
      </c>
      <c r="B1173" s="5" t="inlineStr">
        <is>
          <t>Ingresos totales de educación para la vida</t>
        </is>
      </c>
      <c r="C1173" s="5" t="inlineStr">
        <is>
          <t>Mercadeo y venta de educación para la vida</t>
        </is>
      </c>
      <c r="D1173" s="5" t="inlineStr">
        <is>
          <t>Semestral</t>
        </is>
      </c>
      <c r="E1173" s="5" t="inlineStr">
        <is>
          <t>Positivo</t>
        </is>
      </c>
      <c r="F1173" s="101" t="n">
        <v>45291</v>
      </c>
      <c r="G1173" s="5" t="n">
        <v>2023</v>
      </c>
      <c r="H1173" s="5" t="inlineStr">
        <is>
          <t>Diciembre</t>
        </is>
      </c>
      <c r="I1173" s="6" t="inlineStr">
        <is>
          <t>2023-2</t>
        </is>
      </c>
      <c r="J1173" s="5" t="n">
        <v>100</v>
      </c>
      <c r="K1173" s="5" t="n">
        <v>124.93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$</t>
        </is>
      </c>
      <c r="O1173" s="5" t="inlineStr">
        <is>
          <t>$</t>
        </is>
      </c>
      <c r="P1173" s="5" t="n">
        <v>0</v>
      </c>
      <c r="Q1173" s="5" t="n">
        <v>0</v>
      </c>
      <c r="R1173" s="5" t="inlineStr">
        <is>
          <t>385-2023-12-31</t>
        </is>
      </c>
    </row>
    <row r="1174" hidden="1">
      <c r="A1174" s="5" t="n">
        <v>385</v>
      </c>
      <c r="B1174" s="5" t="inlineStr">
        <is>
          <t>Ingresos totales de educación para la vida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01" t="n">
        <v>45473</v>
      </c>
      <c r="G1174" s="5" t="n">
        <v>2024</v>
      </c>
      <c r="H1174" s="5" t="inlineStr">
        <is>
          <t>Junio</t>
        </is>
      </c>
      <c r="I1174" s="6" t="inlineStr">
        <is>
          <t>2024-1</t>
        </is>
      </c>
      <c r="J1174" s="5" t="n">
        <v>100</v>
      </c>
      <c r="K1174" s="10" t="n">
        <v>113.63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385-2024-06-30</t>
        </is>
      </c>
    </row>
    <row r="1175" hidden="1">
      <c r="A1175" s="5" t="n">
        <v>385</v>
      </c>
      <c r="B1175" s="5" t="inlineStr">
        <is>
          <t>Ingresos totales de educación para la vida</t>
        </is>
      </c>
      <c r="C1175" s="5" t="inlineStr">
        <is>
          <t>Mercadeo y venta de educación para la vida</t>
        </is>
      </c>
      <c r="D1175" s="5" t="inlineStr">
        <is>
          <t>Semestral</t>
        </is>
      </c>
      <c r="E1175" s="5" t="inlineStr">
        <is>
          <t>Positivo</t>
        </is>
      </c>
      <c r="F1175" s="101" t="n">
        <v>45657</v>
      </c>
      <c r="G1175" s="5" t="n">
        <v>2024</v>
      </c>
      <c r="H1175" s="5" t="inlineStr">
        <is>
          <t>Diciembre</t>
        </is>
      </c>
      <c r="I1175" s="6" t="inlineStr">
        <is>
          <t>2024-2</t>
        </is>
      </c>
      <c r="J1175" s="5" t="n">
        <v>100</v>
      </c>
      <c r="K1175" s="5" t="n">
        <v>88.56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$</t>
        </is>
      </c>
      <c r="O1175" s="5" t="inlineStr">
        <is>
          <t>$</t>
        </is>
      </c>
      <c r="P1175" s="5" t="n">
        <v>0</v>
      </c>
      <c r="Q1175" s="5" t="n">
        <v>0</v>
      </c>
      <c r="R1175" s="5" t="inlineStr">
        <is>
          <t>385-2024-12-31</t>
        </is>
      </c>
    </row>
    <row r="1176" hidden="1">
      <c r="A1176" s="5" t="n">
        <v>385</v>
      </c>
      <c r="B1176" s="5" t="inlineStr">
        <is>
          <t>Ingresos totales de educación para la vida</t>
        </is>
      </c>
      <c r="C1176" s="5" t="inlineStr">
        <is>
          <t>Mercadeo y venta de educación para la vida</t>
        </is>
      </c>
      <c r="D1176" s="5" t="inlineStr">
        <is>
          <t>Semestral</t>
        </is>
      </c>
      <c r="E1176" s="5" t="inlineStr">
        <is>
          <t>Positivo</t>
        </is>
      </c>
      <c r="F1176" s="101" t="n">
        <v>45838</v>
      </c>
      <c r="G1176" s="5" t="n">
        <v>2025</v>
      </c>
      <c r="H1176" s="5" t="inlineStr">
        <is>
          <t>Junio</t>
        </is>
      </c>
      <c r="I1176" s="6" t="inlineStr">
        <is>
          <t>2025-1</t>
        </is>
      </c>
      <c r="J1176" s="5" t="n">
        <v>100</v>
      </c>
      <c r="K1176" s="5" t="n">
        <v>118.92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$</t>
        </is>
      </c>
      <c r="O1176" s="5" t="inlineStr">
        <is>
          <t>$</t>
        </is>
      </c>
      <c r="P1176" s="5" t="n">
        <v>0</v>
      </c>
      <c r="Q1176" s="5" t="n">
        <v>0</v>
      </c>
      <c r="R1176" s="5" t="inlineStr">
        <is>
          <t>385-2025-06-30</t>
        </is>
      </c>
    </row>
    <row r="1177" hidden="1">
      <c r="A1177" s="5" t="n">
        <v>385</v>
      </c>
      <c r="B1177" s="5" t="inlineStr">
        <is>
          <t>Ingresos totales de educación para la vida</t>
        </is>
      </c>
      <c r="C1177" s="5" t="inlineStr">
        <is>
          <t>Mercadeo y venta de educación para la vida</t>
        </is>
      </c>
      <c r="D1177" s="5" t="inlineStr">
        <is>
          <t>Trimestral</t>
        </is>
      </c>
      <c r="E1177" s="5" t="inlineStr">
        <is>
          <t>Positivo</t>
        </is>
      </c>
      <c r="F1177" s="101" t="n">
        <v>46022</v>
      </c>
      <c r="G1177" s="5" t="n">
        <v>2025</v>
      </c>
      <c r="H1177" s="5" t="inlineStr">
        <is>
          <t>Diciembre</t>
        </is>
      </c>
      <c r="I1177" s="6" t="inlineStr">
        <is>
          <t>2025-2</t>
        </is>
      </c>
      <c r="J1177" s="5" t="n">
        <v>100</v>
      </c>
      <c r="K1177" s="5" t="n">
        <v>108.89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$</t>
        </is>
      </c>
      <c r="O1177" s="5" t="inlineStr">
        <is>
          <t>$</t>
        </is>
      </c>
      <c r="P1177" s="5" t="n">
        <v>0</v>
      </c>
      <c r="Q1177" s="5" t="n">
        <v>0</v>
      </c>
      <c r="R1177" s="5" t="inlineStr">
        <is>
          <t>385-2025-12-31</t>
        </is>
      </c>
    </row>
    <row r="1178" hidden="1">
      <c r="A1178" s="5" t="n">
        <v>386</v>
      </c>
      <c r="B1178" s="5" t="inlineStr">
        <is>
          <t>Cumplimiento Meta comercial Educación para toda la vida por linea</t>
        </is>
      </c>
      <c r="C1178" s="5" t="inlineStr">
        <is>
          <t>Mercadeo y venta de educación para la vida</t>
        </is>
      </c>
      <c r="D1178" s="5" t="inlineStr">
        <is>
          <t>Semestral</t>
        </is>
      </c>
      <c r="E1178" s="5" t="inlineStr">
        <is>
          <t>Positivo</t>
        </is>
      </c>
      <c r="F1178" s="101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100</v>
      </c>
      <c r="K1178" s="5" t="n">
        <v>102.98486566654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$</t>
        </is>
      </c>
      <c r="O1178" s="5" t="inlineStr">
        <is>
          <t>$</t>
        </is>
      </c>
      <c r="P1178" s="5" t="n">
        <v>0</v>
      </c>
      <c r="Q1178" s="5" t="n">
        <v>0</v>
      </c>
      <c r="R1178" s="5" t="inlineStr">
        <is>
          <t>386-2023-06-30</t>
        </is>
      </c>
    </row>
    <row r="1179" hidden="1">
      <c r="A1179" s="5" t="n">
        <v>386</v>
      </c>
      <c r="B1179" s="5" t="inlineStr">
        <is>
          <t>Cumplimiento Meta comercial Educación para toda la vida por linea</t>
        </is>
      </c>
      <c r="C1179" s="5" t="inlineStr">
        <is>
          <t>Mercadeo y venta de educación para la vida</t>
        </is>
      </c>
      <c r="D1179" s="5" t="inlineStr">
        <is>
          <t>Semestral</t>
        </is>
      </c>
      <c r="E1179" s="5" t="inlineStr">
        <is>
          <t>Positivo</t>
        </is>
      </c>
      <c r="F1179" s="101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100</v>
      </c>
      <c r="K1179" s="10" t="n">
        <v>138.22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386-2023-12-31</t>
        </is>
      </c>
    </row>
    <row r="1180" hidden="1">
      <c r="A1180" s="5" t="n">
        <v>386</v>
      </c>
      <c r="B1180" s="5" t="inlineStr">
        <is>
          <t>Cumplimiento Meta comercial Educación para toda la vida por linea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01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100</v>
      </c>
      <c r="K1180" s="5" t="n">
        <v>113.63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386-2024-06-30</t>
        </is>
      </c>
    </row>
    <row r="1181" hidden="1">
      <c r="A1181" s="28" t="n">
        <v>386</v>
      </c>
      <c r="B1181" s="5" t="inlineStr">
        <is>
          <t>Cumplimiento Meta comercial Educación para toda la vida por linea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01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5" t="n">
        <v>100</v>
      </c>
      <c r="K1181" s="5" t="n">
        <v>75.01000000000001</v>
      </c>
      <c r="L1181" s="7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386-2024-12-31</t>
        </is>
      </c>
    </row>
    <row r="1182" hidden="1">
      <c r="A1182" s="5" t="n">
        <v>386</v>
      </c>
      <c r="B1182" s="5" t="inlineStr">
        <is>
          <t>Cumplimiento Meta comercial Educación para toda la vida por linea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01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73" t="n">
        <v>100</v>
      </c>
      <c r="K1182" s="9" t="n">
        <v>118.92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386-2025-06-30</t>
        </is>
      </c>
    </row>
    <row r="1183" hidden="1">
      <c r="A1183" s="5" t="n">
        <v>386</v>
      </c>
      <c r="B1183" s="5" t="inlineStr">
        <is>
          <t>Cumplimiento Meta comercial Educación para toda la vida por linea</t>
        </is>
      </c>
      <c r="C1183" s="5" t="inlineStr">
        <is>
          <t>Mercadeo y venta de educación para la vida</t>
        </is>
      </c>
      <c r="D1183" s="5" t="inlineStr">
        <is>
          <t>Trimestral</t>
        </is>
      </c>
      <c r="E1183" s="5" t="inlineStr">
        <is>
          <t>Positivo</t>
        </is>
      </c>
      <c r="F1183" s="101" t="n">
        <v>46022</v>
      </c>
      <c r="G1183" s="5" t="n">
        <v>2025</v>
      </c>
      <c r="H1183" s="5" t="inlineStr">
        <is>
          <t>Diciembre</t>
        </is>
      </c>
      <c r="I1183" s="6" t="inlineStr">
        <is>
          <t>2025-2</t>
        </is>
      </c>
      <c r="J1183" s="5" t="n">
        <v>100</v>
      </c>
      <c r="K1183" s="5" t="n">
        <v>106.54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 t="inlineStr">
        <is>
          <t>386-2025-12-31</t>
        </is>
      </c>
    </row>
    <row r="1184" hidden="1">
      <c r="A1184" s="5" t="n">
        <v>387</v>
      </c>
      <c r="B1184" s="5" t="inlineStr">
        <is>
          <t>Programas con reforzamiento curricular por escuela</t>
        </is>
      </c>
      <c r="C1184" s="5" t="inlineStr">
        <is>
          <t>Gestión, Evaluación e Innovación Curricular</t>
        </is>
      </c>
      <c r="D1184" s="5" t="inlineStr">
        <is>
          <t>Semestral</t>
        </is>
      </c>
      <c r="E1184" s="5" t="inlineStr">
        <is>
          <t>Positivo</t>
        </is>
      </c>
      <c r="F1184" s="101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38</v>
      </c>
      <c r="K1184" s="5" t="n">
        <v>38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n"/>
      <c r="O1184" s="5" t="n"/>
      <c r="P1184" s="5" t="n">
        <v>0</v>
      </c>
      <c r="Q1184" s="5" t="n">
        <v>0</v>
      </c>
      <c r="R1184" s="5" t="inlineStr">
        <is>
          <t>387-2023-06-30</t>
        </is>
      </c>
    </row>
    <row r="1185" hidden="1">
      <c r="A1185" s="5" t="n">
        <v>387</v>
      </c>
      <c r="B1185" s="5" t="inlineStr">
        <is>
          <t>Programas con reforzamiento curricular por escuela</t>
        </is>
      </c>
      <c r="C1185" s="5" t="inlineStr">
        <is>
          <t>Gestión, Evaluación e Innovación Curricular</t>
        </is>
      </c>
      <c r="D1185" s="5" t="inlineStr">
        <is>
          <t>Semestral</t>
        </is>
      </c>
      <c r="E1185" s="5" t="inlineStr">
        <is>
          <t>Positivo</t>
        </is>
      </c>
      <c r="F1185" s="101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/>
      <c r="K1185" s="5" t="n"/>
      <c r="L1185" s="14" t="n"/>
      <c r="M1185" s="14" t="n"/>
      <c r="N1185" s="5" t="n"/>
      <c r="O1185" s="5" t="n"/>
      <c r="P1185" s="5" t="n">
        <v>0</v>
      </c>
      <c r="Q1185" s="5" t="n">
        <v>0</v>
      </c>
      <c r="R1185" s="5" t="inlineStr">
        <is>
          <t>387-2023-12-31</t>
        </is>
      </c>
    </row>
    <row r="1186" hidden="1">
      <c r="A1186" s="5" t="n">
        <v>388</v>
      </c>
      <c r="B1186" s="5" t="inlineStr">
        <is>
          <t>Programas con matriz de resultados de aprendizaje por escuela</t>
        </is>
      </c>
      <c r="C1186" s="5" t="inlineStr">
        <is>
          <t>Gestión, Evaluación e Innovación Curricular</t>
        </is>
      </c>
      <c r="D1186" s="5" t="inlineStr">
        <is>
          <t>Semestral</t>
        </is>
      </c>
      <c r="E1186" s="5" t="inlineStr">
        <is>
          <t>Positivo</t>
        </is>
      </c>
      <c r="F1186" s="101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77</v>
      </c>
      <c r="K1186" s="5" t="n">
        <v>77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n"/>
      <c r="O1186" s="5" t="n"/>
      <c r="P1186" s="5" t="n">
        <v>0</v>
      </c>
      <c r="Q1186" s="5" t="n">
        <v>0</v>
      </c>
      <c r="R1186" s="5" t="inlineStr">
        <is>
          <t>388-2023-06-30</t>
        </is>
      </c>
    </row>
    <row r="1187" hidden="1">
      <c r="A1187" s="5" t="n">
        <v>388</v>
      </c>
      <c r="B1187" s="5" t="inlineStr">
        <is>
          <t>Programas con matriz de resultados de aprendizaje por escuela</t>
        </is>
      </c>
      <c r="C1187" s="5" t="inlineStr">
        <is>
          <t>Gestión, Evaluación e Innovación Curricular</t>
        </is>
      </c>
      <c r="D1187" s="5" t="inlineStr">
        <is>
          <t>Semestral</t>
        </is>
      </c>
      <c r="E1187" s="5" t="inlineStr">
        <is>
          <t>Positivo</t>
        </is>
      </c>
      <c r="F1187" s="101" t="n">
        <v>45291</v>
      </c>
      <c r="G1187" s="5" t="n">
        <v>2023</v>
      </c>
      <c r="H1187" s="5" t="inlineStr">
        <is>
          <t>Diciembre</t>
        </is>
      </c>
      <c r="I1187" s="6" t="inlineStr">
        <is>
          <t>2023-2</t>
        </is>
      </c>
      <c r="J1187" s="5" t="n">
        <v>16</v>
      </c>
      <c r="K1187" s="5" t="n">
        <v>16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n"/>
      <c r="O1187" s="5" t="n"/>
      <c r="P1187" s="5" t="n">
        <v>0</v>
      </c>
      <c r="Q1187" s="5" t="n">
        <v>0</v>
      </c>
      <c r="R1187" s="5" t="inlineStr">
        <is>
          <t>388-2023-12-31</t>
        </is>
      </c>
    </row>
    <row r="1188" hidden="1">
      <c r="A1188" s="5" t="n">
        <v>389</v>
      </c>
      <c r="B1188" s="5" t="inlineStr">
        <is>
          <t>Permanencia por escuela</t>
        </is>
      </c>
      <c r="C1188" s="5" t="inlineStr">
        <is>
          <t>Permanencia</t>
        </is>
      </c>
      <c r="D1188" s="5" t="inlineStr">
        <is>
          <t>Semestral</t>
        </is>
      </c>
      <c r="E1188" s="5" t="inlineStr">
        <is>
          <t>Positivo</t>
        </is>
      </c>
      <c r="F1188" s="101" t="n">
        <v>45107</v>
      </c>
      <c r="G1188" s="5" t="n">
        <v>2023</v>
      </c>
      <c r="H1188" s="5" t="inlineStr">
        <is>
          <t>Junio</t>
        </is>
      </c>
      <c r="I1188" s="6" t="inlineStr">
        <is>
          <t>2023-1</t>
        </is>
      </c>
      <c r="J1188" s="5" t="n">
        <v>91</v>
      </c>
      <c r="K1188" s="5" t="n">
        <v>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5" t="n">
        <v>0</v>
      </c>
      <c r="Q1188" s="5" t="n">
        <v>0</v>
      </c>
      <c r="R1188" s="5" t="inlineStr">
        <is>
          <t>389-2023-06-30</t>
        </is>
      </c>
    </row>
    <row r="1189" hidden="1">
      <c r="A1189" s="5" t="n">
        <v>389</v>
      </c>
      <c r="B1189" s="5" t="inlineStr">
        <is>
          <t>Permanencia por escuela</t>
        </is>
      </c>
      <c r="C1189" s="5" t="inlineStr">
        <is>
          <t>Permanencia</t>
        </is>
      </c>
      <c r="D1189" s="5" t="inlineStr">
        <is>
          <t>Semestral</t>
        </is>
      </c>
      <c r="E1189" s="5" t="inlineStr">
        <is>
          <t>Positivo</t>
        </is>
      </c>
      <c r="F1189" s="101" t="n">
        <v>45291</v>
      </c>
      <c r="G1189" s="5" t="n">
        <v>2023</v>
      </c>
      <c r="H1189" s="5" t="inlineStr">
        <is>
          <t>Diciembre</t>
        </is>
      </c>
      <c r="I1189" s="6" t="inlineStr">
        <is>
          <t>2023-2</t>
        </is>
      </c>
      <c r="J1189" s="5" t="n">
        <v>91</v>
      </c>
      <c r="K1189" s="5" t="n">
        <v>0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5" t="n">
        <v>0</v>
      </c>
      <c r="Q1189" s="5" t="n">
        <v>0</v>
      </c>
      <c r="R1189" s="5" t="inlineStr">
        <is>
          <t>389-2023-12-31</t>
        </is>
      </c>
    </row>
    <row r="1190" hidden="1">
      <c r="A1190" s="5" t="n">
        <v>389</v>
      </c>
      <c r="B1190" s="5" t="inlineStr">
        <is>
          <t>Permanencia por escuela</t>
        </is>
      </c>
      <c r="C1190" s="5" t="inlineStr">
        <is>
          <t>Permanencia</t>
        </is>
      </c>
      <c r="D1190" s="5" t="inlineStr">
        <is>
          <t>Semestral</t>
        </is>
      </c>
      <c r="E1190" s="5" t="inlineStr">
        <is>
          <t>Positivo</t>
        </is>
      </c>
      <c r="F1190" s="101" t="n">
        <v>45473</v>
      </c>
      <c r="G1190" s="5" t="n">
        <v>2024</v>
      </c>
      <c r="H1190" s="5" t="inlineStr">
        <is>
          <t>Junio</t>
        </is>
      </c>
      <c r="I1190" s="6" t="inlineStr">
        <is>
          <t>2024-1</t>
        </is>
      </c>
      <c r="J1190" s="5" t="n">
        <v>85</v>
      </c>
      <c r="K1190" s="5" t="n">
        <v>84.43333333333332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n"/>
      <c r="O1190" s="5" t="n"/>
      <c r="P1190" s="5" t="n">
        <v>0</v>
      </c>
      <c r="Q1190" s="5" t="n">
        <v>0</v>
      </c>
      <c r="R1190" s="5" t="inlineStr">
        <is>
          <t>389-2024-06-30</t>
        </is>
      </c>
    </row>
    <row r="1191" hidden="1">
      <c r="A1191" s="5" t="n">
        <v>389</v>
      </c>
      <c r="B1191" s="5" t="inlineStr">
        <is>
          <t>Permanencia por escuela</t>
        </is>
      </c>
      <c r="C1191" s="5" t="inlineStr">
        <is>
          <t>Permanencia</t>
        </is>
      </c>
      <c r="D1191" s="5" t="inlineStr">
        <is>
          <t>Semestral</t>
        </is>
      </c>
      <c r="E1191" s="5" t="inlineStr">
        <is>
          <t>Positivo</t>
        </is>
      </c>
      <c r="F1191" s="101" t="n">
        <v>45657</v>
      </c>
      <c r="G1191" s="5" t="n">
        <v>2024</v>
      </c>
      <c r="H1191" s="5" t="inlineStr">
        <is>
          <t>Diciembre</t>
        </is>
      </c>
      <c r="I1191" s="6" t="inlineStr">
        <is>
          <t>2024-2</t>
        </is>
      </c>
      <c r="J1191" s="5" t="n">
        <v>85</v>
      </c>
      <c r="K1191" s="5" t="n">
        <v>0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n"/>
      <c r="O1191" s="5" t="n"/>
      <c r="P1191" s="5" t="n">
        <v>0</v>
      </c>
      <c r="Q1191" s="5" t="n">
        <v>0</v>
      </c>
      <c r="R1191" s="5" t="inlineStr">
        <is>
          <t>389-2024-12-31</t>
        </is>
      </c>
    </row>
    <row r="1192" hidden="1">
      <c r="A1192" s="5" t="n">
        <v>389</v>
      </c>
      <c r="B1192" s="5" t="inlineStr">
        <is>
          <t>Permanencia por escuela</t>
        </is>
      </c>
      <c r="C1192" s="5" t="inlineStr">
        <is>
          <t>Gestión de Unidades Académicas</t>
        </is>
      </c>
      <c r="D1192" s="5" t="inlineStr">
        <is>
          <t>Trimestral</t>
        </is>
      </c>
      <c r="E1192" s="5" t="inlineStr">
        <is>
          <t>Positivo</t>
        </is>
      </c>
      <c r="F1192" s="101" t="n">
        <v>45838</v>
      </c>
      <c r="G1192" s="5" t="n">
        <v>2025</v>
      </c>
      <c r="H1192" s="5" t="inlineStr">
        <is>
          <t>Junio</t>
        </is>
      </c>
      <c r="I1192" s="6" t="inlineStr">
        <is>
          <t>2025-1</t>
        </is>
      </c>
      <c r="J1192" s="5" t="n"/>
      <c r="K1192" s="5" t="n">
        <v>0</v>
      </c>
      <c r="L1192" s="14" t="n"/>
      <c r="M1192" s="14" t="n"/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389-2025-06-30</t>
        </is>
      </c>
    </row>
    <row r="1193" hidden="1">
      <c r="A1193" s="5" t="n">
        <v>390</v>
      </c>
      <c r="B1193" s="5" t="inlineStr">
        <is>
          <t>Cumplimiento Plan Anual por escuela</t>
        </is>
      </c>
      <c r="C1193" s="5" t="inlineStr">
        <is>
          <t>Planeación Estratégica</t>
        </is>
      </c>
      <c r="D1193" s="5" t="inlineStr">
        <is>
          <t>Trimestral</t>
        </is>
      </c>
      <c r="E1193" s="5" t="inlineStr">
        <is>
          <t>Positivo</t>
        </is>
      </c>
      <c r="F1193" s="101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5" t="n">
        <v>100</v>
      </c>
      <c r="K1193" s="5" t="n">
        <v>0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n"/>
      <c r="O1193" s="5" t="n"/>
      <c r="P1193" s="5" t="n">
        <v>0</v>
      </c>
      <c r="Q1193" s="5" t="n">
        <v>0</v>
      </c>
      <c r="R1193" s="5" t="inlineStr">
        <is>
          <t>390-2023-03-31</t>
        </is>
      </c>
    </row>
    <row r="1194" hidden="1">
      <c r="A1194" s="5" t="n">
        <v>390</v>
      </c>
      <c r="B1194" s="5" t="inlineStr">
        <is>
          <t>Cumplimiento Plan Anual por escuela</t>
        </is>
      </c>
      <c r="C1194" s="5" t="inlineStr">
        <is>
          <t>Planeación Estratégica</t>
        </is>
      </c>
      <c r="D1194" s="5" t="inlineStr">
        <is>
          <t>Trimestral</t>
        </is>
      </c>
      <c r="E1194" s="5" t="inlineStr">
        <is>
          <t>Positivo</t>
        </is>
      </c>
      <c r="F1194" s="101" t="n">
        <v>45107</v>
      </c>
      <c r="G1194" s="5" t="n">
        <v>2023</v>
      </c>
      <c r="H1194" s="5" t="inlineStr">
        <is>
          <t>Junio</t>
        </is>
      </c>
      <c r="I1194" s="6" t="inlineStr">
        <is>
          <t>2023-1</t>
        </is>
      </c>
      <c r="J1194" s="5" t="n">
        <v>100</v>
      </c>
      <c r="K1194" s="10" t="n">
        <v>110.38416666667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n"/>
      <c r="O1194" s="5" t="n"/>
      <c r="P1194" s="5" t="n">
        <v>0</v>
      </c>
      <c r="Q1194" s="5" t="n">
        <v>0</v>
      </c>
      <c r="R1194" s="5" t="inlineStr">
        <is>
          <t>390-2023-06-30</t>
        </is>
      </c>
    </row>
    <row r="1195" hidden="1">
      <c r="A1195" s="5" t="n">
        <v>390</v>
      </c>
      <c r="B1195" s="5" t="inlineStr">
        <is>
          <t>Cumplimiento Plan Anual por escuela</t>
        </is>
      </c>
      <c r="C1195" s="5" t="inlineStr">
        <is>
          <t>Planeación Estratégica</t>
        </is>
      </c>
      <c r="D1195" s="5" t="inlineStr">
        <is>
          <t>Trimestral</t>
        </is>
      </c>
      <c r="E1195" s="5" t="inlineStr">
        <is>
          <t>Positivo</t>
        </is>
      </c>
      <c r="F1195" s="101" t="n">
        <v>45199</v>
      </c>
      <c r="G1195" s="5" t="n">
        <v>2023</v>
      </c>
      <c r="H1195" s="5" t="inlineStr">
        <is>
          <t>Septiembre</t>
        </is>
      </c>
      <c r="I1195" s="6" t="inlineStr">
        <is>
          <t>2023-2</t>
        </is>
      </c>
      <c r="J1195" s="5" t="n">
        <v>100</v>
      </c>
      <c r="K1195" s="5" t="n">
        <v>95.34416666666699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n"/>
      <c r="O1195" s="5" t="n"/>
      <c r="P1195" s="5" t="n">
        <v>0</v>
      </c>
      <c r="Q1195" s="5" t="n">
        <v>0</v>
      </c>
      <c r="R1195" s="5" t="inlineStr">
        <is>
          <t>390-2023-09-30</t>
        </is>
      </c>
    </row>
    <row r="1196" hidden="1">
      <c r="A1196" s="5" t="n">
        <v>390</v>
      </c>
      <c r="B1196" s="5" t="inlineStr">
        <is>
          <t>Cumplimiento Plan Anual por escuela</t>
        </is>
      </c>
      <c r="C1196" s="5" t="inlineStr">
        <is>
          <t>Planeación Estratégica</t>
        </is>
      </c>
      <c r="D1196" s="5" t="inlineStr">
        <is>
          <t>Trimestral</t>
        </is>
      </c>
      <c r="E1196" s="5" t="inlineStr">
        <is>
          <t>Positivo</t>
        </is>
      </c>
      <c r="F1196" s="101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99.24916666666699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n"/>
      <c r="O1196" s="5" t="n"/>
      <c r="P1196" s="5" t="n">
        <v>0</v>
      </c>
      <c r="Q1196" s="5" t="n">
        <v>0</v>
      </c>
      <c r="R1196" s="5" t="inlineStr">
        <is>
          <t>390-2023-12-31</t>
        </is>
      </c>
    </row>
    <row r="1197" hidden="1">
      <c r="A1197" s="5" t="n">
        <v>390</v>
      </c>
      <c r="B1197" s="5" t="inlineStr">
        <is>
          <t>Cumplimiento Plan Anual por escuela</t>
        </is>
      </c>
      <c r="C1197" s="5" t="inlineStr">
        <is>
          <t>Planeación Estratégica</t>
        </is>
      </c>
      <c r="D1197" s="5" t="inlineStr">
        <is>
          <t>Trimestral</t>
        </is>
      </c>
      <c r="E1197" s="5" t="inlineStr">
        <is>
          <t>Positivo</t>
        </is>
      </c>
      <c r="F1197" s="101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11" t="n">
        <v>110.59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n"/>
      <c r="O1197" s="5" t="n"/>
      <c r="P1197" s="5" t="n">
        <v>0</v>
      </c>
      <c r="Q1197" s="5" t="n">
        <v>0</v>
      </c>
      <c r="R1197" s="5" t="inlineStr">
        <is>
          <t>390-2024-06-30</t>
        </is>
      </c>
    </row>
    <row r="1198" hidden="1">
      <c r="A1198" s="5" t="n">
        <v>390</v>
      </c>
      <c r="B1198" s="5" t="inlineStr">
        <is>
          <t>Cumplimiento Plan Anual por escuela</t>
        </is>
      </c>
      <c r="C1198" s="5" t="inlineStr">
        <is>
          <t>Planeación Estratégica</t>
        </is>
      </c>
      <c r="D1198" s="5" t="inlineStr">
        <is>
          <t>Trimestral</t>
        </is>
      </c>
      <c r="E1198" s="5" t="inlineStr">
        <is>
          <t>Positivo</t>
        </is>
      </c>
      <c r="F1198" s="101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5" t="n">
        <v>99.92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n"/>
      <c r="O1198" s="5" t="n"/>
      <c r="P1198" s="5" t="n">
        <v>0</v>
      </c>
      <c r="Q1198" s="5" t="n">
        <v>0</v>
      </c>
      <c r="R1198" s="5" t="inlineStr">
        <is>
          <t>390-2024-12-31</t>
        </is>
      </c>
    </row>
    <row r="1199" hidden="1">
      <c r="A1199" s="26" t="n">
        <v>390</v>
      </c>
      <c r="B1199" s="5" t="inlineStr">
        <is>
          <t>Cumplimiento Plan Anual por escuela</t>
        </is>
      </c>
      <c r="C1199" s="5" t="inlineStr">
        <is>
          <t>Planeación Estratégica</t>
        </is>
      </c>
      <c r="D1199" s="5" t="inlineStr">
        <is>
          <t>Semestral</t>
        </is>
      </c>
      <c r="E1199" s="5" t="inlineStr">
        <is>
          <t>Positivo</t>
        </is>
      </c>
      <c r="F1199" s="101" t="n">
        <v>45838</v>
      </c>
      <c r="G1199" s="5" t="n">
        <v>2025</v>
      </c>
      <c r="H1199" s="5" t="inlineStr">
        <is>
          <t>Junio</t>
        </is>
      </c>
      <c r="I1199" s="6" t="inlineStr">
        <is>
          <t>2025-1</t>
        </is>
      </c>
      <c r="J1199" s="5" t="n">
        <v>100</v>
      </c>
      <c r="K1199" s="5" t="n">
        <v>103.55</v>
      </c>
      <c r="L1199" s="7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5" t="n">
        <v>0</v>
      </c>
      <c r="Q1199" s="5" t="n">
        <v>0</v>
      </c>
      <c r="R1199" s="5" t="inlineStr">
        <is>
          <t>390-2025-06-30</t>
        </is>
      </c>
    </row>
    <row r="1200" hidden="1">
      <c r="A1200" s="26" t="n">
        <v>390</v>
      </c>
      <c r="B1200" s="5" t="inlineStr">
        <is>
          <t>Cumplimiento Plan Anual por escuela</t>
        </is>
      </c>
      <c r="C1200" s="5" t="inlineStr">
        <is>
          <t>Planeación Estratégica</t>
        </is>
      </c>
      <c r="D1200" s="5" t="inlineStr">
        <is>
          <t>Semestral</t>
        </is>
      </c>
      <c r="E1200" s="5" t="inlineStr">
        <is>
          <t>Positivo</t>
        </is>
      </c>
      <c r="F1200" s="101" t="n">
        <v>46022</v>
      </c>
      <c r="G1200" s="5" t="n">
        <v>2025</v>
      </c>
      <c r="H1200" s="5" t="inlineStr">
        <is>
          <t>Diciembre</t>
        </is>
      </c>
      <c r="I1200" s="6" t="inlineStr">
        <is>
          <t>2025-2</t>
        </is>
      </c>
      <c r="J1200" s="5" t="n">
        <v>100</v>
      </c>
      <c r="K1200" s="9" t="n">
        <v>99.78</v>
      </c>
      <c r="L1200" s="7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390-2025-12-31</t>
        </is>
      </c>
    </row>
    <row r="1201" hidden="1">
      <c r="A1201" s="26" t="n">
        <v>391</v>
      </c>
      <c r="B1201" s="5" t="inlineStr">
        <is>
          <t>Satisfacción del cliente con campañas integradas de marketing</t>
        </is>
      </c>
      <c r="C1201" s="5" t="inlineStr">
        <is>
          <t>Gestión de campañas integradas de marketing</t>
        </is>
      </c>
      <c r="D1201" s="5" t="inlineStr">
        <is>
          <t>Semestral</t>
        </is>
      </c>
      <c r="E1201" s="5" t="inlineStr">
        <is>
          <t>Positivo</t>
        </is>
      </c>
      <c r="F1201" s="101" t="n">
        <v>45107</v>
      </c>
      <c r="G1201" s="5" t="n">
        <v>2023</v>
      </c>
      <c r="H1201" s="5" t="inlineStr">
        <is>
          <t>Junio</t>
        </is>
      </c>
      <c r="I1201" s="6" t="inlineStr">
        <is>
          <t>2023-1</t>
        </is>
      </c>
      <c r="J1201" s="5" t="n">
        <v>100</v>
      </c>
      <c r="K1201" s="10" t="n">
        <v>100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5" t="n">
        <v>0</v>
      </c>
      <c r="Q1201" s="5" t="n">
        <v>0</v>
      </c>
      <c r="R1201" s="5" t="inlineStr">
        <is>
          <t>391-2023-06-30</t>
        </is>
      </c>
    </row>
    <row r="1202" hidden="1">
      <c r="A1202" s="5" t="n">
        <v>391</v>
      </c>
      <c r="B1202" s="5" t="inlineStr">
        <is>
          <t>Satisfacción del cliente con campañas integradas de marketing</t>
        </is>
      </c>
      <c r="C1202" s="5" t="inlineStr">
        <is>
          <t>Gestión de campañas integradas de marketing</t>
        </is>
      </c>
      <c r="D1202" s="5" t="inlineStr">
        <is>
          <t>Semestral</t>
        </is>
      </c>
      <c r="E1202" s="5" t="inlineStr">
        <is>
          <t>Positivo</t>
        </is>
      </c>
      <c r="F1202" s="101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73" t="n">
        <v>100</v>
      </c>
      <c r="K1202" s="9" t="n">
        <v>100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391-2023-12-31</t>
        </is>
      </c>
    </row>
    <row r="1203" hidden="1">
      <c r="A1203" s="5" t="n">
        <v>391</v>
      </c>
      <c r="B1203" s="5" t="inlineStr">
        <is>
          <t>Satisfacción del cliente con campañas integradas de marketing</t>
        </is>
      </c>
      <c r="C1203" s="5" t="inlineStr">
        <is>
          <t>Gestión de campañas integradas de marketing</t>
        </is>
      </c>
      <c r="D1203" s="5" t="inlineStr">
        <is>
          <t>Semestral</t>
        </is>
      </c>
      <c r="E1203" s="5" t="inlineStr">
        <is>
          <t>Positivo</t>
        </is>
      </c>
      <c r="F1203" s="101" t="n">
        <v>45473</v>
      </c>
      <c r="G1203" s="5" t="n">
        <v>2024</v>
      </c>
      <c r="H1203" s="5" t="inlineStr">
        <is>
          <t>Junio</t>
        </is>
      </c>
      <c r="I1203" s="6" t="inlineStr">
        <is>
          <t>2024-1</t>
        </is>
      </c>
      <c r="J1203" s="5" t="n">
        <v>96</v>
      </c>
      <c r="K1203" s="10" t="n">
        <v>100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n"/>
      <c r="O1203" s="5" t="n"/>
      <c r="P1203" s="5" t="n">
        <v>0</v>
      </c>
      <c r="Q1203" s="5" t="n">
        <v>0</v>
      </c>
      <c r="R1203" s="5" t="inlineStr">
        <is>
          <t>391-2024-06-30</t>
        </is>
      </c>
    </row>
    <row r="1204" hidden="1">
      <c r="A1204" s="5" t="n">
        <v>391</v>
      </c>
      <c r="B1204" s="5" t="inlineStr">
        <is>
          <t>Satisfacción del cliente con campañas integradas de marketing</t>
        </is>
      </c>
      <c r="C1204" s="5" t="inlineStr">
        <is>
          <t>Gestión de campañas integradas de marketing</t>
        </is>
      </c>
      <c r="D1204" s="5" t="inlineStr">
        <is>
          <t>Semestral</t>
        </is>
      </c>
      <c r="E1204" s="5" t="inlineStr">
        <is>
          <t>Positivo</t>
        </is>
      </c>
      <c r="F1204" s="101" t="n">
        <v>45657</v>
      </c>
      <c r="G1204" s="5" t="n">
        <v>2024</v>
      </c>
      <c r="H1204" s="5" t="inlineStr">
        <is>
          <t>Diciembre</t>
        </is>
      </c>
      <c r="I1204" s="6" t="inlineStr">
        <is>
          <t>2024-2</t>
        </is>
      </c>
      <c r="J1204" s="5" t="n">
        <v>96</v>
      </c>
      <c r="K1204" s="5" t="n">
        <v>100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n"/>
      <c r="O1204" s="5" t="n"/>
      <c r="P1204" s="5" t="n">
        <v>0</v>
      </c>
      <c r="Q1204" s="5" t="n">
        <v>0</v>
      </c>
      <c r="R1204" s="5" t="inlineStr">
        <is>
          <t>391-2024-12-31</t>
        </is>
      </c>
    </row>
    <row r="1205" hidden="1">
      <c r="A1205" s="26" t="n">
        <v>392</v>
      </c>
      <c r="B1205" s="5" t="inlineStr">
        <is>
          <t>Ahorro institucional con base en la monetización de los servicios</t>
        </is>
      </c>
      <c r="C1205" s="5" t="inlineStr">
        <is>
          <t>Gestión de campañas integradas de marketing</t>
        </is>
      </c>
      <c r="D1205" s="5" t="inlineStr">
        <is>
          <t>Semestral</t>
        </is>
      </c>
      <c r="E1205" s="5" t="inlineStr">
        <is>
          <t>Positivo</t>
        </is>
      </c>
      <c r="F1205" s="101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100</v>
      </c>
      <c r="K1205" s="104" t="n">
        <v>110.09198322581</v>
      </c>
      <c r="L1205" s="7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n"/>
      <c r="O1205" s="5" t="n"/>
      <c r="P1205" s="5" t="n">
        <v>0</v>
      </c>
      <c r="Q1205" s="5" t="n">
        <v>0</v>
      </c>
      <c r="R1205" s="5" t="inlineStr">
        <is>
          <t>392-2023-06-30</t>
        </is>
      </c>
    </row>
    <row r="1206" hidden="1">
      <c r="A1206" s="26" t="n">
        <v>392</v>
      </c>
      <c r="B1206" s="5" t="inlineStr">
        <is>
          <t>Ahorro institucional con base en la monetización de los servicios</t>
        </is>
      </c>
      <c r="C1206" s="5" t="inlineStr">
        <is>
          <t>Gestión de campañas integradas de marketing</t>
        </is>
      </c>
      <c r="D1206" s="5" t="inlineStr">
        <is>
          <t>Semestral</t>
        </is>
      </c>
      <c r="E1206" s="5" t="inlineStr">
        <is>
          <t>Positivo</t>
        </is>
      </c>
      <c r="F1206" s="101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5" t="n">
        <v>100</v>
      </c>
      <c r="K1206" s="5" t="n">
        <v>147.38</v>
      </c>
      <c r="L1206" s="7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n"/>
      <c r="O1206" s="5" t="n"/>
      <c r="P1206" s="5" t="n">
        <v>0</v>
      </c>
      <c r="Q1206" s="5" t="n">
        <v>0</v>
      </c>
      <c r="R1206" s="5" t="inlineStr">
        <is>
          <t>392-2023-12-31</t>
        </is>
      </c>
    </row>
    <row r="1207" hidden="1">
      <c r="A1207" s="26" t="n">
        <v>392</v>
      </c>
      <c r="B1207" s="5" t="inlineStr">
        <is>
          <t>Ahorro institucional con base en la monetización de los servicios</t>
        </is>
      </c>
      <c r="C1207" s="5" t="inlineStr">
        <is>
          <t>Gestión de campañas integradas de marketing</t>
        </is>
      </c>
      <c r="D1207" s="5" t="inlineStr">
        <is>
          <t>Semestral</t>
        </is>
      </c>
      <c r="E1207" s="5" t="inlineStr">
        <is>
          <t>Positivo</t>
        </is>
      </c>
      <c r="F1207" s="101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100</v>
      </c>
      <c r="K1207" s="10" t="n">
        <v>98.11</v>
      </c>
      <c r="L1207" s="7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5" t="n"/>
      <c r="O1207" s="5" t="n"/>
      <c r="P1207" s="5" t="n">
        <v>0</v>
      </c>
      <c r="Q1207" s="5" t="n">
        <v>0</v>
      </c>
      <c r="R1207" s="5" t="inlineStr">
        <is>
          <t>392-2024-06-30</t>
        </is>
      </c>
    </row>
    <row r="1208" hidden="1">
      <c r="A1208" s="5" t="n">
        <v>392</v>
      </c>
      <c r="B1208" t="inlineStr">
        <is>
          <t>Ahorro institucional con base en la monetización de los servicios</t>
        </is>
      </c>
      <c r="C1208" s="5" t="inlineStr">
        <is>
          <t>Gestión de campañas integradas de marketing</t>
        </is>
      </c>
      <c r="D1208" s="5" t="inlineStr">
        <is>
          <t>Semestral</t>
        </is>
      </c>
      <c r="E1208" s="5" t="inlineStr">
        <is>
          <t>Positivo</t>
        </is>
      </c>
      <c r="F1208" s="101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100</v>
      </c>
      <c r="K1208" s="5" t="n">
        <v>145.21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n"/>
      <c r="O1208" s="5" t="n"/>
      <c r="P1208" s="5" t="n">
        <v>0</v>
      </c>
      <c r="Q1208" s="5" t="n">
        <v>0</v>
      </c>
      <c r="R1208" s="5" t="inlineStr">
        <is>
          <t>392-2024-12-31</t>
        </is>
      </c>
    </row>
    <row r="1209" hidden="1">
      <c r="A1209" s="5" t="n">
        <v>392</v>
      </c>
      <c r="B1209" s="5" t="inlineStr">
        <is>
          <t>Ahorro institucional con base en la monetización de los servicios</t>
        </is>
      </c>
      <c r="C1209" s="5" t="inlineStr">
        <is>
          <t>Gestión de campañas integradas de marketing</t>
        </is>
      </c>
      <c r="D1209" s="5" t="inlineStr">
        <is>
          <t>Anual</t>
        </is>
      </c>
      <c r="E1209" s="5" t="inlineStr">
        <is>
          <t>Positivo</t>
        </is>
      </c>
      <c r="F1209" s="101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100</v>
      </c>
      <c r="K1209" s="5" t="n">
        <v>100.8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 t="inlineStr">
        <is>
          <t>392-2025-12-31</t>
        </is>
      </c>
    </row>
    <row r="1210" hidden="1">
      <c r="A1210" s="5" t="n">
        <v>393</v>
      </c>
      <c r="B1210" s="5" t="inlineStr">
        <is>
          <t>Disminución de los tiempos empleados en el desarrollo de las solicitudes</t>
        </is>
      </c>
      <c r="C1210" s="5" t="inlineStr">
        <is>
          <t>Gestión de campañas integradas de marketing</t>
        </is>
      </c>
      <c r="D1210" s="5" t="inlineStr">
        <is>
          <t>Anual</t>
        </is>
      </c>
      <c r="E1210" s="5" t="inlineStr">
        <is>
          <t>Positivo</t>
        </is>
      </c>
      <c r="F1210" s="101" t="n">
        <v>45291</v>
      </c>
      <c r="G1210" s="5" t="n">
        <v>2023</v>
      </c>
      <c r="H1210" s="5" t="inlineStr">
        <is>
          <t>Diciembre</t>
        </is>
      </c>
      <c r="I1210" s="6" t="inlineStr">
        <is>
          <t>2023-2</t>
        </is>
      </c>
      <c r="J1210" s="5" t="n">
        <v>15</v>
      </c>
      <c r="K1210" s="5" t="n">
        <v>15.45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n"/>
      <c r="O1210" s="5" t="n"/>
      <c r="P1210" s="5" t="n">
        <v>1</v>
      </c>
      <c r="Q1210" s="5" t="n">
        <v>1</v>
      </c>
      <c r="R1210" s="5" t="inlineStr">
        <is>
          <t>393-2023-12-31</t>
        </is>
      </c>
    </row>
    <row r="1211" hidden="1">
      <c r="A1211" s="5" t="n">
        <v>393</v>
      </c>
      <c r="B1211" s="5" t="inlineStr">
        <is>
          <t>Disminución de los tiempos empleados en el desarrollo de las solicitudes</t>
        </is>
      </c>
      <c r="C1211" s="5" t="inlineStr">
        <is>
          <t>Gestión de campañas integradas de marketing</t>
        </is>
      </c>
      <c r="D1211" s="5" t="inlineStr">
        <is>
          <t>Anual</t>
        </is>
      </c>
      <c r="E1211" s="5" t="inlineStr">
        <is>
          <t>Negativo</t>
        </is>
      </c>
      <c r="F1211" s="101" t="n">
        <v>45657</v>
      </c>
      <c r="G1211" s="5" t="n">
        <v>2024</v>
      </c>
      <c r="H1211" s="5" t="inlineStr">
        <is>
          <t>Diciembre</t>
        </is>
      </c>
      <c r="I1211" s="6" t="inlineStr">
        <is>
          <t>2024-2</t>
        </is>
      </c>
      <c r="J1211" s="5" t="n">
        <v>15</v>
      </c>
      <c r="K1211" s="10" t="n">
        <v>13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n"/>
      <c r="O1211" s="5" t="n"/>
      <c r="P1211" s="5" t="n">
        <v>0</v>
      </c>
      <c r="Q1211" s="5" t="n">
        <v>0</v>
      </c>
      <c r="R1211" s="5" t="inlineStr">
        <is>
          <t>393-2024-12-31</t>
        </is>
      </c>
    </row>
    <row r="1212" hidden="1">
      <c r="A1212" s="5" t="n">
        <v>393</v>
      </c>
      <c r="B1212" s="5" t="inlineStr">
        <is>
          <t>Disminución de los tiempos empleados en el desarrollo de las solicitudes</t>
        </is>
      </c>
      <c r="C1212" s="5" t="inlineStr">
        <is>
          <t>Gestión de campañas integradas de marketing</t>
        </is>
      </c>
      <c r="D1212" s="5" t="inlineStr">
        <is>
          <t>Anual</t>
        </is>
      </c>
      <c r="E1212" s="5" t="inlineStr">
        <is>
          <t>Negativo</t>
        </is>
      </c>
      <c r="F1212" s="101" t="n">
        <v>46022</v>
      </c>
      <c r="G1212" s="5" t="n">
        <v>2025</v>
      </c>
      <c r="H1212" s="5" t="inlineStr">
        <is>
          <t>Diciembre</t>
        </is>
      </c>
      <c r="I1212" s="6" t="inlineStr">
        <is>
          <t>2025-2</t>
        </is>
      </c>
      <c r="J1212" s="5" t="n"/>
      <c r="K1212" s="5" t="n">
        <v>12</v>
      </c>
      <c r="L1212" s="14" t="n"/>
      <c r="M1212" s="14" t="n"/>
      <c r="N1212" s="5" t="inlineStr">
        <is>
          <t>ENT</t>
        </is>
      </c>
      <c r="O1212" s="5" t="inlineStr">
        <is>
          <t>DEC</t>
        </is>
      </c>
      <c r="P1212" s="5" t="n">
        <v>1</v>
      </c>
      <c r="Q1212" s="5" t="n">
        <v>1</v>
      </c>
      <c r="R1212" s="5" t="inlineStr">
        <is>
          <t>393-2025-12-31</t>
        </is>
      </c>
    </row>
    <row r="1213" hidden="1">
      <c r="A1213" s="5" t="n">
        <v>394</v>
      </c>
      <c r="B1213" s="5" t="inlineStr">
        <is>
          <t>Publicaciones en medios de comunicación Tier 1 y Tier 2</t>
        </is>
      </c>
      <c r="C1213" s="5" t="inlineStr">
        <is>
          <t>Comunicaciones Externas</t>
        </is>
      </c>
      <c r="D1213" s="5" t="inlineStr">
        <is>
          <t>Semestral</t>
        </is>
      </c>
      <c r="E1213" s="5" t="inlineStr">
        <is>
          <t>Positivo</t>
        </is>
      </c>
      <c r="F1213" s="101" t="n">
        <v>45107</v>
      </c>
      <c r="G1213" s="5" t="n">
        <v>2023</v>
      </c>
      <c r="H1213" s="5" t="inlineStr">
        <is>
          <t>Junio</t>
        </is>
      </c>
      <c r="I1213" s="6" t="inlineStr">
        <is>
          <t>2023-1</t>
        </is>
      </c>
      <c r="J1213" s="5" t="n">
        <v>100</v>
      </c>
      <c r="K1213" s="5" t="n">
        <v>275.42857142857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ENT</t>
        </is>
      </c>
      <c r="O1213" s="5" t="inlineStr">
        <is>
          <t>ENT</t>
        </is>
      </c>
      <c r="P1213" s="5" t="n">
        <v>0</v>
      </c>
      <c r="Q1213" s="5" t="n">
        <v>0</v>
      </c>
      <c r="R1213" s="5" t="inlineStr">
        <is>
          <t>394-2023-06-30</t>
        </is>
      </c>
    </row>
    <row r="1214" hidden="1">
      <c r="A1214" s="5" t="n">
        <v>394</v>
      </c>
      <c r="B1214" s="5" t="inlineStr">
        <is>
          <t>Publicaciones en medios de comunicación Tier 1 y Tier 2</t>
        </is>
      </c>
      <c r="C1214" s="5" t="inlineStr">
        <is>
          <t>Comunicaciones Externas</t>
        </is>
      </c>
      <c r="D1214" s="5" t="inlineStr">
        <is>
          <t>Semestral</t>
        </is>
      </c>
      <c r="E1214" s="5" t="inlineStr">
        <is>
          <t>Positivo</t>
        </is>
      </c>
      <c r="F1214" s="101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100</v>
      </c>
      <c r="K1214" s="5" t="n">
        <v>349.71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ENT</t>
        </is>
      </c>
      <c r="O1214" s="5" t="inlineStr">
        <is>
          <t>ENT</t>
        </is>
      </c>
      <c r="P1214" s="5" t="n">
        <v>0</v>
      </c>
      <c r="Q1214" s="5" t="n">
        <v>0</v>
      </c>
      <c r="R1214" s="5" t="inlineStr">
        <is>
          <t>394-2023-12-31</t>
        </is>
      </c>
    </row>
    <row r="1215" hidden="1">
      <c r="A1215" s="5" t="n">
        <v>394</v>
      </c>
      <c r="B1215" s="5" t="inlineStr">
        <is>
          <t>Publicaciones en medios de comunicación Tier 1 y Tier 2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01" t="n">
        <v>45473</v>
      </c>
      <c r="G1215" s="5" t="n">
        <v>2024</v>
      </c>
      <c r="H1215" s="5" t="inlineStr">
        <is>
          <t>Junio</t>
        </is>
      </c>
      <c r="I1215" s="6" t="inlineStr">
        <is>
          <t>2024-1</t>
        </is>
      </c>
      <c r="J1215" s="82" t="n">
        <v>100</v>
      </c>
      <c r="K1215" s="9" t="n">
        <v>118.6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394-2024-06-30</t>
        </is>
      </c>
    </row>
    <row r="1216" hidden="1">
      <c r="A1216" s="5" t="n">
        <v>394</v>
      </c>
      <c r="B1216" s="5" t="inlineStr">
        <is>
          <t>Publicaciones en medios de comunicación Tier 1 y Tier 2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01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100</v>
      </c>
      <c r="K1216" s="5" t="n">
        <v>192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394-2024-12-31</t>
        </is>
      </c>
    </row>
    <row r="1217" hidden="1">
      <c r="A1217" s="5" t="n">
        <v>394</v>
      </c>
      <c r="B1217" s="5" t="inlineStr">
        <is>
          <t>Publicaciones en medios de comunicación Tier 1 y Tier 2</t>
        </is>
      </c>
      <c r="C1217" s="5" t="inlineStr">
        <is>
          <t>Comunicaciones Externas</t>
        </is>
      </c>
      <c r="D1217" s="5" t="inlineStr">
        <is>
          <t>Semestral</t>
        </is>
      </c>
      <c r="E1217" s="5" t="inlineStr">
        <is>
          <t>Positivo</t>
        </is>
      </c>
      <c r="F1217" s="101" t="n">
        <v>45838</v>
      </c>
      <c r="G1217" s="5" t="n">
        <v>2025</v>
      </c>
      <c r="H1217" s="5" t="inlineStr">
        <is>
          <t>Junio</t>
        </is>
      </c>
      <c r="I1217" s="6" t="inlineStr">
        <is>
          <t>2025-1</t>
        </is>
      </c>
      <c r="J1217" s="5" t="n">
        <v>100</v>
      </c>
      <c r="K1217" s="5" t="n">
        <v>162.18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5" t="n">
        <v>0</v>
      </c>
      <c r="Q1217" s="5" t="n">
        <v>0</v>
      </c>
      <c r="R1217" s="5" t="inlineStr">
        <is>
          <t>394-2025-06-30</t>
        </is>
      </c>
    </row>
    <row r="1218" hidden="1">
      <c r="A1218" s="5" t="n">
        <v>394</v>
      </c>
      <c r="B1218" s="5" t="inlineStr">
        <is>
          <t>Publicaciones en medios de comunicación Tier 1 y Tier 2</t>
        </is>
      </c>
      <c r="C1218" s="5" t="inlineStr">
        <is>
          <t>Comunicaciones Externas</t>
        </is>
      </c>
      <c r="D1218" s="5" t="inlineStr">
        <is>
          <t>Semestral</t>
        </is>
      </c>
      <c r="E1218" s="5" t="inlineStr">
        <is>
          <t>Positivo</t>
        </is>
      </c>
      <c r="F1218" s="101" t="n">
        <v>46022</v>
      </c>
      <c r="G1218" s="5" t="n">
        <v>2025</v>
      </c>
      <c r="H1218" s="5" t="inlineStr">
        <is>
          <t>Diciembre</t>
        </is>
      </c>
      <c r="I1218" s="6" t="inlineStr">
        <is>
          <t>2025-2</t>
        </is>
      </c>
      <c r="J1218" s="5" t="n">
        <v>100</v>
      </c>
      <c r="K1218" s="5" t="n">
        <v>114.605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ENT</t>
        </is>
      </c>
      <c r="O1218" s="5" t="inlineStr">
        <is>
          <t>ENT</t>
        </is>
      </c>
      <c r="P1218" s="5" t="n">
        <v>0</v>
      </c>
      <c r="Q1218" s="5" t="n">
        <v>0</v>
      </c>
      <c r="R1218" s="5" t="inlineStr">
        <is>
          <t>394-2025-12-31</t>
        </is>
      </c>
    </row>
    <row r="1219" hidden="1">
      <c r="A1219" s="5" t="n">
        <v>395</v>
      </c>
      <c r="B1219" s="5" t="inlineStr">
        <is>
          <t>Publicaciones en medios de comunicación Tier 1 y Tier 2 de la región Antioquia</t>
        </is>
      </c>
      <c r="C1219" s="5" t="inlineStr">
        <is>
          <t>Comunicaciones Externas</t>
        </is>
      </c>
      <c r="D1219" s="5" t="inlineStr">
        <is>
          <t>Semestral</t>
        </is>
      </c>
      <c r="E1219" s="5" t="inlineStr">
        <is>
          <t>Positivo</t>
        </is>
      </c>
      <c r="F1219" s="101" t="n">
        <v>45107</v>
      </c>
      <c r="G1219" s="5" t="n">
        <v>2023</v>
      </c>
      <c r="H1219" s="5" t="inlineStr">
        <is>
          <t>Junio</t>
        </is>
      </c>
      <c r="I1219" s="6" t="inlineStr">
        <is>
          <t>2023-1</t>
        </is>
      </c>
      <c r="J1219" s="5" t="n">
        <v>100</v>
      </c>
      <c r="K1219" s="5" t="n">
        <v>294.11764705882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ENT</t>
        </is>
      </c>
      <c r="O1219" s="5" t="inlineStr">
        <is>
          <t>ENT</t>
        </is>
      </c>
      <c r="P1219" s="5" t="n">
        <v>0</v>
      </c>
      <c r="Q1219" s="5" t="n">
        <v>0</v>
      </c>
      <c r="R1219" s="5" t="inlineStr">
        <is>
          <t>395-2023-06-30</t>
        </is>
      </c>
    </row>
    <row r="1220" hidden="1">
      <c r="A1220" t="n">
        <v>395</v>
      </c>
      <c r="B1220" t="inlineStr">
        <is>
          <t>Publicaciones en medios de comunicación Tier 1 y Tier 2 de la región Antioquia</t>
        </is>
      </c>
      <c r="C1220" t="inlineStr">
        <is>
          <t>Comunicaciones Externas</t>
        </is>
      </c>
      <c r="D1220" t="inlineStr">
        <is>
          <t>Semestral</t>
        </is>
      </c>
      <c r="E1220" t="inlineStr">
        <is>
          <t>Positivo</t>
        </is>
      </c>
      <c r="F1220" s="108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100</v>
      </c>
      <c r="K1220" t="n">
        <v>266.67</v>
      </c>
      <c r="L1220" s="39">
        <f>IFERROR(IF(OR(J1220=0,K1220=""),"",IF(E1220="Positivo",MIN(MAX(K1220/J1220,0),1.3),MIN(MAX(J1220/K1220,0),1.3))),"") </f>
        <v/>
      </c>
      <c r="M1220" s="39">
        <f>IFERROR(IF(OR(J1220=0,K1220=""),"",IF(E1220="Positivo",MAX(K1220/J1220,0),MAX(J1220/K1220,0))),"") </f>
        <v/>
      </c>
      <c r="N1220" t="inlineStr">
        <is>
          <t>ENT</t>
        </is>
      </c>
      <c r="O1220" t="inlineStr">
        <is>
          <t>ENT</t>
        </is>
      </c>
      <c r="P1220" t="n">
        <v>0</v>
      </c>
      <c r="Q1220" t="n">
        <v>0</v>
      </c>
      <c r="R1220" t="inlineStr">
        <is>
          <t>395-2023-12-31</t>
        </is>
      </c>
    </row>
    <row r="1221" hidden="1">
      <c r="A1221" t="n">
        <v>395</v>
      </c>
      <c r="B1221" t="inlineStr">
        <is>
          <t>Publicaciones en medios de comunicación de la región Antioquia</t>
        </is>
      </c>
      <c r="C1221" t="inlineStr">
        <is>
          <t>Comunicaciones Externas</t>
        </is>
      </c>
      <c r="D1221" t="inlineStr">
        <is>
          <t>Semestral</t>
        </is>
      </c>
      <c r="E1221" t="inlineStr">
        <is>
          <t>Positivo</t>
        </is>
      </c>
      <c r="F1221" s="108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100</v>
      </c>
      <c r="K1221" t="n">
        <v>110</v>
      </c>
      <c r="L1221" s="39">
        <f>IFERROR(IF(OR(J1221=0,K1221=""),"",IF(E1221="Positivo",MIN(MAX(K1221/J1221,0),1.3),MIN(MAX(J1221/K1221,0),1.3))),"") </f>
        <v/>
      </c>
      <c r="M1221" s="39">
        <f>IFERROR(IF(OR(J1221=0,K1221=""),"",IF(E1221="Positivo",MAX(K1221/J1221,0),MAX(J1221/K1221,0))),"") </f>
        <v/>
      </c>
      <c r="N1221" t="inlineStr">
        <is>
          <t>ENT</t>
        </is>
      </c>
      <c r="O1221" t="inlineStr">
        <is>
          <t>ENT</t>
        </is>
      </c>
      <c r="P1221" t="n">
        <v>0</v>
      </c>
      <c r="Q1221" t="n">
        <v>0</v>
      </c>
      <c r="R1221" t="inlineStr">
        <is>
          <t>395-2024-06-30</t>
        </is>
      </c>
    </row>
    <row r="1222" hidden="1">
      <c r="A1222" t="n">
        <v>395</v>
      </c>
      <c r="B1222" t="inlineStr">
        <is>
          <t>Publicaciones en medios de comunicación de la región Antioquia</t>
        </is>
      </c>
      <c r="C1222" t="inlineStr">
        <is>
          <t>Comunicaciones Externas</t>
        </is>
      </c>
      <c r="D1222" t="inlineStr">
        <is>
          <t>Semestral</t>
        </is>
      </c>
      <c r="E1222" t="inlineStr">
        <is>
          <t>Positivo</t>
        </is>
      </c>
      <c r="F1222" s="108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100</v>
      </c>
      <c r="K1222" t="n">
        <v>148.89</v>
      </c>
      <c r="L1222" s="39">
        <f>IFERROR(IF(OR(J1222=0,K1222=""),"",IF(E1222="Positivo",MIN(MAX(K1222/J1222,0),1.3),MIN(MAX(J1222/K1222,0),1.3))),"") </f>
        <v/>
      </c>
      <c r="M1222" s="39">
        <f>IFERROR(IF(OR(J1222=0,K1222=""),"",IF(E1222="Positivo",MAX(K1222/J1222,0),MAX(J1222/K1222,0))),"") </f>
        <v/>
      </c>
      <c r="N1222" t="inlineStr">
        <is>
          <t>ENT</t>
        </is>
      </c>
      <c r="O1222" t="inlineStr">
        <is>
          <t>ENT</t>
        </is>
      </c>
      <c r="P1222" t="n">
        <v>0</v>
      </c>
      <c r="Q1222" t="n">
        <v>0</v>
      </c>
      <c r="R1222" t="inlineStr">
        <is>
          <t>395-2024-12-31</t>
        </is>
      </c>
    </row>
    <row r="1223" hidden="1">
      <c r="A1223" t="n">
        <v>395</v>
      </c>
      <c r="B1223" t="inlineStr">
        <is>
          <t>Publicaciones en medios de comunicación de la región Antioquia</t>
        </is>
      </c>
      <c r="C1223" t="inlineStr">
        <is>
          <t>Comunicaciones Externas</t>
        </is>
      </c>
      <c r="D1223" t="inlineStr">
        <is>
          <t>Semestral</t>
        </is>
      </c>
      <c r="E1223" t="inlineStr">
        <is>
          <t>Positivo</t>
        </is>
      </c>
      <c r="F1223" s="108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100</v>
      </c>
      <c r="K1223" t="n">
        <v>226.625</v>
      </c>
      <c r="L1223" s="39">
        <f>IFERROR(IF(OR(J1223=0,K1223=""),"",IF(E1223="Positivo",MIN(MAX(K1223/J1223,0),1.3),MIN(MAX(J1223/K1223,0),1.3))),"") </f>
        <v/>
      </c>
      <c r="M1223" s="39">
        <f>IFERROR(IF(OR(J1223=0,K1223=""),"",IF(E1223="Positivo",MAX(K1223/J1223,0),MAX(J1223/K1223,0))),"") </f>
        <v/>
      </c>
      <c r="N1223" t="inlineStr">
        <is>
          <t>ENT</t>
        </is>
      </c>
      <c r="O1223" t="inlineStr">
        <is>
          <t>ENT</t>
        </is>
      </c>
      <c r="P1223" t="n">
        <v>0</v>
      </c>
      <c r="Q1223" t="n">
        <v>0</v>
      </c>
      <c r="R1223" t="inlineStr">
        <is>
          <t>395-2025-06-30</t>
        </is>
      </c>
    </row>
    <row r="1224" hidden="1">
      <c r="A1224" t="n">
        <v>395</v>
      </c>
      <c r="B1224" t="inlineStr">
        <is>
          <t>Publicaciones en medios de comunicación de la región Antioquia</t>
        </is>
      </c>
      <c r="C1224" t="inlineStr">
        <is>
          <t>Comunicaciones Externas</t>
        </is>
      </c>
      <c r="D1224" t="inlineStr">
        <is>
          <t>Semestral</t>
        </is>
      </c>
      <c r="E1224" t="inlineStr">
        <is>
          <t>Positivo</t>
        </is>
      </c>
      <c r="F1224" s="108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100</v>
      </c>
      <c r="K1224" t="n">
        <v>182.205</v>
      </c>
      <c r="L1224" s="39">
        <f>IFERROR(IF(OR(J1224=0,K1224=""),"",IF(E1224="Positivo",MIN(MAX(K1224/J1224,0),1.3),MIN(MAX(J1224/K1224,0),1.3))),"") </f>
        <v/>
      </c>
      <c r="M1224" s="39">
        <f>IFERROR(IF(OR(J1224=0,K1224=""),"",IF(E1224="Positivo",MAX(K1224/J1224,0),MAX(J1224/K1224,0))),"") </f>
        <v/>
      </c>
      <c r="N1224" t="inlineStr">
        <is>
          <t>ENT</t>
        </is>
      </c>
      <c r="O1224" t="inlineStr">
        <is>
          <t>ENT</t>
        </is>
      </c>
      <c r="P1224" t="n">
        <v>0</v>
      </c>
      <c r="Q1224" t="n">
        <v>0</v>
      </c>
      <c r="R1224" t="inlineStr">
        <is>
          <t>395-2025-12-31</t>
        </is>
      </c>
    </row>
    <row r="1225" hidden="1">
      <c r="A1225" t="n">
        <v>396</v>
      </c>
      <c r="B1225" t="inlineStr">
        <is>
          <t>Publicaciones en el Campus Virtual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108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80</v>
      </c>
      <c r="K1225" t="n">
        <v>91.06999999999999</v>
      </c>
      <c r="L1225" s="39">
        <f>IFERROR(IF(OR(J1225=0,K1225=""),"",IF(E1225="Positivo",MIN(MAX(K1225/J1225,0),1.3),MIN(MAX(J1225/K1225,0),1.3))),"") </f>
        <v/>
      </c>
      <c r="M1225" s="39">
        <f>IFERROR(IF(OR(J1225=0,K1225=""),"",IF(E1225="Positivo",MAX(K1225/J1225,0),MAX(J1225/K1225,0))),"") </f>
        <v/>
      </c>
      <c r="N1225" t="inlineStr">
        <is>
          <t>%</t>
        </is>
      </c>
      <c r="O1225" t="inlineStr">
        <is>
          <t>%</t>
        </is>
      </c>
      <c r="P1225" t="n">
        <v>0</v>
      </c>
      <c r="Q1225" t="n">
        <v>1</v>
      </c>
      <c r="R1225" t="inlineStr">
        <is>
          <t>396-2023-06-30</t>
        </is>
      </c>
    </row>
    <row r="1226" hidden="1">
      <c r="A1226" t="n">
        <v>396</v>
      </c>
      <c r="B1226" t="inlineStr">
        <is>
          <t>Publicaciones en el Campus Virtual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108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80</v>
      </c>
      <c r="K1226" t="n">
        <v>92.95999999999999</v>
      </c>
      <c r="L1226" s="39">
        <f>IFERROR(IF(OR(J1226=0,K1226=""),"",IF(E1226="Positivo",MIN(MAX(K1226/J1226,0),1.3),MIN(MAX(J1226/K1226,0),1.3))),"") </f>
        <v/>
      </c>
      <c r="M1226" s="39">
        <f>IFERROR(IF(OR(J1226=0,K1226=""),"",IF(E1226="Positivo",MAX(K1226/J1226,0),MAX(J1226/K1226,0))),"") </f>
        <v/>
      </c>
      <c r="N1226" t="inlineStr">
        <is>
          <t>%</t>
        </is>
      </c>
      <c r="O1226" t="inlineStr">
        <is>
          <t>%</t>
        </is>
      </c>
      <c r="P1226" t="n">
        <v>0</v>
      </c>
      <c r="Q1226" t="n">
        <v>1</v>
      </c>
      <c r="R1226" t="inlineStr">
        <is>
          <t>396-2023-12-31</t>
        </is>
      </c>
    </row>
    <row r="1227" hidden="1">
      <c r="A1227" t="n">
        <v>396</v>
      </c>
      <c r="B1227" t="inlineStr">
        <is>
          <t>Publicaciones en el Campus Virtual</t>
        </is>
      </c>
      <c r="C1227" t="inlineStr">
        <is>
          <t>Gestión de campañas integradas de marketing</t>
        </is>
      </c>
      <c r="D1227" t="inlineStr">
        <is>
          <t>Semestral</t>
        </is>
      </c>
      <c r="E1227" t="inlineStr">
        <is>
          <t>Positivo</t>
        </is>
      </c>
      <c r="F1227" s="108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80</v>
      </c>
      <c r="K1227" t="n">
        <v>88.08</v>
      </c>
      <c r="L1227" s="39">
        <f>IFERROR(IF(OR(J1227=0,K1227=""),"",IF(E1227="Positivo",MIN(MAX(K1227/J1227,0),1.3),MIN(MAX(J1227/K1227,0),1.3))),"") </f>
        <v/>
      </c>
      <c r="M1227" s="39">
        <f>IFERROR(IF(OR(J1227=0,K1227=""),"",IF(E1227="Positivo",MAX(K1227/J1227,0),MAX(J1227/K1227,0))),"") </f>
        <v/>
      </c>
      <c r="N1227" t="inlineStr">
        <is>
          <t>%</t>
        </is>
      </c>
      <c r="O1227" t="inlineStr">
        <is>
          <t>%</t>
        </is>
      </c>
      <c r="P1227" t="n">
        <v>0</v>
      </c>
      <c r="Q1227" t="n">
        <v>1</v>
      </c>
      <c r="R1227" t="inlineStr">
        <is>
          <t>396-2024-06-30</t>
        </is>
      </c>
    </row>
    <row r="1228" hidden="1">
      <c r="A1228" t="n">
        <v>396</v>
      </c>
      <c r="B1228" t="inlineStr">
        <is>
          <t>Publicaciones en el Campus Virtual</t>
        </is>
      </c>
      <c r="C1228" t="inlineStr">
        <is>
          <t>Gestión de campañas integradas de marketing</t>
        </is>
      </c>
      <c r="D1228" t="inlineStr">
        <is>
          <t>Semestral</t>
        </is>
      </c>
      <c r="E1228" t="inlineStr">
        <is>
          <t>Positivo</t>
        </is>
      </c>
      <c r="F1228" s="108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80</v>
      </c>
      <c r="K1228" t="n">
        <v>94.88</v>
      </c>
      <c r="L1228" s="39">
        <f>IFERROR(IF(OR(J1228=0,K1228=""),"",IF(E1228="Positivo",MIN(MAX(K1228/J1228,0),1.3),MIN(MAX(J1228/K1228,0),1.3))),"") </f>
        <v/>
      </c>
      <c r="M1228" s="39">
        <f>IFERROR(IF(OR(J1228=0,K1228=""),"",IF(E1228="Positivo",MAX(K1228/J1228,0),MAX(J1228/K1228,0))),"") </f>
        <v/>
      </c>
      <c r="N1228" t="inlineStr">
        <is>
          <t>%</t>
        </is>
      </c>
      <c r="O1228" t="inlineStr">
        <is>
          <t>%</t>
        </is>
      </c>
      <c r="P1228" t="n">
        <v>0</v>
      </c>
      <c r="Q1228" t="n">
        <v>1</v>
      </c>
      <c r="R1228" t="inlineStr">
        <is>
          <t>396-2024-12-31</t>
        </is>
      </c>
    </row>
    <row r="1229" hidden="1">
      <c r="A1229" t="n">
        <v>397</v>
      </c>
      <c r="B1229" t="inlineStr">
        <is>
          <t>Gestión de casos del Estudio de Grabación Virtual</t>
        </is>
      </c>
      <c r="C1229" t="inlineStr">
        <is>
          <t>Diseño de Contenido Virtual</t>
        </is>
      </c>
      <c r="D1229" t="inlineStr">
        <is>
          <t>Semestral</t>
        </is>
      </c>
      <c r="E1229" t="inlineStr">
        <is>
          <t>Positivo</t>
        </is>
      </c>
      <c r="F1229" s="108" t="n">
        <v>45107</v>
      </c>
      <c r="G1229" t="n">
        <v>2023</v>
      </c>
      <c r="H1229" t="inlineStr">
        <is>
          <t>Junio</t>
        </is>
      </c>
      <c r="I1229" t="inlineStr">
        <is>
          <t>2023-1</t>
        </is>
      </c>
      <c r="J1229" t="n">
        <v>80</v>
      </c>
      <c r="K1229" t="n">
        <v>91.071428571429</v>
      </c>
      <c r="L1229" s="39">
        <f>IFERROR(IF(OR(J1229=0,K1229=""),"",IF(E1229="Positivo",MIN(MAX(K1229/J1229,0),1.3),MIN(MAX(J1229/K1229,0),1.3))),"") </f>
        <v/>
      </c>
      <c r="M1229" s="39">
        <f>IFERROR(IF(OR(J1229=0,K1229=""),"",IF(E1229="Positivo",MAX(K1229/J1229,0),MAX(J1229/K1229,0))),"") </f>
        <v/>
      </c>
      <c r="N1229" t="inlineStr">
        <is>
          <t>%</t>
        </is>
      </c>
      <c r="O1229" t="inlineStr">
        <is>
          <t>%</t>
        </is>
      </c>
      <c r="P1229" t="n">
        <v>1</v>
      </c>
      <c r="Q1229" t="n">
        <v>1</v>
      </c>
      <c r="R1229" t="inlineStr">
        <is>
          <t>397-2023-06-30</t>
        </is>
      </c>
    </row>
    <row r="1230" hidden="1">
      <c r="A1230" t="n">
        <v>397</v>
      </c>
      <c r="B1230" t="inlineStr">
        <is>
          <t>Gestión de casos del Estudio de Grabación Virtual</t>
        </is>
      </c>
      <c r="C1230" t="inlineStr">
        <is>
          <t>Diseño de Contenido Virtual</t>
        </is>
      </c>
      <c r="D1230" t="inlineStr">
        <is>
          <t>Semestral</t>
        </is>
      </c>
      <c r="E1230" t="inlineStr">
        <is>
          <t>Positivo</t>
        </is>
      </c>
      <c r="F1230" s="108" t="n">
        <v>45291</v>
      </c>
      <c r="G1230" t="n">
        <v>2023</v>
      </c>
      <c r="H1230" t="inlineStr">
        <is>
          <t>Diciembre</t>
        </is>
      </c>
      <c r="I1230" t="inlineStr">
        <is>
          <t>2023-2</t>
        </is>
      </c>
      <c r="J1230" t="n">
        <v>80</v>
      </c>
      <c r="K1230" t="n">
        <v>92.95999999999999</v>
      </c>
      <c r="L1230" s="39">
        <f>IFERROR(IF(OR(J1230=0,K1230=""),"",IF(E1230="Positivo",MIN(MAX(K1230/J1230,0),1.3),MIN(MAX(J1230/K1230,0),1.3))),"") </f>
        <v/>
      </c>
      <c r="M1230" s="39">
        <f>IFERROR(IF(OR(J1230=0,K1230=""),"",IF(E1230="Positivo",MAX(K1230/J1230,0),MAX(J1230/K1230,0))),"") </f>
        <v/>
      </c>
      <c r="N1230" t="inlineStr">
        <is>
          <t>%</t>
        </is>
      </c>
      <c r="O1230" t="inlineStr">
        <is>
          <t>%</t>
        </is>
      </c>
      <c r="P1230" t="n">
        <v>1</v>
      </c>
      <c r="Q1230" t="n">
        <v>1</v>
      </c>
      <c r="R1230" t="inlineStr">
        <is>
          <t>397-2023-12-31</t>
        </is>
      </c>
    </row>
    <row r="1231" hidden="1">
      <c r="A1231" t="n">
        <v>397</v>
      </c>
      <c r="B1231" t="inlineStr">
        <is>
          <t>Gestión de casos del Estudio de Grabación Virtual</t>
        </is>
      </c>
      <c r="C1231" t="inlineStr">
        <is>
          <t>Diseño de Contenido Virtual</t>
        </is>
      </c>
      <c r="D1231" t="inlineStr">
        <is>
          <t>Semestral</t>
        </is>
      </c>
      <c r="E1231" t="inlineStr">
        <is>
          <t>Positivo</t>
        </is>
      </c>
      <c r="F1231" s="108" t="n">
        <v>45473</v>
      </c>
      <c r="G1231" t="n">
        <v>2024</v>
      </c>
      <c r="H1231" t="inlineStr">
        <is>
          <t>Junio</t>
        </is>
      </c>
      <c r="I1231" t="inlineStr">
        <is>
          <t>2024-1</t>
        </is>
      </c>
      <c r="J1231" t="n">
        <v>80</v>
      </c>
      <c r="K1231" t="n">
        <v>88.08</v>
      </c>
      <c r="L1231" s="39">
        <f>IFERROR(IF(OR(J1231=0,K1231=""),"",IF(E1231="Positivo",MIN(MAX(K1231/J1231,0),1.3),MIN(MAX(J1231/K1231,0),1.3))),"") </f>
        <v/>
      </c>
      <c r="M1231" s="39">
        <f>IFERROR(IF(OR(J1231=0,K1231=""),"",IF(E1231="Positivo",MAX(K1231/J1231,0),MAX(J1231/K1231,0))),"") </f>
        <v/>
      </c>
      <c r="N1231" t="inlineStr">
        <is>
          <t>%</t>
        </is>
      </c>
      <c r="O1231" t="inlineStr">
        <is>
          <t>%</t>
        </is>
      </c>
      <c r="P1231" t="n">
        <v>0</v>
      </c>
      <c r="Q1231" t="n">
        <v>0</v>
      </c>
      <c r="R1231" t="inlineStr">
        <is>
          <t>397-2024-06-30</t>
        </is>
      </c>
    </row>
    <row r="1232" hidden="1">
      <c r="A1232" t="n">
        <v>397</v>
      </c>
      <c r="B1232" t="inlineStr">
        <is>
          <t>Gestión de casos del Estudio de Grabación Virtual</t>
        </is>
      </c>
      <c r="C1232" t="inlineStr">
        <is>
          <t>Diseño de Contenido Virtual</t>
        </is>
      </c>
      <c r="D1232" t="inlineStr">
        <is>
          <t>Semestral</t>
        </is>
      </c>
      <c r="E1232" t="inlineStr">
        <is>
          <t>Positivo</t>
        </is>
      </c>
      <c r="F1232" s="108" t="n">
        <v>45657</v>
      </c>
      <c r="G1232" t="n">
        <v>2024</v>
      </c>
      <c r="H1232" t="inlineStr">
        <is>
          <t>Diciembre</t>
        </is>
      </c>
      <c r="I1232" t="inlineStr">
        <is>
          <t>2024-2</t>
        </is>
      </c>
      <c r="J1232" t="n">
        <v>80</v>
      </c>
      <c r="K1232" t="n">
        <v>94.88</v>
      </c>
      <c r="L1232" s="39">
        <f>IFERROR(IF(OR(J1232=0,K1232=""),"",IF(E1232="Positivo",MIN(MAX(K1232/J1232,0),1.3),MIN(MAX(J1232/K1232,0),1.3))),"") </f>
        <v/>
      </c>
      <c r="M1232" s="39">
        <f>IFERROR(IF(OR(J1232=0,K1232=""),"",IF(E1232="Positivo",MAX(K1232/J1232,0),MAX(J1232/K1232,0))),"") </f>
        <v/>
      </c>
      <c r="N1232" t="inlineStr">
        <is>
          <t>%</t>
        </is>
      </c>
      <c r="O1232" t="inlineStr">
        <is>
          <t>%</t>
        </is>
      </c>
      <c r="P1232" t="n">
        <v>0</v>
      </c>
      <c r="Q1232" t="n">
        <v>0</v>
      </c>
      <c r="R1232" t="inlineStr">
        <is>
          <t>397-2024-12-31</t>
        </is>
      </c>
    </row>
    <row r="1233" hidden="1">
      <c r="A1233" t="n">
        <v>397</v>
      </c>
      <c r="B1233" t="inlineStr">
        <is>
          <t>Gestión de casos del Estudio de Grabación Virtual</t>
        </is>
      </c>
      <c r="C1233" t="inlineStr">
        <is>
          <t>Diseño de Contenido Virtual</t>
        </is>
      </c>
      <c r="D1233" t="inlineStr">
        <is>
          <t>Semestral</t>
        </is>
      </c>
      <c r="E1233" t="inlineStr">
        <is>
          <t>Positivo</t>
        </is>
      </c>
      <c r="F1233" s="108" t="n">
        <v>45838</v>
      </c>
      <c r="G1233" t="n">
        <v>2025</v>
      </c>
      <c r="H1233" t="inlineStr">
        <is>
          <t>Junio</t>
        </is>
      </c>
      <c r="I1233" t="inlineStr">
        <is>
          <t>2025-1</t>
        </is>
      </c>
      <c r="J1233" t="n">
        <v>90</v>
      </c>
      <c r="K1233" t="n">
        <v>95.26000000000001</v>
      </c>
      <c r="L1233" s="39">
        <f>IFERROR(IF(OR(J1233=0,K1233=""),"",IF(E1233="Positivo",MIN(MAX(K1233/J1233,0),1.3),MIN(MAX(J1233/K1233,0),1.3))),"") </f>
        <v/>
      </c>
      <c r="M1233" s="39">
        <f>IFERROR(IF(OR(J1233=0,K1233=""),"",IF(E1233="Positivo",MAX(K1233/J1233,0),MAX(J1233/K1233,0))),"") </f>
        <v/>
      </c>
      <c r="N1233" t="inlineStr">
        <is>
          <t>%</t>
        </is>
      </c>
      <c r="O1233" t="inlineStr">
        <is>
          <t>%</t>
        </is>
      </c>
      <c r="P1233" t="n">
        <v>0</v>
      </c>
      <c r="Q1233" t="n">
        <v>0</v>
      </c>
      <c r="R1233" t="inlineStr">
        <is>
          <t>397-2025-06-30</t>
        </is>
      </c>
    </row>
    <row r="1234" hidden="1">
      <c r="A1234" t="n">
        <v>397</v>
      </c>
      <c r="B1234" t="inlineStr">
        <is>
          <t>Gestión de casos del Estudio de Grabación Virtual</t>
        </is>
      </c>
      <c r="C1234" t="inlineStr">
        <is>
          <t>Diseño de Contenido Virtual</t>
        </is>
      </c>
      <c r="D1234" t="inlineStr">
        <is>
          <t>Trimestral</t>
        </is>
      </c>
      <c r="E1234" t="inlineStr">
        <is>
          <t>Positivo</t>
        </is>
      </c>
      <c r="F1234" s="108" t="n">
        <v>46022</v>
      </c>
      <c r="G1234" t="n">
        <v>2025</v>
      </c>
      <c r="H1234" t="inlineStr">
        <is>
          <t>Diciembre</t>
        </is>
      </c>
      <c r="I1234" t="inlineStr">
        <is>
          <t>2025-2</t>
        </is>
      </c>
      <c r="J1234" t="n">
        <v>90</v>
      </c>
      <c r="K1234" t="n">
        <v>96.14</v>
      </c>
      <c r="L1234" s="39">
        <f>IFERROR(IF(OR(J1234=0,K1234=""),"",IF(E1234="Positivo",MIN(MAX(K1234/J1234,0),1.3),MIN(MAX(J1234/K1234,0),1.3))),"") </f>
        <v/>
      </c>
      <c r="M1234" s="39">
        <f>IFERROR(IF(OR(J1234=0,K1234=""),"",IF(E1234="Positivo",MAX(K1234/J1234,0),MAX(J1234/K1234,0))),"") </f>
        <v/>
      </c>
      <c r="N1234" t="inlineStr">
        <is>
          <t>%</t>
        </is>
      </c>
      <c r="O1234" t="inlineStr">
        <is>
          <t>%</t>
        </is>
      </c>
      <c r="P1234" t="n">
        <v>0</v>
      </c>
      <c r="Q1234" t="n">
        <v>1</v>
      </c>
      <c r="R1234" t="inlineStr">
        <is>
          <t>397-2025-12-31</t>
        </is>
      </c>
    </row>
    <row r="1235" hidden="1">
      <c r="A1235" t="n">
        <v>398</v>
      </c>
      <c r="B1235" t="inlineStr">
        <is>
          <t>Participación en actividades de desarrollo de Cultura y Formación Emprendedora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08" t="n">
        <v>45107</v>
      </c>
      <c r="G1235" t="n">
        <v>2023</v>
      </c>
      <c r="H1235" t="inlineStr">
        <is>
          <t>Junio</t>
        </is>
      </c>
      <c r="I1235" t="inlineStr">
        <is>
          <t>2023-1</t>
        </is>
      </c>
      <c r="J1235" t="n">
        <v>100</v>
      </c>
      <c r="K1235" t="n">
        <v>256.8</v>
      </c>
      <c r="L1235" s="39">
        <f>IFERROR(IF(OR(J1235=0,K1235=""),"",IF(E1235="Positivo",MIN(MAX(K1235/J1235,0),1.3),MIN(MAX(J1235/K1235,0),1.3))),"") </f>
        <v/>
      </c>
      <c r="M1235" s="3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398-2023-06-30</t>
        </is>
      </c>
    </row>
    <row r="1236" hidden="1">
      <c r="A1236" t="n">
        <v>398</v>
      </c>
      <c r="B1236" t="inlineStr">
        <is>
          <t>Participación en actividades de desarrollo de Cultura y Formación Emprendedora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108" t="n">
        <v>45291</v>
      </c>
      <c r="G1236" t="n">
        <v>2023</v>
      </c>
      <c r="H1236" t="inlineStr">
        <is>
          <t>Diciembre</t>
        </is>
      </c>
      <c r="I1236" t="inlineStr">
        <is>
          <t>2023-2</t>
        </is>
      </c>
      <c r="J1236" t="n">
        <v>100</v>
      </c>
      <c r="K1236" t="n">
        <v>234.4</v>
      </c>
      <c r="L1236" s="39">
        <f>IFERROR(IF(OR(J1236=0,K1236=""),"",IF(E1236="Positivo",MIN(MAX(K1236/J1236,0),1.3),MIN(MAX(J1236/K1236,0),1.3))),"") </f>
        <v/>
      </c>
      <c r="M1236" s="3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398-2023-12-31</t>
        </is>
      </c>
    </row>
    <row r="1237" hidden="1">
      <c r="A1237" t="n">
        <v>398</v>
      </c>
      <c r="B1237" t="inlineStr">
        <is>
          <t>Participación en actividades de desarrollo de Cultura y Formación Emprendedora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08" t="n">
        <v>45473</v>
      </c>
      <c r="G1237" t="n">
        <v>2024</v>
      </c>
      <c r="H1237" t="inlineStr">
        <is>
          <t>Junio</t>
        </is>
      </c>
      <c r="I1237" t="inlineStr">
        <is>
          <t>2024-1</t>
        </is>
      </c>
      <c r="J1237" t="n">
        <v>100</v>
      </c>
      <c r="K1237" t="n">
        <v>283.92</v>
      </c>
      <c r="L1237" s="39">
        <f>IFERROR(IF(OR(J1237=0,K1237=""),"",IF(E1237="Positivo",MIN(MAX(K1237/J1237,0),1.3),MIN(MAX(J1237/K1237,0),1.3))),"") </f>
        <v/>
      </c>
      <c r="M1237" s="3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398-2024-06-30</t>
        </is>
      </c>
    </row>
    <row r="1238" hidden="1">
      <c r="A1238" t="n">
        <v>398</v>
      </c>
      <c r="B1238" t="inlineStr">
        <is>
          <t>Participación en actividades de desarrollo de Cultura y Formación Emprendedora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08" t="n">
        <v>45657</v>
      </c>
      <c r="G1238" t="n">
        <v>2024</v>
      </c>
      <c r="H1238" t="inlineStr">
        <is>
          <t>Diciembre</t>
        </is>
      </c>
      <c r="I1238" t="inlineStr">
        <is>
          <t>2024-2</t>
        </is>
      </c>
      <c r="J1238" t="n">
        <v>100</v>
      </c>
      <c r="K1238" t="n">
        <v>160</v>
      </c>
      <c r="L1238" s="39">
        <f>IFERROR(IF(OR(J1238=0,K1238=""),"",IF(E1238="Positivo",MIN(MAX(K1238/J1238,0),1.3),MIN(MAX(J1238/K1238,0),1.3))),"") </f>
        <v/>
      </c>
      <c r="M1238" s="3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398-2024-12-31</t>
        </is>
      </c>
    </row>
    <row r="1239" hidden="1">
      <c r="A1239" t="n">
        <v>398</v>
      </c>
      <c r="B1239" t="inlineStr">
        <is>
          <t>Participación en actividades de desarrollo de Cultura y Formación Emprendedora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08" t="n">
        <v>45838</v>
      </c>
      <c r="G1239" t="n">
        <v>2025</v>
      </c>
      <c r="H1239" t="inlineStr">
        <is>
          <t>Junio</t>
        </is>
      </c>
      <c r="I1239" t="inlineStr">
        <is>
          <t>2025-1</t>
        </is>
      </c>
      <c r="J1239" t="n">
        <v>100</v>
      </c>
      <c r="K1239" t="n">
        <v>159.5</v>
      </c>
      <c r="L1239" s="39">
        <f>IFERROR(IF(OR(J1239=0,K1239=""),"",IF(E1239="Positivo",MIN(MAX(K1239/J1239,0),1.3),MIN(MAX(J1239/K1239,0),1.3))),"") </f>
        <v/>
      </c>
      <c r="M1239" s="3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398-2025-06-30</t>
        </is>
      </c>
    </row>
    <row r="1240" hidden="1">
      <c r="A1240" t="n">
        <v>398</v>
      </c>
      <c r="B1240" t="inlineStr">
        <is>
          <t>Participación en actividades de desarrollo de Cultura y Formación Emprendedora</t>
        </is>
      </c>
      <c r="C1240" t="inlineStr">
        <is>
          <t>Emprendimiento</t>
        </is>
      </c>
      <c r="D1240" t="inlineStr">
        <is>
          <t>Trimestral</t>
        </is>
      </c>
      <c r="E1240" t="inlineStr">
        <is>
          <t>Positivo</t>
        </is>
      </c>
      <c r="F1240" s="108" t="n">
        <v>46022</v>
      </c>
      <c r="G1240" t="n">
        <v>2025</v>
      </c>
      <c r="H1240" t="inlineStr">
        <is>
          <t>Diciembre</t>
        </is>
      </c>
      <c r="I1240" t="inlineStr">
        <is>
          <t>2025-2</t>
        </is>
      </c>
      <c r="J1240" t="n">
        <v>100</v>
      </c>
      <c r="K1240" t="n">
        <v>168.71</v>
      </c>
      <c r="L1240" s="39">
        <f>IFERROR(IF(OR(J1240=0,K1240=""),"",IF(E1240="Positivo",MIN(MAX(K1240/J1240,0),1.3),MIN(MAX(J1240/K1240,0),1.3))),"") </f>
        <v/>
      </c>
      <c r="M1240" s="3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398-2025-12-31</t>
        </is>
      </c>
    </row>
    <row r="1241" hidden="1">
      <c r="A1241" t="n">
        <v>399</v>
      </c>
      <c r="B1241" t="inlineStr">
        <is>
          <t>Acompañamiento a emprendedores en creación de empresas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08" t="n">
        <v>45107</v>
      </c>
      <c r="G1241" t="n">
        <v>2023</v>
      </c>
      <c r="H1241" t="inlineStr">
        <is>
          <t>Junio</t>
        </is>
      </c>
      <c r="I1241" t="inlineStr">
        <is>
          <t>2023-1</t>
        </is>
      </c>
      <c r="J1241" t="n">
        <v>100</v>
      </c>
      <c r="K1241" t="n">
        <v>117.8</v>
      </c>
      <c r="L1241" s="39">
        <f>IFERROR(IF(OR(J1241=0,K1241=""),"",IF(E1241="Positivo",MIN(MAX(K1241/J1241,0),1.3),MIN(MAX(J1241/K1241,0),1.3))),"") </f>
        <v/>
      </c>
      <c r="M1241" s="3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399-2023-06-30</t>
        </is>
      </c>
    </row>
    <row r="1242" hidden="1">
      <c r="A1242" t="n">
        <v>399</v>
      </c>
      <c r="B1242" t="inlineStr">
        <is>
          <t>Acompañamiento a emprendedores en creación de empresas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108" t="n">
        <v>45291</v>
      </c>
      <c r="G1242" t="n">
        <v>2023</v>
      </c>
      <c r="H1242" t="inlineStr">
        <is>
          <t>Diciembre</t>
        </is>
      </c>
      <c r="I1242" t="inlineStr">
        <is>
          <t>2023-2</t>
        </is>
      </c>
      <c r="J1242" t="n">
        <v>100</v>
      </c>
      <c r="K1242" t="n">
        <v>149</v>
      </c>
      <c r="L1242" s="39">
        <f>IFERROR(IF(OR(J1242=0,K1242=""),"",IF(E1242="Positivo",MIN(MAX(K1242/J1242,0),1.3),MIN(MAX(J1242/K1242,0),1.3))),"") </f>
        <v/>
      </c>
      <c r="M1242" s="3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399-2023-12-31</t>
        </is>
      </c>
    </row>
    <row r="1243" hidden="1">
      <c r="A1243" t="n">
        <v>399</v>
      </c>
      <c r="B1243" t="inlineStr">
        <is>
          <t>Sesiones de Acompañamiento a emprendedores en creación de empresas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08" t="n">
        <v>45473</v>
      </c>
      <c r="G1243" t="n">
        <v>2024</v>
      </c>
      <c r="H1243" t="inlineStr">
        <is>
          <t>Junio</t>
        </is>
      </c>
      <c r="I1243" t="inlineStr">
        <is>
          <t>2024-1</t>
        </is>
      </c>
      <c r="J1243" t="n">
        <v>100</v>
      </c>
      <c r="K1243" t="n">
        <v>111.36</v>
      </c>
      <c r="L1243" s="39">
        <f>IFERROR(IF(OR(J1243=0,K1243=""),"",IF(E1243="Positivo",MIN(MAX(K1243/J1243,0),1.3),MIN(MAX(J1243/K1243,0),1.3))),"") </f>
        <v/>
      </c>
      <c r="M1243" s="3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399-2024-06-30</t>
        </is>
      </c>
    </row>
    <row r="1244" hidden="1">
      <c r="A1244" t="n">
        <v>399</v>
      </c>
      <c r="B1244" t="inlineStr">
        <is>
          <t>Sesiones de 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08" t="n">
        <v>45657</v>
      </c>
      <c r="G1244" t="n">
        <v>2024</v>
      </c>
      <c r="H1244" t="inlineStr">
        <is>
          <t>Diciembre</t>
        </is>
      </c>
      <c r="I1244" t="inlineStr">
        <is>
          <t>2024-2</t>
        </is>
      </c>
      <c r="J1244" t="n">
        <v>100</v>
      </c>
      <c r="K1244" t="n">
        <v>111.36</v>
      </c>
      <c r="L1244" s="39">
        <f>IFERROR(IF(OR(J1244=0,K1244=""),"",IF(E1244="Positivo",MIN(MAX(K1244/J1244,0),1.3),MIN(MAX(J1244/K1244,0),1.3))),"") </f>
        <v/>
      </c>
      <c r="M1244" s="3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399-2024-12-31</t>
        </is>
      </c>
    </row>
    <row r="1245" hidden="1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08" t="n">
        <v>45838</v>
      </c>
      <c r="G1245" t="n">
        <v>2025</v>
      </c>
      <c r="H1245" t="inlineStr">
        <is>
          <t>Junio</t>
        </is>
      </c>
      <c r="I1245" t="inlineStr">
        <is>
          <t>2025-1</t>
        </is>
      </c>
      <c r="J1245" t="n">
        <v>100</v>
      </c>
      <c r="K1245" t="n">
        <v>102.93</v>
      </c>
      <c r="L1245" s="39">
        <f>IFERROR(IF(OR(J1245=0,K1245=""),"",IF(E1245="Positivo",MIN(MAX(K1245/J1245,0),1.3),MIN(MAX(J1245/K1245,0),1.3))),"") </f>
        <v/>
      </c>
      <c r="M1245" s="3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399-2025-06-30</t>
        </is>
      </c>
    </row>
    <row r="1246" hidden="1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Trimestral</t>
        </is>
      </c>
      <c r="E1246" t="inlineStr">
        <is>
          <t>Positivo</t>
        </is>
      </c>
      <c r="F1246" s="108" t="n">
        <v>46022</v>
      </c>
      <c r="G1246" t="n">
        <v>2025</v>
      </c>
      <c r="H1246" t="inlineStr">
        <is>
          <t>Diciembre</t>
        </is>
      </c>
      <c r="I1246" t="inlineStr">
        <is>
          <t>2025-2</t>
        </is>
      </c>
      <c r="J1246" t="n">
        <v>100</v>
      </c>
      <c r="K1246" t="n">
        <v>106.13</v>
      </c>
      <c r="L1246" s="39">
        <f>IFERROR(IF(OR(J1246=0,K1246=""),"",IF(E1246="Positivo",MIN(MAX(K1246/J1246,0),1.3),MIN(MAX(J1246/K1246,0),1.3))),"") </f>
        <v/>
      </c>
      <c r="M1246" s="3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399-2025-12-31</t>
        </is>
      </c>
    </row>
    <row r="1247" hidden="1">
      <c r="A1247" t="n">
        <v>400</v>
      </c>
      <c r="B1247" t="inlineStr">
        <is>
          <t>Puesta en marcha de proyectos de emprendimiento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08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100</v>
      </c>
      <c r="K1247" t="n">
        <v>220</v>
      </c>
      <c r="L1247" s="39">
        <f>IFERROR(IF(OR(J1247=0,K1247=""),"",IF(E1247="Positivo",MIN(MAX(K1247/J1247,0),1.3),MIN(MAX(J1247/K1247,0),1.3))),"") </f>
        <v/>
      </c>
      <c r="M1247" s="3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400-2023-06-30</t>
        </is>
      </c>
    </row>
    <row r="1248" hidden="1">
      <c r="A1248" t="n">
        <v>400</v>
      </c>
      <c r="B1248" t="inlineStr">
        <is>
          <t>Puesta en marcha de proyectos de emprendimiento</t>
        </is>
      </c>
      <c r="C1248" t="inlineStr">
        <is>
          <t>Emprendimiento</t>
        </is>
      </c>
      <c r="D1248" t="inlineStr">
        <is>
          <t>Semestral</t>
        </is>
      </c>
      <c r="E1248" t="inlineStr">
        <is>
          <t>Positivo</t>
        </is>
      </c>
      <c r="F1248" s="108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100</v>
      </c>
      <c r="K1248" t="n">
        <v>282.86</v>
      </c>
      <c r="L1248" s="39">
        <f>IFERROR(IF(OR(J1248=0,K1248=""),"",IF(E1248="Positivo",MIN(MAX(K1248/J1248,0),1.3),MIN(MAX(J1248/K1248,0),1.3))),"") </f>
        <v/>
      </c>
      <c r="M1248" s="3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400-2023-12-31</t>
        </is>
      </c>
    </row>
    <row r="1249" hidden="1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08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100</v>
      </c>
      <c r="K1249" t="n">
        <v>270.45</v>
      </c>
      <c r="L1249" s="39">
        <f>IFERROR(IF(OR(J1249=0,K1249=""),"",IF(E1249="Positivo",MIN(MAX(K1249/J1249,0),1.3),MIN(MAX(J1249/K1249,0),1.3))),"") </f>
        <v/>
      </c>
      <c r="M1249" s="39">
        <f>IFERROR(IF(OR(J1249=0,K1249=""),"",IF(E1249="Positivo",MAX(K1249/J1249,0),MAX(J1249/K1249,0))),"") </f>
        <v/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400-2024-06-30</t>
        </is>
      </c>
    </row>
    <row r="1250" hidden="1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08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100</v>
      </c>
      <c r="K1250" t="n">
        <v>397.73</v>
      </c>
      <c r="L1250" s="39">
        <f>IFERROR(IF(OR(J1250=0,K1250=""),"",IF(E1250="Positivo",MIN(MAX(K1250/J1250,0),1.3),MIN(MAX(J1250/K1250,0),1.3))),"") </f>
        <v/>
      </c>
      <c r="M1250" s="39">
        <f>IFERROR(IF(OR(J1250=0,K1250=""),"",IF(E1250="Positivo",MAX(K1250/J1250,0),MAX(J1250/K1250,0))),"") </f>
        <v/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400-2024-12-31</t>
        </is>
      </c>
    </row>
    <row r="1251" hidden="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08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100</v>
      </c>
      <c r="K1251" t="n">
        <v>123</v>
      </c>
      <c r="L1251" s="39">
        <f>IFERROR(IF(OR(J1251=0,K1251=""),"",IF(E1251="Positivo",MIN(MAX(K1251/J1251,0),1.3),MIN(MAX(J1251/K1251,0),1.3))),"") </f>
        <v/>
      </c>
      <c r="M1251" s="39">
        <f>IFERROR(IF(OR(J1251=0,K1251=""),"",IF(E1251="Positivo",MAX(K1251/J1251,0),MAX(J1251/K1251,0))),"") </f>
        <v/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400-2025-06-30</t>
        </is>
      </c>
    </row>
    <row r="1252" hidden="1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Trimestral</t>
        </is>
      </c>
      <c r="E1252" t="inlineStr">
        <is>
          <t>Positivo</t>
        </is>
      </c>
      <c r="F1252" s="108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100</v>
      </c>
      <c r="K1252" t="n">
        <v>127.14</v>
      </c>
      <c r="L1252" s="39">
        <f>IFERROR(IF(OR(J1252=0,K1252=""),"",IF(E1252="Positivo",MIN(MAX(K1252/J1252,0),1.3),MIN(MAX(J1252/K1252,0),1.3))),"") </f>
        <v/>
      </c>
      <c r="M1252" s="39">
        <f>IFERROR(IF(OR(J1252=0,K1252=""),"",IF(E1252="Positivo",MAX(K1252/J1252,0),MAX(J1252/K1252,0))),"") </f>
        <v/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400-2025-12-31</t>
        </is>
      </c>
    </row>
    <row r="1253" hidden="1">
      <c r="A1253" t="n">
        <v>401</v>
      </c>
      <c r="B1253" t="inlineStr">
        <is>
          <t>Producción de nuevos MI-Books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08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90</v>
      </c>
      <c r="K1253" t="n">
        <v>87.5</v>
      </c>
      <c r="L1253" s="39">
        <f>IFERROR(IF(OR(J1253=0,K1253=""),"",IF(E1253="Positivo",MIN(MAX(K1253/J1253,0),1.3),MIN(MAX(J1253/K1253,0),1.3))),"") </f>
        <v/>
      </c>
      <c r="M1253" s="39">
        <f>IFERROR(IF(OR(J1253=0,K1253=""),"",IF(E1253="Positivo",MAX(K1253/J1253,0),MAX(J1253/K1253,0))),"") </f>
        <v/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401-2023-06-30</t>
        </is>
      </c>
    </row>
    <row r="1254" hidden="1">
      <c r="A1254" t="n">
        <v>401</v>
      </c>
      <c r="B1254" t="inlineStr">
        <is>
          <t>Producción de nuevos MI-Books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08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90</v>
      </c>
      <c r="K1254" t="n">
        <v>125</v>
      </c>
      <c r="L1254" s="39">
        <f>IFERROR(IF(OR(J1254=0,K1254=""),"",IF(E1254="Positivo",MIN(MAX(K1254/J1254,0),1.3),MIN(MAX(J1254/K1254,0),1.3))),"") </f>
        <v/>
      </c>
      <c r="M1254" s="39">
        <f>IFERROR(IF(OR(J1254=0,K1254=""),"",IF(E1254="Positivo",MAX(K1254/J1254,0),MAX(J1254/K1254,0))),"") </f>
        <v/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401-2023-12-31</t>
        </is>
      </c>
    </row>
    <row r="1255" hidden="1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08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90</v>
      </c>
      <c r="K1255" t="n">
        <v>112.5</v>
      </c>
      <c r="L1255" s="39">
        <f>IFERROR(IF(OR(J1255=0,K1255=""),"",IF(E1255="Positivo",MIN(MAX(K1255/J1255,0),1.3),MIN(MAX(J1255/K1255,0),1.3))),"") </f>
        <v/>
      </c>
      <c r="M1255" s="39">
        <f>IFERROR(IF(OR(J1255=0,K1255=""),"",IF(E1255="Positivo",MAX(K1255/J1255,0),MAX(J1255/K1255,0))),"") </f>
        <v/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401-2024-06-30</t>
        </is>
      </c>
    </row>
    <row r="1256" hidden="1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08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90</v>
      </c>
      <c r="K1256" t="n">
        <v>100</v>
      </c>
      <c r="L1256" s="39">
        <f>IFERROR(IF(OR(J1256=0,K1256=""),"",IF(E1256="Positivo",MIN(MAX(K1256/J1256,0),1.3),MIN(MAX(J1256/K1256,0),1.3))),"") </f>
        <v/>
      </c>
      <c r="M1256" s="39">
        <f>IFERROR(IF(OR(J1256=0,K1256=""),"",IF(E1256="Positivo",MAX(K1256/J1256,0),MAX(J1256/K1256,0))),"") </f>
        <v/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401-2024-12-31</t>
        </is>
      </c>
    </row>
    <row r="1257" hidden="1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08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100</v>
      </c>
      <c r="L1257" s="39">
        <f>IFERROR(IF(OR(J1257=0,K1257=""),"",IF(E1257="Positivo",MIN(MAX(K1257/J1257,0),1.3),MIN(MAX(J1257/K1257,0),1.3))),"") </f>
        <v/>
      </c>
      <c r="M1257" s="39">
        <f>IFERROR(IF(OR(J1257=0,K1257=""),"",IF(E1257="Positivo",MAX(K1257/J1257,0),MAX(J1257/K1257,0))),"") </f>
        <v/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401-2025-06-30</t>
        </is>
      </c>
    </row>
    <row r="1258" hidden="1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Trimestral</t>
        </is>
      </c>
      <c r="E1258" t="inlineStr">
        <is>
          <t>Positivo</t>
        </is>
      </c>
      <c r="F1258" s="108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100</v>
      </c>
      <c r="L1258" s="39">
        <f>IFERROR(IF(OR(J1258=0,K1258=""),"",IF(E1258="Positivo",MIN(MAX(K1258/J1258,0),1.3),MIN(MAX(J1258/K1258,0),1.3))),"") </f>
        <v/>
      </c>
      <c r="M1258" s="39">
        <f>IFERROR(IF(OR(J1258=0,K1258=""),"",IF(E1258="Positivo",MAX(K1258/J1258,0),MAX(J1258/K1258,0))),"") </f>
        <v/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401-2025-12-31</t>
        </is>
      </c>
    </row>
    <row r="1259" hidden="1">
      <c r="A1259" t="n">
        <v>402</v>
      </c>
      <c r="B1259" t="inlineStr">
        <is>
          <t>Informe anual de consulta de MI-Books</t>
        </is>
      </c>
      <c r="C1259" t="inlineStr">
        <is>
          <t>LEI</t>
        </is>
      </c>
      <c r="D1259" t="inlineStr">
        <is>
          <t>Anual</t>
        </is>
      </c>
      <c r="E1259" t="inlineStr">
        <is>
          <t>Positivo</t>
        </is>
      </c>
      <c r="F1259" s="108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K1259" t="n">
        <v>21000</v>
      </c>
      <c r="L1259" s="39" t="n"/>
      <c r="M1259" s="39" t="n"/>
      <c r="P1259" t="n">
        <v>0</v>
      </c>
      <c r="Q1259" t="n">
        <v>0</v>
      </c>
      <c r="R1259" t="inlineStr">
        <is>
          <t>402-2023-12-31</t>
        </is>
      </c>
    </row>
    <row r="1260" hidden="1">
      <c r="A1260" t="n">
        <v>402</v>
      </c>
      <c r="B1260" t="inlineStr">
        <is>
          <t>Informe anual de consulta de MI-Books</t>
        </is>
      </c>
      <c r="C1260" t="inlineStr">
        <is>
          <t>LEI</t>
        </is>
      </c>
      <c r="D1260" t="inlineStr">
        <is>
          <t>Anual</t>
        </is>
      </c>
      <c r="E1260" t="inlineStr">
        <is>
          <t>Positivo</t>
        </is>
      </c>
      <c r="F1260" s="108" t="n">
        <v>45657</v>
      </c>
      <c r="G1260" t="n">
        <v>2024</v>
      </c>
      <c r="H1260" t="inlineStr">
        <is>
          <t>Diciembre</t>
        </is>
      </c>
      <c r="I1260" t="inlineStr">
        <is>
          <t>2024-2</t>
        </is>
      </c>
      <c r="J1260" t="n">
        <v>3</v>
      </c>
      <c r="K1260" t="n">
        <v>4.76</v>
      </c>
      <c r="L1260" s="39">
        <f>IFERROR(IF(OR(J1260=0,K1260=""),"",IF(E1260="Positivo",MIN(MAX(K1260/J1260,0),1.3),MIN(MAX(J1260/K1260,0),1.3))),"") </f>
        <v/>
      </c>
      <c r="M1260" s="39">
        <f>IFERROR(IF(OR(J1260=0,K1260=""),"",IF(E1260="Positivo",MAX(K1260/J1260,0),MAX(J1260/K1260,0))),"") </f>
        <v/>
      </c>
      <c r="P1260" t="n">
        <v>0</v>
      </c>
      <c r="Q1260" t="n">
        <v>0</v>
      </c>
      <c r="R1260" t="inlineStr">
        <is>
          <t>402-2024-12-31</t>
        </is>
      </c>
    </row>
    <row r="1261" hidden="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08" t="n">
        <v>46022</v>
      </c>
      <c r="G1261" t="n">
        <v>2025</v>
      </c>
      <c r="H1261" t="inlineStr">
        <is>
          <t>Diciembre</t>
        </is>
      </c>
      <c r="I1261" t="inlineStr">
        <is>
          <t>2025-2</t>
        </is>
      </c>
      <c r="K1261" t="n">
        <v>22.73</v>
      </c>
      <c r="L1261" s="39" t="n"/>
      <c r="M1261" s="39" t="n"/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402-2025-12-31</t>
        </is>
      </c>
    </row>
    <row r="1262" hidden="1">
      <c r="A1262" t="n">
        <v>403</v>
      </c>
      <c r="B1262" t="inlineStr">
        <is>
          <t>Número de estudiantes que ha realizado la simulación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08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K1262" t="n">
        <v>14370</v>
      </c>
      <c r="L1262" s="39" t="n"/>
      <c r="M1262" s="39" t="n"/>
      <c r="N1262" t="inlineStr">
        <is>
          <t>Metrica</t>
        </is>
      </c>
      <c r="P1262" t="n">
        <v>0</v>
      </c>
      <c r="Q1262" t="n">
        <v>0</v>
      </c>
      <c r="R1262" t="inlineStr">
        <is>
          <t>403-2023-06-30</t>
        </is>
      </c>
    </row>
    <row r="1263" hidden="1">
      <c r="A1263" t="n">
        <v>403</v>
      </c>
      <c r="B1263" t="inlineStr">
        <is>
          <t>Número de estudiantes que ha realizado la simulación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08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K1263" t="n">
        <v>28639</v>
      </c>
      <c r="L1263" s="39" t="n"/>
      <c r="M1263" s="39" t="n"/>
      <c r="N1263" t="inlineStr">
        <is>
          <t>Metrica</t>
        </is>
      </c>
      <c r="P1263" t="n">
        <v>0</v>
      </c>
      <c r="Q1263" t="n">
        <v>0</v>
      </c>
      <c r="R1263" t="inlineStr">
        <is>
          <t>403-2023-12-31</t>
        </is>
      </c>
    </row>
    <row r="1264" hidden="1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08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K1264" t="n">
        <v>14923</v>
      </c>
      <c r="L1264" s="39" t="n"/>
      <c r="M1264" s="39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403-2024-06-30</t>
        </is>
      </c>
    </row>
    <row r="1265" hidden="1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08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K1265" t="n">
        <v>14495</v>
      </c>
      <c r="L1265" s="39" t="n"/>
      <c r="M1265" s="39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403-2024-12-31</t>
        </is>
      </c>
    </row>
    <row r="1266" hidden="1">
      <c r="A1266" t="n">
        <v>403</v>
      </c>
      <c r="B1266" t="inlineStr">
        <is>
          <t>Número de estudiantes que ha realizado la simulación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08" t="n">
        <v>45838</v>
      </c>
      <c r="G1266" t="n">
        <v>2025</v>
      </c>
      <c r="H1266" t="inlineStr">
        <is>
          <t>Junio</t>
        </is>
      </c>
      <c r="I1266" t="inlineStr">
        <is>
          <t>2025-1</t>
        </is>
      </c>
      <c r="K1266" t="n">
        <v>14410</v>
      </c>
      <c r="L1266" s="39" t="n"/>
      <c r="M1266" s="39" t="n"/>
      <c r="N1266" t="inlineStr">
        <is>
          <t>Metrica</t>
        </is>
      </c>
      <c r="P1266" t="n">
        <v>0</v>
      </c>
      <c r="Q1266" t="n">
        <v>0</v>
      </c>
      <c r="R1266" t="inlineStr">
        <is>
          <t>403-2025-06-30</t>
        </is>
      </c>
    </row>
    <row r="1267" hidden="1">
      <c r="A1267" t="n">
        <v>403</v>
      </c>
      <c r="B1267" t="inlineStr">
        <is>
          <t>Número de estudiantes que ha realizado la simulación (Metrica)</t>
        </is>
      </c>
      <c r="C1267" t="inlineStr">
        <is>
          <t>LEI</t>
        </is>
      </c>
      <c r="D1267" t="inlineStr">
        <is>
          <t>Trimestral</t>
        </is>
      </c>
      <c r="E1267" t="inlineStr">
        <is>
          <t>Positivo</t>
        </is>
      </c>
      <c r="F1267" s="108" t="n">
        <v>46022</v>
      </c>
      <c r="G1267" t="n">
        <v>2025</v>
      </c>
      <c r="H1267" t="inlineStr">
        <is>
          <t>Diciembre</t>
        </is>
      </c>
      <c r="I1267" t="inlineStr">
        <is>
          <t>2025-2</t>
        </is>
      </c>
      <c r="K1267" t="n">
        <v>12510</v>
      </c>
      <c r="L1267" s="39" t="n"/>
      <c r="M1267" s="39" t="n"/>
      <c r="N1267" t="inlineStr">
        <is>
          <t>Metrica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403-2025-12-31</t>
        </is>
      </c>
      <c r="S1267" t="inlineStr">
        <is>
          <t>Metrica</t>
        </is>
      </c>
    </row>
    <row r="1268" hidden="1">
      <c r="A1268" t="n">
        <v>404</v>
      </c>
      <c r="B1268" t="inlineStr">
        <is>
          <t>Casos presentados y solucionados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Negativo</t>
        </is>
      </c>
      <c r="F1268" s="108" t="n">
        <v>45107</v>
      </c>
      <c r="G1268" t="n">
        <v>2023</v>
      </c>
      <c r="H1268" t="inlineStr">
        <is>
          <t>Junio</t>
        </is>
      </c>
      <c r="I1268" t="inlineStr">
        <is>
          <t>2023-1</t>
        </is>
      </c>
      <c r="J1268" t="n">
        <v>20</v>
      </c>
      <c r="K1268" t="n">
        <v>2</v>
      </c>
      <c r="L1268" s="39">
        <f>IFERROR(IF(OR(J1268=0,K1268=""),"",IF(E1268="Positivo",MIN(MAX(K1268/J1268,0),1.3),MIN(MAX(J1268/K1268,0),1.3))),"") </f>
        <v/>
      </c>
      <c r="M1268" s="39">
        <f>IFERROR(IF(OR(J1268=0,K1268=""),"",IF(E1268="Positivo",MAX(K1268/J1268,0),MAX(J1268/K1268,0))),"") </f>
        <v/>
      </c>
      <c r="N1268" t="inlineStr">
        <is>
          <t>%</t>
        </is>
      </c>
      <c r="O1268" t="inlineStr">
        <is>
          <t>%</t>
        </is>
      </c>
      <c r="P1268" t="n">
        <v>0</v>
      </c>
      <c r="Q1268" t="n">
        <v>0</v>
      </c>
      <c r="R1268" t="inlineStr">
        <is>
          <t>404-2023-06-30</t>
        </is>
      </c>
    </row>
    <row r="1269" hidden="1">
      <c r="A1269" t="n">
        <v>404</v>
      </c>
      <c r="B1269" t="inlineStr">
        <is>
          <t>Casos presentados y solucionados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Negativo</t>
        </is>
      </c>
      <c r="F1269" s="108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20</v>
      </c>
      <c r="K1269" t="n">
        <v>1.31</v>
      </c>
      <c r="L1269" s="39">
        <f>IFERROR(IF(OR(J1269=0,K1269=""),"",IF(E1269="Positivo",MIN(MAX(K1269/J1269,0),1.3),MIN(MAX(J1269/K1269,0),1.3))),"") </f>
        <v/>
      </c>
      <c r="M1269" s="39">
        <f>IFERROR(IF(OR(J1269=0,K1269=""),"",IF(E1269="Positivo",MAX(K1269/J1269,0),MAX(J1269/K1269,0))),"") </f>
        <v/>
      </c>
      <c r="N1269" t="inlineStr">
        <is>
          <t>%</t>
        </is>
      </c>
      <c r="O1269" t="inlineStr">
        <is>
          <t>%</t>
        </is>
      </c>
      <c r="P1269" t="n">
        <v>0</v>
      </c>
      <c r="Q1269" t="n">
        <v>0</v>
      </c>
      <c r="R1269" t="inlineStr">
        <is>
          <t>404-2023-12-31</t>
        </is>
      </c>
    </row>
    <row r="1270" hidden="1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08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J1270" t="n">
        <v>10</v>
      </c>
      <c r="K1270" t="n">
        <v>5.85</v>
      </c>
      <c r="L1270" s="39">
        <f>IFERROR(IF(OR(J1270=0,K1270=""),"",IF(E1270="Positivo",MIN(MAX(K1270/J1270,0),1.3),MIN(MAX(J1270/K1270,0),1.3))),"") </f>
        <v/>
      </c>
      <c r="M1270" s="39">
        <f>IFERROR(IF(OR(J1270=0,K1270=""),"",IF(E1270="Positivo",MAX(K1270/J1270,0),MAX(J1270/K1270,0))),"") </f>
        <v/>
      </c>
      <c r="P1270" t="n">
        <v>0</v>
      </c>
      <c r="Q1270" t="n">
        <v>0</v>
      </c>
      <c r="R1270" t="inlineStr">
        <is>
          <t>404-2024-06-30</t>
        </is>
      </c>
    </row>
    <row r="1271" hidden="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08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</v>
      </c>
      <c r="K1271" t="n">
        <v>6.02</v>
      </c>
      <c r="L1271" s="39">
        <f>IFERROR(IF(OR(J1271=0,K1271=""),"",IF(E1271="Positivo",MIN(MAX(K1271/J1271,0),1.3),MIN(MAX(J1271/K1271,0),1.3))),"") </f>
        <v/>
      </c>
      <c r="M1271" s="39">
        <f>IFERROR(IF(OR(J1271=0,K1271=""),"",IF(E1271="Positivo",MAX(K1271/J1271,0),MAX(J1271/K1271,0))),"") </f>
        <v/>
      </c>
      <c r="P1271" t="n">
        <v>0</v>
      </c>
      <c r="Q1271" t="n">
        <v>0</v>
      </c>
      <c r="R1271" t="inlineStr">
        <is>
          <t>404-2024-12-31</t>
        </is>
      </c>
    </row>
    <row r="1272" hidden="1">
      <c r="A1272" t="n">
        <v>405</v>
      </c>
      <c r="B1272" t="inlineStr">
        <is>
          <t>Proyecto de reingenieria y arquitectura de software LEI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08" t="n">
        <v>45107</v>
      </c>
      <c r="G1272" t="n">
        <v>2023</v>
      </c>
      <c r="H1272" t="inlineStr">
        <is>
          <t>Junio</t>
        </is>
      </c>
      <c r="I1272" t="inlineStr">
        <is>
          <t>2023-1</t>
        </is>
      </c>
      <c r="J1272" t="n">
        <v>25</v>
      </c>
      <c r="K1272" t="n">
        <v>30</v>
      </c>
      <c r="L1272" s="39">
        <f>IFERROR(IF(OR(J1272=0,K1272=""),"",IF(E1272="Positivo",MIN(MAX(K1272/J1272,0),1.3),MIN(MAX(J1272/K1272,0),1.3))),"") </f>
        <v/>
      </c>
      <c r="M1272" s="39">
        <f>IFERROR(IF(OR(J1272=0,K1272=""),"",IF(E1272="Positivo",MAX(K1272/J1272,0),MAX(J1272/K1272,0))),"") </f>
        <v/>
      </c>
      <c r="N1272" t="inlineStr">
        <is>
          <t>%</t>
        </is>
      </c>
      <c r="O1272" t="inlineStr">
        <is>
          <t>%</t>
        </is>
      </c>
      <c r="P1272" t="n">
        <v>0</v>
      </c>
      <c r="Q1272" t="n">
        <v>0</v>
      </c>
      <c r="R1272" t="inlineStr">
        <is>
          <t>405-2023-06-30</t>
        </is>
      </c>
    </row>
    <row r="1273" hidden="1">
      <c r="A1273" t="n">
        <v>405</v>
      </c>
      <c r="B1273" t="inlineStr">
        <is>
          <t>Proyecto de reingenieria y arquitectura de software LEI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08" t="n">
        <v>45291</v>
      </c>
      <c r="G1273" t="n">
        <v>2023</v>
      </c>
      <c r="H1273" t="inlineStr">
        <is>
          <t>Diciembre</t>
        </is>
      </c>
      <c r="I1273" t="inlineStr">
        <is>
          <t>2023-2</t>
        </is>
      </c>
      <c r="J1273" t="n">
        <v>50</v>
      </c>
      <c r="K1273" t="n">
        <v>62</v>
      </c>
      <c r="L1273" s="39">
        <f>IFERROR(IF(OR(J1273=0,K1273=""),"",IF(E1273="Positivo",MIN(MAX(K1273/J1273,0),1.3),MIN(MAX(J1273/K1273,0),1.3))),"") </f>
        <v/>
      </c>
      <c r="M1273" s="39">
        <f>IFERROR(IF(OR(J1273=0,K1273=""),"",IF(E1273="Positivo",MAX(K1273/J1273,0),MAX(J1273/K1273,0))),"") </f>
        <v/>
      </c>
      <c r="N1273" t="inlineStr">
        <is>
          <t>%</t>
        </is>
      </c>
      <c r="O1273" t="inlineStr">
        <is>
          <t>%</t>
        </is>
      </c>
      <c r="P1273" t="n">
        <v>0</v>
      </c>
      <c r="Q1273" t="n">
        <v>0</v>
      </c>
      <c r="R1273" t="inlineStr">
        <is>
          <t>405-2023-12-31</t>
        </is>
      </c>
    </row>
    <row r="1274" hidden="1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08" t="n">
        <v>45473</v>
      </c>
      <c r="G1274" t="n">
        <v>2024</v>
      </c>
      <c r="H1274" t="inlineStr">
        <is>
          <t>Junio</t>
        </is>
      </c>
      <c r="I1274" t="inlineStr">
        <is>
          <t>2024-1</t>
        </is>
      </c>
      <c r="J1274" t="n">
        <v>100</v>
      </c>
      <c r="K1274" t="n">
        <v>97.39</v>
      </c>
      <c r="L1274" s="39">
        <f>IFERROR(IF(OR(J1274=0,K1274=""),"",IF(E1274="Positivo",MIN(MAX(K1274/J1274,0),1.3),MIN(MAX(J1274/K1274,0),1.3))),"") </f>
        <v/>
      </c>
      <c r="M1274" s="39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405-2024-06-30</t>
        </is>
      </c>
    </row>
    <row r="1275" hidden="1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08" t="n">
        <v>45657</v>
      </c>
      <c r="G1275" t="n">
        <v>2024</v>
      </c>
      <c r="H1275" t="inlineStr">
        <is>
          <t>Diciembre</t>
        </is>
      </c>
      <c r="I1275" t="inlineStr">
        <is>
          <t>2024-2</t>
        </is>
      </c>
      <c r="J1275" t="n">
        <v>100</v>
      </c>
      <c r="K1275" t="n">
        <v>98</v>
      </c>
      <c r="L1275" s="39">
        <f>IFERROR(IF(OR(J1275=0,K1275=""),"",IF(E1275="Positivo",MIN(MAX(K1275/J1275,0),1.3),MIN(MAX(J1275/K1275,0),1.3))),"") </f>
        <v/>
      </c>
      <c r="M1275" s="39">
        <f>IFERROR(IF(OR(J1275=0,K1275=""),"",IF(E1275="Positivo",MAX(K1275/J1275,0),MAX(J1275/K1275,0))),"") </f>
        <v/>
      </c>
      <c r="P1275" t="n">
        <v>0</v>
      </c>
      <c r="Q1275" t="n">
        <v>0</v>
      </c>
      <c r="R1275" t="inlineStr">
        <is>
          <t>405-2024-12-31</t>
        </is>
      </c>
    </row>
    <row r="1276" hidden="1">
      <c r="A1276" t="n">
        <v>406</v>
      </c>
      <c r="B1276" t="inlineStr">
        <is>
          <t>Programas con condiciones iniciales aprobadas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108" t="n">
        <v>45291</v>
      </c>
      <c r="G1276" t="n">
        <v>2023</v>
      </c>
      <c r="H1276" t="inlineStr">
        <is>
          <t>Diciembre</t>
        </is>
      </c>
      <c r="I1276" t="inlineStr">
        <is>
          <t>2023-2</t>
        </is>
      </c>
      <c r="J1276" t="n">
        <v>5</v>
      </c>
      <c r="K1276" t="n">
        <v>5</v>
      </c>
      <c r="L1276" s="39">
        <f>IFERROR(IF(OR(J1276=0,K1276=""),"",IF(E1276="Positivo",MIN(MAX(K1276/J1276,0),1.3),MIN(MAX(J1276/K1276,0),1.3))),"") </f>
        <v/>
      </c>
      <c r="M1276" s="39">
        <f>IFERROR(IF(OR(J1276=0,K1276=""),"",IF(E1276="Positivo",MAX(K1276/J1276,0),MAX(J1276/K1276,0))),"") </f>
        <v/>
      </c>
      <c r="P1276" t="n">
        <v>0</v>
      </c>
      <c r="Q1276" t="n">
        <v>0</v>
      </c>
      <c r="R1276" t="inlineStr">
        <is>
          <t>406-2023-12-31</t>
        </is>
      </c>
    </row>
    <row r="1277" hidden="1">
      <c r="A1277" t="n">
        <v>406</v>
      </c>
      <c r="B1277" t="inlineStr">
        <is>
          <t>Programas con condiciones iniciales aprobadas por facultad</t>
        </is>
      </c>
      <c r="C1277" t="inlineStr">
        <is>
          <t>Autoevaluación de programas académicos</t>
        </is>
      </c>
      <c r="D1277" t="inlineStr">
        <is>
          <t>Semestral</t>
        </is>
      </c>
      <c r="E1277" t="inlineStr">
        <is>
          <t>Positivo</t>
        </is>
      </c>
      <c r="F1277" s="108" t="n">
        <v>45473</v>
      </c>
      <c r="G1277" t="n">
        <v>2024</v>
      </c>
      <c r="H1277" t="inlineStr">
        <is>
          <t>Junio</t>
        </is>
      </c>
      <c r="I1277" t="inlineStr">
        <is>
          <t>2024-1</t>
        </is>
      </c>
      <c r="J1277" t="n">
        <v>0</v>
      </c>
      <c r="K1277" t="n">
        <v>3</v>
      </c>
      <c r="L1277" s="39">
        <f>IFERROR(IF(OR(J1277=0,K1277=""),"",IF(E1277="Positivo",MIN(MAX(K1277/J1277,0),1.3),MIN(MAX(J1277/K1277,0),1.3))),"") </f>
        <v/>
      </c>
      <c r="M1277" s="39">
        <f>IFERROR(IF(OR(J1277=0,K1277=""),"",IF(E1277="Positivo",MAX(K1277/J1277,0),MAX(J1277/K1277,0))),"") </f>
        <v/>
      </c>
      <c r="P1277" t="n">
        <v>0</v>
      </c>
      <c r="Q1277" t="n">
        <v>0</v>
      </c>
      <c r="R1277" t="inlineStr">
        <is>
          <t>406-2024-06-30</t>
        </is>
      </c>
    </row>
    <row r="1278" hidden="1">
      <c r="A1278" t="n">
        <v>406</v>
      </c>
      <c r="B1278" t="inlineStr">
        <is>
          <t>Programas con condiciones iniciales aprobadas por facultad</t>
        </is>
      </c>
      <c r="C1278" t="inlineStr">
        <is>
          <t>Autoevaluación de programas académicos</t>
        </is>
      </c>
      <c r="D1278" t="inlineStr">
        <is>
          <t>Semestral</t>
        </is>
      </c>
      <c r="E1278" t="inlineStr">
        <is>
          <t>Positivo</t>
        </is>
      </c>
      <c r="F1278" s="108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0</v>
      </c>
      <c r="L1278" s="39" t="n"/>
      <c r="M1278" s="39" t="n"/>
      <c r="N1278" t="inlineStr">
        <is>
          <t>ENT</t>
        </is>
      </c>
      <c r="O1278" t="inlineStr">
        <is>
          <t>N/A</t>
        </is>
      </c>
      <c r="P1278" t="n">
        <v>0</v>
      </c>
      <c r="Q1278" t="n">
        <v>0</v>
      </c>
      <c r="R1278" t="inlineStr">
        <is>
          <t>406-2024-12-31</t>
        </is>
      </c>
    </row>
    <row r="1279" hidden="1">
      <c r="A1279" t="n">
        <v>407</v>
      </c>
      <c r="B1279" t="inlineStr">
        <is>
          <t>Programas 1ra fase de condiciones iniciales radicadas por facultad</t>
        </is>
      </c>
      <c r="C1279" t="inlineStr">
        <is>
          <t>Creación, modificación y cierre de programas académicos</t>
        </is>
      </c>
      <c r="D1279" t="inlineStr">
        <is>
          <t>Semestral</t>
        </is>
      </c>
      <c r="E1279" t="inlineStr">
        <is>
          <t>Positivo</t>
        </is>
      </c>
      <c r="F1279" s="108" t="n">
        <v>45291</v>
      </c>
      <c r="G1279" t="n">
        <v>2023</v>
      </c>
      <c r="H1279" t="inlineStr">
        <is>
          <t>Diciembre</t>
        </is>
      </c>
      <c r="I1279" t="inlineStr">
        <is>
          <t>2023-2</t>
        </is>
      </c>
      <c r="J1279" t="n">
        <v>3</v>
      </c>
      <c r="K1279" t="n">
        <v>3</v>
      </c>
      <c r="L1279" s="39">
        <f>IFERROR(IF(OR(J1279=0,K1279=""),"",IF(E1279="Positivo",MIN(MAX(K1279/J1279,0),1.3),MIN(MAX(J1279/K1279,0),1.3))),"") </f>
        <v/>
      </c>
      <c r="M1279" s="3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407-2023-12-31</t>
        </is>
      </c>
    </row>
    <row r="1280" hidden="1">
      <c r="A1280" t="n">
        <v>407</v>
      </c>
      <c r="B1280" t="inlineStr">
        <is>
          <t>Programas 1ra fase de condiciones iniciales radicadas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108" t="n">
        <v>45473</v>
      </c>
      <c r="G1280" t="n">
        <v>2024</v>
      </c>
      <c r="H1280" t="inlineStr">
        <is>
          <t>Junio</t>
        </is>
      </c>
      <c r="I1280" t="inlineStr">
        <is>
          <t>2024-1</t>
        </is>
      </c>
      <c r="L1280" s="39" t="n"/>
      <c r="M1280" s="39" t="n"/>
      <c r="P1280" t="n">
        <v>0</v>
      </c>
      <c r="Q1280" t="n">
        <v>0</v>
      </c>
      <c r="R1280" t="inlineStr">
        <is>
          <t>407-2024-06-30</t>
        </is>
      </c>
    </row>
    <row r="1281" hidden="1">
      <c r="A1281" t="n">
        <v>407</v>
      </c>
      <c r="B1281" t="inlineStr">
        <is>
          <t>Programas 1ra fase de condiciones iniciales radicadas por facultad</t>
        </is>
      </c>
      <c r="C1281" t="inlineStr">
        <is>
          <t>Autoevaluación de programas académicos</t>
        </is>
      </c>
      <c r="D1281" t="inlineStr">
        <is>
          <t>Semestral</t>
        </is>
      </c>
      <c r="E1281" t="inlineStr">
        <is>
          <t>Positivo</t>
        </is>
      </c>
      <c r="F1281" s="108" t="n">
        <v>45657</v>
      </c>
      <c r="G1281" t="n">
        <v>2024</v>
      </c>
      <c r="H1281" t="inlineStr">
        <is>
          <t>Diciembre</t>
        </is>
      </c>
      <c r="I1281" t="inlineStr">
        <is>
          <t>2024-2</t>
        </is>
      </c>
      <c r="J1281" t="n">
        <v>100</v>
      </c>
      <c r="L1281" s="39" t="n"/>
      <c r="M1281" s="39" t="n"/>
      <c r="N1281" t="inlineStr">
        <is>
          <t>ENT</t>
        </is>
      </c>
      <c r="O1281" t="inlineStr">
        <is>
          <t>N/A</t>
        </is>
      </c>
      <c r="P1281" t="n">
        <v>0</v>
      </c>
      <c r="Q1281" t="n">
        <v>0</v>
      </c>
      <c r="R1281" t="inlineStr">
        <is>
          <t>407-2024-12-31</t>
        </is>
      </c>
    </row>
    <row r="1282" hidden="1">
      <c r="A1282" t="n">
        <v>408</v>
      </c>
      <c r="B1282" t="inlineStr">
        <is>
          <t>Programas nuevos radicados por facultad</t>
        </is>
      </c>
      <c r="C1282" t="inlineStr">
        <is>
          <t>Creación, modificación y cierre de programas académicos</t>
        </is>
      </c>
      <c r="D1282" t="inlineStr">
        <is>
          <t>Semestral</t>
        </is>
      </c>
      <c r="E1282" t="inlineStr">
        <is>
          <t>Positivo</t>
        </is>
      </c>
      <c r="F1282" s="108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100</v>
      </c>
      <c r="K1282" t="n">
        <v>100</v>
      </c>
      <c r="L1282" s="39">
        <f>IFERROR(IF(OR(J1282=0,K1282=""),"",IF(E1282="Positivo",MIN(MAX(K1282/J1282,0),1.3),MIN(MAX(J1282/K1282,0),1.3))),"") </f>
        <v/>
      </c>
      <c r="M1282" s="39">
        <f>IFERROR(IF(OR(J1282=0,K1282=""),"",IF(E1282="Positivo",MAX(K1282/J1282,0),MAX(J1282/K1282,0))),"") </f>
        <v/>
      </c>
      <c r="P1282" t="n">
        <v>0</v>
      </c>
      <c r="Q1282" t="n">
        <v>0</v>
      </c>
      <c r="R1282" t="inlineStr">
        <is>
          <t>408-2023-12-31</t>
        </is>
      </c>
    </row>
    <row r="1283" hidden="1">
      <c r="A1283" t="n">
        <v>408</v>
      </c>
      <c r="B1283" t="inlineStr">
        <is>
          <t>Programas nuevos radicados por facultad</t>
        </is>
      </c>
      <c r="C1283" t="inlineStr">
        <is>
          <t>Creación, modificación y cierre de programas académicos</t>
        </is>
      </c>
      <c r="D1283" t="inlineStr">
        <is>
          <t>Semestral</t>
        </is>
      </c>
      <c r="E1283" t="inlineStr">
        <is>
          <t>Positivo</t>
        </is>
      </c>
      <c r="F1283" s="108" t="n">
        <v>45473</v>
      </c>
      <c r="G1283" t="n">
        <v>2024</v>
      </c>
      <c r="H1283" t="inlineStr">
        <is>
          <t>Junio</t>
        </is>
      </c>
      <c r="I1283" t="inlineStr">
        <is>
          <t>2024-1</t>
        </is>
      </c>
      <c r="J1283" t="n">
        <v>100</v>
      </c>
      <c r="L1283" s="39" t="n"/>
      <c r="M1283" s="39" t="n"/>
      <c r="P1283" t="n">
        <v>0</v>
      </c>
      <c r="Q1283" t="n">
        <v>0</v>
      </c>
      <c r="R1283" t="inlineStr">
        <is>
          <t>408-2024-06-30</t>
        </is>
      </c>
    </row>
    <row r="1284" hidden="1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08" t="n">
        <v>45657</v>
      </c>
      <c r="G1284" t="n">
        <v>2024</v>
      </c>
      <c r="H1284" t="inlineStr">
        <is>
          <t>Diciembre</t>
        </is>
      </c>
      <c r="I1284" t="inlineStr">
        <is>
          <t>2024-2</t>
        </is>
      </c>
      <c r="J1284" t="n">
        <v>100</v>
      </c>
      <c r="K1284" t="n">
        <v>100</v>
      </c>
      <c r="L1284" s="39">
        <f>IFERROR(IF(OR(J1284=0,K1284=""),"",IF(E1284="Positivo",MIN(MAX(K1284/J1284,0),1.3),MIN(MAX(J1284/K1284,0),1.3))),"") </f>
        <v/>
      </c>
      <c r="M1284" s="39">
        <f>IFERROR(IF(OR(J1284=0,K1284=""),"",IF(E1284="Positivo",MAX(K1284/J1284,0),MAX(J1284/K1284,0))),"") </f>
        <v/>
      </c>
      <c r="P1284" t="n">
        <v>0</v>
      </c>
      <c r="Q1284" t="n">
        <v>0</v>
      </c>
      <c r="R1284" t="inlineStr">
        <is>
          <t>408-2024-12-31</t>
        </is>
      </c>
    </row>
    <row r="1285" hidden="1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Trimestral</t>
        </is>
      </c>
      <c r="E1285" t="inlineStr">
        <is>
          <t>Positivo</t>
        </is>
      </c>
      <c r="F1285" s="108" t="n">
        <v>45838</v>
      </c>
      <c r="G1285" t="n">
        <v>2025</v>
      </c>
      <c r="H1285" t="inlineStr">
        <is>
          <t>Junio</t>
        </is>
      </c>
      <c r="I1285" t="inlineStr">
        <is>
          <t>2025-1</t>
        </is>
      </c>
      <c r="J1285" t="n">
        <v>100</v>
      </c>
      <c r="K1285" t="n">
        <v>100</v>
      </c>
      <c r="L1285" s="39">
        <f>IFERROR(IF(OR(J1285=0,K1285=""),"",IF(E1285="Positivo",MIN(MAX(K1285/J1285,0),1.3),MIN(MAX(J1285/K1285,0),1.3))),"") </f>
        <v/>
      </c>
      <c r="M1285" s="39">
        <f>IFERROR(IF(OR(J1285=0,K1285=""),"",IF(E1285="Positivo",MAX(K1285/J1285,0),MAX(J1285/K1285,0))),"") </f>
        <v/>
      </c>
      <c r="N1285" t="inlineStr">
        <is>
          <t>ENT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408-2025-06-30</t>
        </is>
      </c>
    </row>
    <row r="1286" hidden="1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Trimestral</t>
        </is>
      </c>
      <c r="E1286" t="inlineStr">
        <is>
          <t>Positivo</t>
        </is>
      </c>
      <c r="F1286" s="108" t="n">
        <v>46022</v>
      </c>
      <c r="G1286" t="n">
        <v>2025</v>
      </c>
      <c r="H1286" t="inlineStr">
        <is>
          <t>Diciembre</t>
        </is>
      </c>
      <c r="I1286" t="inlineStr">
        <is>
          <t>2025-2</t>
        </is>
      </c>
      <c r="J1286" t="n">
        <v>100</v>
      </c>
      <c r="K1286" t="n">
        <v>100</v>
      </c>
      <c r="L1286" s="39">
        <f>IFERROR(IF(OR(J1286=0,K1286=""),"",IF(E1286="Positivo",MIN(MAX(K1286/J1286,0),1.3),MIN(MAX(J1286/K1286,0),1.3))),"") </f>
        <v/>
      </c>
      <c r="M1286" s="39">
        <f>IFERROR(IF(OR(J1286=0,K1286=""),"",IF(E1286="Positivo",MAX(K1286/J1286,0),MAX(J1286/K1286,0))),"") </f>
        <v/>
      </c>
      <c r="N1286" t="inlineStr">
        <is>
          <t>ENT</t>
        </is>
      </c>
      <c r="O1286" t="inlineStr">
        <is>
          <t>ENT</t>
        </is>
      </c>
      <c r="P1286" t="n">
        <v>0</v>
      </c>
      <c r="Q1286" t="n">
        <v>0</v>
      </c>
      <c r="R1286" t="inlineStr">
        <is>
          <t>408-2025-12-31</t>
        </is>
      </c>
    </row>
    <row r="1287" hidden="1">
      <c r="A1287" t="n">
        <v>409</v>
      </c>
      <c r="B1287" t="inlineStr">
        <is>
          <t>Oportunidad en tiempo de envios</t>
        </is>
      </c>
      <c r="C1287" t="inlineStr">
        <is>
          <t>GESTIÓN JURÍDICA Y NORMATIVA</t>
        </is>
      </c>
      <c r="D1287" t="inlineStr">
        <is>
          <t>Trimestral</t>
        </is>
      </c>
      <c r="E1287" t="inlineStr">
        <is>
          <t>Positivo</t>
        </is>
      </c>
      <c r="F1287" s="108" t="n">
        <v>45107</v>
      </c>
      <c r="G1287" t="n">
        <v>2023</v>
      </c>
      <c r="H1287" t="inlineStr">
        <is>
          <t>Junio</t>
        </is>
      </c>
      <c r="I1287" t="inlineStr">
        <is>
          <t>2023-1</t>
        </is>
      </c>
      <c r="J1287" t="n">
        <v>80</v>
      </c>
      <c r="K1287" t="n">
        <v>103.718854592785</v>
      </c>
      <c r="L1287" s="39">
        <f>IFERROR(IF(OR(J1287=0,K1287=""),"",IF(E1287="Positivo",MIN(MAX(K1287/J1287,0),1.3),MIN(MAX(J1287/K1287,0),1.3))),"") </f>
        <v/>
      </c>
      <c r="M1287" s="39">
        <f>IFERROR(IF(OR(J1287=0,K1287=""),"",IF(E1287="Positivo",MAX(K1287/J1287,0),MAX(J1287/K1287,0))),"") </f>
        <v/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409-2023-06-30</t>
        </is>
      </c>
    </row>
    <row r="1288" hidden="1">
      <c r="A1288" t="n">
        <v>409</v>
      </c>
      <c r="B1288" t="inlineStr">
        <is>
          <t>Oportunidad en tiempo de envios</t>
        </is>
      </c>
      <c r="C1288" t="inlineStr">
        <is>
          <t>GESTIÓN JURÍDICA Y NORMATIVA</t>
        </is>
      </c>
      <c r="D1288" t="inlineStr">
        <is>
          <t>Trimestral</t>
        </is>
      </c>
      <c r="E1288" t="inlineStr">
        <is>
          <t>Positivo</t>
        </is>
      </c>
      <c r="F1288" s="108" t="n">
        <v>45291</v>
      </c>
      <c r="G1288" t="n">
        <v>2023</v>
      </c>
      <c r="H1288" t="inlineStr">
        <is>
          <t>Diciembre</t>
        </is>
      </c>
      <c r="I1288" t="inlineStr">
        <is>
          <t>2023-2</t>
        </is>
      </c>
      <c r="J1288" t="n">
        <v>160</v>
      </c>
      <c r="K1288" t="n">
        <v>203.7188545927854</v>
      </c>
      <c r="L1288" s="39">
        <f>IFERROR(IF(OR(J1288=0,K1288=""),"",IF(E1288="Positivo",MIN(MAX(K1288/J1288,0),1.3),MIN(MAX(J1288/K1288,0),1.3))),"") </f>
        <v/>
      </c>
      <c r="M1288" s="39">
        <f>IFERROR(IF(OR(J1288=0,K1288=""),"",IF(E1288="Positivo",MAX(K1288/J1288,0),MAX(J1288/K1288,0))),"") </f>
        <v/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409-2023-12-31</t>
        </is>
      </c>
    </row>
    <row r="1289" hidden="1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08" t="n">
        <v>45473</v>
      </c>
      <c r="G1289" t="n">
        <v>2024</v>
      </c>
      <c r="H1289" t="inlineStr">
        <is>
          <t>Junio</t>
        </is>
      </c>
      <c r="I1289" t="inlineStr">
        <is>
          <t>2024-1</t>
        </is>
      </c>
      <c r="J1289" t="n">
        <v>190</v>
      </c>
      <c r="K1289" t="n">
        <v>196.5188394715603</v>
      </c>
      <c r="L1289" s="39">
        <f>IFERROR(IF(OR(J1289=0,K1289=""),"",IF(E1289="Positivo",MIN(MAX(K1289/J1289,0),1.3),MIN(MAX(J1289/K1289,0),1.3))),"") </f>
        <v/>
      </c>
      <c r="M1289" s="39">
        <f>IFERROR(IF(OR(J1289=0,K1289=""),"",IF(E1289="Positivo",MAX(K1289/J1289,0),MAX(J1289/K1289,0))),"") </f>
        <v/>
      </c>
      <c r="P1289" t="n">
        <v>0</v>
      </c>
      <c r="Q1289" t="n">
        <v>0</v>
      </c>
      <c r="R1289" t="inlineStr">
        <is>
          <t>409-2024-06-30</t>
        </is>
      </c>
    </row>
    <row r="1290" hidden="1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08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190</v>
      </c>
      <c r="K1290" t="n">
        <v>193.5796290503828</v>
      </c>
      <c r="L1290" s="39">
        <f>IFERROR(IF(OR(J1290=0,K1290=""),"",IF(E1290="Positivo",MIN(MAX(K1290/J1290,0),1.3),MIN(MAX(J1290/K1290,0),1.3))),"") </f>
        <v/>
      </c>
      <c r="M1290" s="39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409-2024-12-31</t>
        </is>
      </c>
    </row>
    <row r="1291" hidden="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Semestral</t>
        </is>
      </c>
      <c r="E1291" t="inlineStr">
        <is>
          <t>Positivo</t>
        </is>
      </c>
      <c r="F1291" s="108" t="n">
        <v>45838</v>
      </c>
      <c r="G1291" t="n">
        <v>2025</v>
      </c>
      <c r="H1291" t="inlineStr">
        <is>
          <t>Junio</t>
        </is>
      </c>
      <c r="I1291" t="inlineStr">
        <is>
          <t>2025-1</t>
        </is>
      </c>
      <c r="J1291" t="n">
        <v>95</v>
      </c>
      <c r="K1291" t="n">
        <v>100</v>
      </c>
      <c r="L1291" s="39">
        <f>IFERROR(IF(OR(J1291=0,K1291=""),"",IF(E1291="Positivo",MIN(MAX(K1291/J1291,0),1.3),MIN(MAX(J1291/K1291,0),1.3))),"") </f>
        <v/>
      </c>
      <c r="M1291" s="39">
        <f>IFERROR(IF(OR(J1291=0,K1291=""),"",IF(E1291="Positivo",MAX(K1291/J1291,0),MAX(J1291/K1291,0))),"") </f>
        <v/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409-2025-06-30</t>
        </is>
      </c>
    </row>
    <row r="1292" hidden="1">
      <c r="A1292" t="n">
        <v>410</v>
      </c>
      <c r="B1292" t="inlineStr">
        <is>
          <t>Solicitudes de gestión documental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108" t="n">
        <v>45291</v>
      </c>
      <c r="G1292" t="n">
        <v>2023</v>
      </c>
      <c r="H1292" t="inlineStr">
        <is>
          <t>Diciembre</t>
        </is>
      </c>
      <c r="I1292" t="inlineStr">
        <is>
          <t>2023-2</t>
        </is>
      </c>
      <c r="J1292" t="n">
        <v>90</v>
      </c>
      <c r="K1292" t="n">
        <v>100</v>
      </c>
      <c r="L1292" s="39">
        <f>IFERROR(IF(OR(J1292=0,K1292=""),"",IF(E1292="Positivo",MIN(MAX(K1292/J1292,0),1.3),MIN(MAX(J1292/K1292,0),1.3))),"") </f>
        <v/>
      </c>
      <c r="M1292" s="39">
        <f>IFERROR(IF(OR(J1292=0,K1292=""),"",IF(E1292="Positivo",MAX(K1292/J1292,0),MAX(J1292/K1292,0))),"") </f>
        <v/>
      </c>
      <c r="N1292" t="inlineStr">
        <is>
          <t>%</t>
        </is>
      </c>
      <c r="O1292" t="inlineStr">
        <is>
          <t>%</t>
        </is>
      </c>
      <c r="P1292" t="n">
        <v>0</v>
      </c>
      <c r="Q1292" t="n">
        <v>0</v>
      </c>
      <c r="R1292" t="inlineStr">
        <is>
          <t>410-2023-12-31</t>
        </is>
      </c>
    </row>
    <row r="1293" hidden="1">
      <c r="A1293" t="n">
        <v>411</v>
      </c>
      <c r="B1293" t="inlineStr">
        <is>
          <t>Cumplimiento Planes De Relacionamiento</t>
        </is>
      </c>
      <c r="C1293" t="inlineStr">
        <is>
          <t>Comunicaciones Externas</t>
        </is>
      </c>
      <c r="D1293" t="inlineStr">
        <is>
          <t>Semestral</t>
        </is>
      </c>
      <c r="E1293" t="inlineStr">
        <is>
          <t>Positivo</t>
        </is>
      </c>
      <c r="F1293" s="108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L1293" s="39" t="n"/>
      <c r="M1293" s="39" t="n"/>
      <c r="P1293" t="n">
        <v>0</v>
      </c>
      <c r="Q1293" t="n">
        <v>0</v>
      </c>
      <c r="R1293" t="inlineStr">
        <is>
          <t>411-2023-06-30</t>
        </is>
      </c>
    </row>
    <row r="1294" hidden="1">
      <c r="A1294" t="n">
        <v>411</v>
      </c>
      <c r="B1294" t="inlineStr">
        <is>
          <t>Cumplimiento Planes De Relacionamiento</t>
        </is>
      </c>
      <c r="C1294" t="inlineStr">
        <is>
          <t>Comunicaciones Externas</t>
        </is>
      </c>
      <c r="D1294" t="inlineStr">
        <is>
          <t>Semestral</t>
        </is>
      </c>
      <c r="E1294" t="inlineStr">
        <is>
          <t>Positivo</t>
        </is>
      </c>
      <c r="F1294" s="108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100</v>
      </c>
      <c r="K1294" t="n">
        <v>100</v>
      </c>
      <c r="L1294" s="39">
        <f>IFERROR(IF(OR(J1294=0,K1294=""),"",IF(E1294="Positivo",MIN(MAX(K1294/J1294,0),1.3),MIN(MAX(J1294/K1294,0),1.3))),"") </f>
        <v/>
      </c>
      <c r="M1294" s="39">
        <f>IFERROR(IF(OR(J1294=0,K1294=""),"",IF(E1294="Positivo",MAX(K1294/J1294,0),MAX(J1294/K1294,0))),"") </f>
        <v/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411-2023-12-31</t>
        </is>
      </c>
    </row>
    <row r="1295" hidden="1">
      <c r="A1295" t="n">
        <v>412</v>
      </c>
      <c r="B1295" t="inlineStr">
        <is>
          <t>Participaciones en 2 eventos externos de impacto</t>
        </is>
      </c>
      <c r="C1295" t="inlineStr">
        <is>
          <t>Comunicaciones Externas</t>
        </is>
      </c>
      <c r="D1295" t="inlineStr">
        <is>
          <t>Anual</t>
        </is>
      </c>
      <c r="E1295" t="inlineStr">
        <is>
          <t>Positivo</t>
        </is>
      </c>
      <c r="F1295" s="108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100</v>
      </c>
      <c r="L1295" s="39">
        <f>IFERROR(IF(OR(J1295=0,K1295=""),"",IF(E1295="Positivo",MIN(MAX(K1295/J1295,0),1.3),MIN(MAX(J1295/K1295,0),1.3))),"") </f>
        <v/>
      </c>
      <c r="M1295" s="39">
        <f>IFERROR(IF(OR(J1295=0,K1295=""),"",IF(E1295="Positivo",MAX(K1295/J1295,0),MAX(J1295/K1295,0))),"") </f>
        <v/>
      </c>
      <c r="N1295" t="inlineStr">
        <is>
          <t>%</t>
        </is>
      </c>
      <c r="O1295" t="inlineStr">
        <is>
          <t>%</t>
        </is>
      </c>
      <c r="P1295" t="n">
        <v>0</v>
      </c>
      <c r="Q1295" t="n">
        <v>0</v>
      </c>
      <c r="R1295" t="inlineStr">
        <is>
          <t>412-2023-12-31</t>
        </is>
      </c>
    </row>
    <row r="1296" hidden="1">
      <c r="A1296" t="n">
        <v>412</v>
      </c>
      <c r="B1296" t="inlineStr">
        <is>
          <t>Participación en eventos externos de impacto</t>
        </is>
      </c>
      <c r="C1296" t="inlineStr">
        <is>
          <t>Comunicaciones Externas</t>
        </is>
      </c>
      <c r="D1296" t="inlineStr">
        <is>
          <t>Anual</t>
        </is>
      </c>
      <c r="E1296" t="inlineStr">
        <is>
          <t>Positivo</t>
        </is>
      </c>
      <c r="F1296" s="108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100</v>
      </c>
      <c r="K1296" t="n">
        <v>100</v>
      </c>
      <c r="L1296" s="39">
        <f>IFERROR(IF(OR(J1296=0,K1296=""),"",IF(E1296="Positivo",MIN(MAX(K1296/J1296,0),1.3),MIN(MAX(J1296/K1296,0),1.3))),"") </f>
        <v/>
      </c>
      <c r="M1296" s="39">
        <f>IFERROR(IF(OR(J1296=0,K1296=""),"",IF(E1296="Positivo",MAX(K1296/J1296,0),MAX(J1296/K1296,0))),"") </f>
        <v/>
      </c>
      <c r="P1296" t="n">
        <v>0</v>
      </c>
      <c r="Q1296" t="n">
        <v>0</v>
      </c>
      <c r="R1296" t="inlineStr">
        <is>
          <t>412-2024-12-31</t>
        </is>
      </c>
    </row>
    <row r="1297" hidden="1">
      <c r="A1297" t="n">
        <v>413</v>
      </c>
      <c r="B1297" t="inlineStr">
        <is>
          <t>Participaciones del Poli como sede o patrocinador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08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K1297" t="n">
        <v>100</v>
      </c>
      <c r="L1297" s="39" t="n"/>
      <c r="M1297" s="39" t="n"/>
      <c r="N1297" t="inlineStr">
        <is>
          <t>Linea base</t>
        </is>
      </c>
      <c r="P1297" t="n">
        <v>0</v>
      </c>
      <c r="Q1297" t="n">
        <v>0</v>
      </c>
      <c r="R1297" t="inlineStr">
        <is>
          <t>413-2023-12-31</t>
        </is>
      </c>
    </row>
    <row r="1298" hidden="1">
      <c r="A1298" t="n">
        <v>413</v>
      </c>
      <c r="B1298" t="inlineStr">
        <is>
          <t>Participación del Poli como sede o patrocinador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08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39">
        <f>IFERROR(IF(OR(J1298=0,K1298=""),"",IF(E1298="Positivo",MIN(MAX(K1298/J1298,0),1.3),MIN(MAX(J1298/K1298,0),1.3))),"") </f>
        <v/>
      </c>
      <c r="M1298" s="3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413-2024-12-31</t>
        </is>
      </c>
    </row>
    <row r="1299" hidden="1">
      <c r="A1299" t="n">
        <v>413</v>
      </c>
      <c r="B1299" t="inlineStr">
        <is>
          <t>Participación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08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100</v>
      </c>
      <c r="L1299" s="39">
        <f>IFERROR(IF(OR(J1299=0,K1299=""),"",IF(E1299="Positivo",MIN(MAX(K1299/J1299,0),1.3),MIN(MAX(J1299/K1299,0),1.3))),"") </f>
        <v/>
      </c>
      <c r="M1299" s="39">
        <f>IFERROR(IF(OR(J1299=0,K1299=""),"",IF(E1299="Positivo",MAX(K1299/J1299,0),MAX(J1299/K1299,0))),"") </f>
        <v/>
      </c>
      <c r="N1299" t="inlineStr">
        <is>
          <t>Linea Base</t>
        </is>
      </c>
      <c r="O1299" t="inlineStr">
        <is>
          <t>ENT</t>
        </is>
      </c>
      <c r="P1299" t="n">
        <v>0</v>
      </c>
      <c r="Q1299" t="n">
        <v>0</v>
      </c>
      <c r="R1299" t="inlineStr">
        <is>
          <t>413-2025-12-31</t>
        </is>
      </c>
    </row>
    <row r="1300" hidden="1">
      <c r="A1300" t="n">
        <v>414</v>
      </c>
      <c r="B1300" t="inlineStr">
        <is>
          <t>Cumplimiento Plan Anual Rectoría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08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39">
        <f>IFERROR(IF(OR(J1300=0,K1300=""),"",IF(E1300="Positivo",MIN(MAX(K1300/J1300,0),1.3),MIN(MAX(J1300/K1300,0),1.3))),"") </f>
        <v/>
      </c>
      <c r="M1300" s="3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414-2023-03-31</t>
        </is>
      </c>
    </row>
    <row r="1301" hidden="1">
      <c r="A1301" t="n">
        <v>414</v>
      </c>
      <c r="B1301" t="inlineStr">
        <is>
          <t>Cumplimiento Plan Anual Rectoría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08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110.01</v>
      </c>
      <c r="L1301" s="39">
        <f>IFERROR(IF(OR(J1301=0,K1301=""),"",IF(E1301="Positivo",MIN(MAX(K1301/J1301,0),1.3),MIN(MAX(J1301/K1301,0),1.3))),"") </f>
        <v/>
      </c>
      <c r="M1301" s="3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414-2023-06-30</t>
        </is>
      </c>
    </row>
    <row r="1302" hidden="1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08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93.54000000000001</v>
      </c>
      <c r="L1302" s="39">
        <f>IFERROR(IF(OR(J1302=0,K1302=""),"",IF(E1302="Positivo",MIN(MAX(K1302/J1302,0),1.3),MIN(MAX(J1302/K1302,0),1.3))),"") </f>
        <v/>
      </c>
      <c r="M1302" s="3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414-2023-09-30</t>
        </is>
      </c>
    </row>
    <row r="1303" hidden="1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08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96.28</v>
      </c>
      <c r="L1303" s="39">
        <f>IFERROR(IF(OR(J1303=0,K1303=""),"",IF(E1303="Positivo",MIN(MAX(K1303/J1303,0),1.3),MIN(MAX(J1303/K1303,0),1.3))),"") </f>
        <v/>
      </c>
      <c r="M1303" s="3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414-2023-12-31</t>
        </is>
      </c>
    </row>
    <row r="1304" hidden="1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08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100.06</v>
      </c>
      <c r="L1304" s="39">
        <f>IFERROR(IF(OR(J1304=0,K1304=""),"",IF(E1304="Positivo",MIN(MAX(K1304/J1304,0),1.3),MIN(MAX(J1304/K1304,0),1.3))),"") </f>
        <v/>
      </c>
      <c r="M1304" s="39">
        <f>IFERROR(IF(OR(J1304=0,K1304=""),"",IF(E1304="Positivo",MAX(K1304/J1304,0),MAX(J1304/K1304,0))),"") </f>
        <v/>
      </c>
      <c r="P1304" t="n">
        <v>0</v>
      </c>
      <c r="Q1304" t="n">
        <v>0</v>
      </c>
      <c r="R1304" t="inlineStr">
        <is>
          <t>414-2024-06-30</t>
        </is>
      </c>
    </row>
    <row r="1305" hidden="1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08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98.78</v>
      </c>
      <c r="L1305" s="39">
        <f>IFERROR(IF(OR(J1305=0,K1305=""),"",IF(E1305="Positivo",MIN(MAX(K1305/J1305,0),1.3),MIN(MAX(J1305/K1305,0),1.3))),"") </f>
        <v/>
      </c>
      <c r="M1305" s="39">
        <f>IFERROR(IF(OR(J1305=0,K1305=""),"",IF(E1305="Positivo",MAX(K1305/J1305,0),MAX(J1305/K1305,0))),"") </f>
        <v/>
      </c>
      <c r="P1305" t="n">
        <v>0</v>
      </c>
      <c r="Q1305" t="n">
        <v>0</v>
      </c>
      <c r="R1305" t="inlineStr">
        <is>
          <t>414-2024-12-31</t>
        </is>
      </c>
    </row>
    <row r="1306" hidden="1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108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108.55</v>
      </c>
      <c r="L1306" s="39">
        <f>IFERROR(IF(OR(J1306=0,K1306=""),"",IF(E1306="Positivo",MIN(MAX(K1306/J1306,0),1.3),MIN(MAX(J1306/K1306,0),1.3))),"") </f>
        <v/>
      </c>
      <c r="M1306" s="39">
        <f>IFERROR(IF(OR(J1306=0,K1306=""),"",IF(E1306="Positivo",MAX(K1306/J1306,0),MAX(J1306/K1306,0))),"") </f>
        <v/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414-2025-06-30</t>
        </is>
      </c>
    </row>
    <row r="1307" hidden="1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08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98.87</v>
      </c>
      <c r="L1307" s="39">
        <f>IFERROR(IF(OR(J1307=0,K1307=""),"",IF(E1307="Positivo",MIN(MAX(K1307/J1307,0),1.3),MIN(MAX(J1307/K1307,0),1.3))),"") </f>
        <v/>
      </c>
      <c r="M1307" s="39">
        <f>IFERROR(IF(OR(J1307=0,K1307=""),"",IF(E1307="Positivo",MAX(K1307/J1307,0),MAX(J1307/K1307,0))),"") </f>
        <v/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414-2025-12-31</t>
        </is>
      </c>
    </row>
    <row r="1308" hidden="1">
      <c r="A1308" t="n">
        <v>415</v>
      </c>
      <c r="B1308" t="inlineStr">
        <is>
          <t>Cumplimiento Plan Anual Vicerrectoría del estudiante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08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39">
        <f>IFERROR(IF(OR(J1308=0,K1308=""),"",IF(E1308="Positivo",MIN(MAX(K1308/J1308,0),1.3),MIN(MAX(J1308/K1308,0),1.3))),"") </f>
        <v/>
      </c>
      <c r="M1308" s="3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415-2023-03-31</t>
        </is>
      </c>
    </row>
    <row r="1309" hidden="1">
      <c r="A1309" t="n">
        <v>415</v>
      </c>
      <c r="B1309" t="inlineStr">
        <is>
          <t>Cumplimiento Plan Anual Vicerrectoría del estudiante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08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94.04000000000001</v>
      </c>
      <c r="L1309" s="39">
        <f>IFERROR(IF(OR(J1309=0,K1309=""),"",IF(E1309="Positivo",MIN(MAX(K1309/J1309,0),1.3),MIN(MAX(J1309/K1309,0),1.3))),"") </f>
        <v/>
      </c>
      <c r="M1309" s="3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415-2023-06-30</t>
        </is>
      </c>
    </row>
    <row r="1310" hidden="1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08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93.94</v>
      </c>
      <c r="L1310" s="39">
        <f>IFERROR(IF(OR(J1310=0,K1310=""),"",IF(E1310="Positivo",MIN(MAX(K1310/J1310,0),1.3),MIN(MAX(J1310/K1310,0),1.3))),"") </f>
        <v/>
      </c>
      <c r="M1310" s="3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415-2023-09-30</t>
        </is>
      </c>
    </row>
    <row r="1311" hidden="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08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96</v>
      </c>
      <c r="L1311" s="39">
        <f>IFERROR(IF(OR(J1311=0,K1311=""),"",IF(E1311="Positivo",MIN(MAX(K1311/J1311,0),1.3),MIN(MAX(J1311/K1311,0),1.3))),"") </f>
        <v/>
      </c>
      <c r="M1311" s="3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415-2023-12-31</t>
        </is>
      </c>
    </row>
    <row r="1312" hidden="1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08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93.04000000000001</v>
      </c>
      <c r="L1312" s="39">
        <f>IFERROR(IF(OR(J1312=0,K1312=""),"",IF(E1312="Positivo",MIN(MAX(K1312/J1312,0),1.3),MIN(MAX(J1312/K1312,0),1.3))),"") </f>
        <v/>
      </c>
      <c r="M1312" s="39">
        <f>IFERROR(IF(OR(J1312=0,K1312=""),"",IF(E1312="Positivo",MAX(K1312/J1312,0),MAX(J1312/K1312,0))),"") </f>
        <v/>
      </c>
      <c r="P1312" t="n">
        <v>0</v>
      </c>
      <c r="Q1312" t="n">
        <v>0</v>
      </c>
      <c r="R1312" t="inlineStr">
        <is>
          <t>415-2024-06-30</t>
        </is>
      </c>
    </row>
    <row r="1313" hidden="1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08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98.36</v>
      </c>
      <c r="L1313" s="39">
        <f>IFERROR(IF(OR(J1313=0,K1313=""),"",IF(E1313="Positivo",MIN(MAX(K1313/J1313,0),1.3),MIN(MAX(J1313/K1313,0),1.3))),"") </f>
        <v/>
      </c>
      <c r="M1313" s="39">
        <f>IFERROR(IF(OR(J1313=0,K1313=""),"",IF(E1313="Positivo",MAX(K1313/J1313,0),MAX(J1313/K1313,0))),"") </f>
        <v/>
      </c>
      <c r="P1313" t="n">
        <v>0</v>
      </c>
      <c r="Q1313" t="n">
        <v>0</v>
      </c>
      <c r="R1313" t="inlineStr">
        <is>
          <t>415-2024-12-31</t>
        </is>
      </c>
    </row>
    <row r="1314" hidden="1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108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96.44</v>
      </c>
      <c r="L1314" s="39">
        <f>IFERROR(IF(OR(J1314=0,K1314=""),"",IF(E1314="Positivo",MIN(MAX(K1314/J1314,0),1.3),MIN(MAX(J1314/K1314,0),1.3))),"") </f>
        <v/>
      </c>
      <c r="M1314" s="39">
        <f>IFERROR(IF(OR(J1314=0,K1314=""),"",IF(E1314="Positivo",MAX(K1314/J1314,0),MAX(J1314/K1314,0))),"") </f>
        <v/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415-2025-06-30</t>
        </is>
      </c>
    </row>
    <row r="1315" hidden="1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08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99.3</v>
      </c>
      <c r="L1315" s="39">
        <f>IFERROR(IF(OR(J1315=0,K1315=""),"",IF(E1315="Positivo",MIN(MAX(K1315/J1315,0),1.3),MIN(MAX(J1315/K1315,0),1.3))),"") </f>
        <v/>
      </c>
      <c r="M1315" s="39">
        <f>IFERROR(IF(OR(J1315=0,K1315=""),"",IF(E1315="Positivo",MAX(K1315/J1315,0),MAX(J1315/K1315,0))),"") </f>
        <v/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415-2025-12-31</t>
        </is>
      </c>
    </row>
    <row r="1316" hidden="1">
      <c r="A1316" t="n">
        <v>416</v>
      </c>
      <c r="B1316" t="inlineStr">
        <is>
          <t>Cumplimiento Plan Anual Vicerrectoría de crecimiento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08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39">
        <f>IFERROR(IF(OR(J1316=0,K1316=""),"",IF(E1316="Positivo",MIN(MAX(K1316/J1316,0),1.3),MIN(MAX(J1316/K1316,0),1.3))),"") </f>
        <v/>
      </c>
      <c r="M1316" s="39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416-2023-03-31</t>
        </is>
      </c>
    </row>
    <row r="1317" hidden="1">
      <c r="A1317" t="n">
        <v>416</v>
      </c>
      <c r="B1317" t="inlineStr">
        <is>
          <t>Cumplimiento Plan Anual Vicerrectoría de crecimiento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08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95.73999999999999</v>
      </c>
      <c r="L1317" s="39">
        <f>IFERROR(IF(OR(J1317=0,K1317=""),"",IF(E1317="Positivo",MIN(MAX(K1317/J1317,0),1.3),MIN(MAX(J1317/K1317,0),1.3))),"") </f>
        <v/>
      </c>
      <c r="M1317" s="3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416-2023-06-30</t>
        </is>
      </c>
    </row>
    <row r="1318" hidden="1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08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87.94</v>
      </c>
      <c r="L1318" s="39">
        <f>IFERROR(IF(OR(J1318=0,K1318=""),"",IF(E1318="Positivo",MIN(MAX(K1318/J1318,0),1.3),MIN(MAX(J1318/K1318,0),1.3))),"") </f>
        <v/>
      </c>
      <c r="M1318" s="3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416-2023-09-30</t>
        </is>
      </c>
    </row>
    <row r="1319" hidden="1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08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98</v>
      </c>
      <c r="L1319" s="39">
        <f>IFERROR(IF(OR(J1319=0,K1319=""),"",IF(E1319="Positivo",MIN(MAX(K1319/J1319,0),1.3),MIN(MAX(J1319/K1319,0),1.3))),"") </f>
        <v/>
      </c>
      <c r="M1319" s="3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416-2023-12-31</t>
        </is>
      </c>
    </row>
    <row r="1320" hidden="1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08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117.1</v>
      </c>
      <c r="L1320" s="39">
        <f>IFERROR(IF(OR(J1320=0,K1320=""),"",IF(E1320="Positivo",MIN(MAX(K1320/J1320,0),1.3),MIN(MAX(J1320/K1320,0),1.3))),"") </f>
        <v/>
      </c>
      <c r="M1320" s="39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416-2024-06-30</t>
        </is>
      </c>
    </row>
    <row r="1321" hidden="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08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100</v>
      </c>
      <c r="L1321" s="39">
        <f>IFERROR(IF(OR(J1321=0,K1321=""),"",IF(E1321="Positivo",MIN(MAX(K1321/J1321,0),1.3),MIN(MAX(J1321/K1321,0),1.3))),"") </f>
        <v/>
      </c>
      <c r="M1321" s="39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416-2024-12-31</t>
        </is>
      </c>
    </row>
    <row r="1322" hidden="1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08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109.24</v>
      </c>
      <c r="L1322" s="39">
        <f>IFERROR(IF(OR(J1322=0,K1322=""),"",IF(E1322="Positivo",MIN(MAX(K1322/J1322,0),1.3),MIN(MAX(J1322/K1322,0),1.3))),"") </f>
        <v/>
      </c>
      <c r="M1322" s="39">
        <f>IFERROR(IF(OR(J1322=0,K1322=""),"",IF(E1322="Positivo",MAX(K1322/J1322,0),MAX(J1322/K1322,0))),"") </f>
        <v/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416-2025-06-30</t>
        </is>
      </c>
    </row>
    <row r="1323" hidden="1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08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100</v>
      </c>
      <c r="L1323" s="39">
        <f>IFERROR(IF(OR(J1323=0,K1323=""),"",IF(E1323="Positivo",MIN(MAX(K1323/J1323,0),1.3),MIN(MAX(J1323/K1323,0),1.3))),"") </f>
        <v/>
      </c>
      <c r="M1323" s="39">
        <f>IFERROR(IF(OR(J1323=0,K1323=""),"",IF(E1323="Positivo",MAX(K1323/J1323,0),MAX(J1323/K1323,0))),"") </f>
        <v/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416-2025-12-31</t>
        </is>
      </c>
    </row>
    <row r="1324" hidden="1">
      <c r="A1324" t="n">
        <v>417</v>
      </c>
      <c r="B1324" t="inlineStr">
        <is>
          <t>Cumplimiento Plan Anual Vicerrectoría Financiera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08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39">
        <f>IFERROR(IF(OR(J1324=0,K1324=""),"",IF(E1324="Positivo",MIN(MAX(K1324/J1324,0),1.3),MIN(MAX(J1324/K1324,0),1.3))),"") </f>
        <v/>
      </c>
      <c r="M1324" s="3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417-2023-03-31</t>
        </is>
      </c>
    </row>
    <row r="1325" hidden="1">
      <c r="A1325" t="n">
        <v>417</v>
      </c>
      <c r="B1325" t="inlineStr">
        <is>
          <t>Cumplimiento Plan Anual Vicerrectoría Financiera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08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110.66833333333</v>
      </c>
      <c r="L1325" s="39">
        <f>IFERROR(IF(OR(J1325=0,K1325=""),"",IF(E1325="Positivo",MIN(MAX(K1325/J1325,0),1.3),MIN(MAX(J1325/K1325,0),1.3))),"") </f>
        <v/>
      </c>
      <c r="M1325" s="3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417-2023-06-30</t>
        </is>
      </c>
    </row>
    <row r="1326" hidden="1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08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93.756666666667</v>
      </c>
      <c r="L1326" s="39">
        <f>IFERROR(IF(OR(J1326=0,K1326=""),"",IF(E1326="Positivo",MIN(MAX(K1326/J1326,0),1.3),MIN(MAX(J1326/K1326,0),1.3))),"") </f>
        <v/>
      </c>
      <c r="M1326" s="3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417-2023-09-30</t>
        </is>
      </c>
    </row>
    <row r="1327" hidden="1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08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94.39</v>
      </c>
      <c r="L1327" s="39">
        <f>IFERROR(IF(OR(J1327=0,K1327=""),"",IF(E1327="Positivo",MIN(MAX(K1327/J1327,0),1.3),MIN(MAX(J1327/K1327,0),1.3))),"") </f>
        <v/>
      </c>
      <c r="M1327" s="3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417-2023-12-31</t>
        </is>
      </c>
    </row>
    <row r="1328" hidden="1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08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112.12</v>
      </c>
      <c r="L1328" s="39">
        <f>IFERROR(IF(OR(J1328=0,K1328=""),"",IF(E1328="Positivo",MIN(MAX(K1328/J1328,0),1.3),MIN(MAX(J1328/K1328,0),1.3))),"") </f>
        <v/>
      </c>
      <c r="M1328" s="39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417-2024-06-30</t>
        </is>
      </c>
    </row>
    <row r="1329" hidden="1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08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98.83</v>
      </c>
      <c r="L1329" s="39">
        <f>IFERROR(IF(OR(J1329=0,K1329=""),"",IF(E1329="Positivo",MIN(MAX(K1329/J1329,0),1.3),MIN(MAX(J1329/K1329,0),1.3))),"") </f>
        <v/>
      </c>
      <c r="M1329" s="39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417-2024-12-31</t>
        </is>
      </c>
    </row>
    <row r="1330" hidden="1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08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101.28</v>
      </c>
      <c r="L1330" s="39">
        <f>IFERROR(IF(OR(J1330=0,K1330=""),"",IF(E1330="Positivo",MIN(MAX(K1330/J1330,0),1.3),MIN(MAX(J1330/K1330,0),1.3))),"") </f>
        <v/>
      </c>
      <c r="M1330" s="39">
        <f>IFERROR(IF(OR(J1330=0,K1330=""),"",IF(E1330="Positivo",MAX(K1330/J1330,0),MAX(J1330/K1330,0))),"") </f>
        <v/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417-2025-06-30</t>
        </is>
      </c>
    </row>
    <row r="1331" hidden="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08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97.98999999999999</v>
      </c>
      <c r="L1331" s="39">
        <f>IFERROR(IF(OR(J1331=0,K1331=""),"",IF(E1331="Positivo",MIN(MAX(K1331/J1331,0),1.3),MIN(MAX(J1331/K1331,0),1.3))),"") </f>
        <v/>
      </c>
      <c r="M1331" s="3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417-2025-12-31</t>
        </is>
      </c>
    </row>
    <row r="1332" hidden="1">
      <c r="A1332" t="n">
        <v>418</v>
      </c>
      <c r="B1332" t="inlineStr">
        <is>
          <t>Cumplimiento Plan Anual Vicerrectoría Académica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08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J1332" t="n">
        <v>100</v>
      </c>
      <c r="K1332" t="n">
        <v>0</v>
      </c>
      <c r="L1332" s="39">
        <f>IFERROR(IF(OR(J1332=0,K1332=""),"",IF(E1332="Positivo",MIN(MAX(K1332/J1332,0),1.3),MIN(MAX(J1332/K1332,0),1.3))),"") </f>
        <v/>
      </c>
      <c r="M1332" s="39">
        <f>IFERROR(IF(OR(J1332=0,K1332=""),"",IF(E1332="Positivo",MAX(K1332/J1332,0),MAX(J1332/K1332,0))),"") </f>
        <v/>
      </c>
      <c r="P1332" t="n">
        <v>0</v>
      </c>
      <c r="Q1332" t="n">
        <v>0</v>
      </c>
      <c r="R1332" t="inlineStr">
        <is>
          <t>418-2023-03-31</t>
        </is>
      </c>
    </row>
    <row r="1333" hidden="1">
      <c r="A1333" t="n">
        <v>418</v>
      </c>
      <c r="B1333" t="inlineStr">
        <is>
          <t>Cumplimiento Plan Anual Vicerrectoría Académica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08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104.35666666667</v>
      </c>
      <c r="L1333" s="39">
        <f>IFERROR(IF(OR(J1333=0,K1333=""),"",IF(E1333="Positivo",MIN(MAX(K1333/J1333,0),1.3),MIN(MAX(J1333/K1333,0),1.3))),"") </f>
        <v/>
      </c>
      <c r="M1333" s="39">
        <f>IFERROR(IF(OR(J1333=0,K1333=""),"",IF(E1333="Positivo",MAX(K1333/J1333,0),MAX(J1333/K1333,0))),"") </f>
        <v/>
      </c>
      <c r="P1333" t="n">
        <v>0</v>
      </c>
      <c r="Q1333" t="n">
        <v>0</v>
      </c>
      <c r="R1333" t="inlineStr">
        <is>
          <t>418-2023-06-30</t>
        </is>
      </c>
    </row>
    <row r="1334" hidden="1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08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85.611111111111</v>
      </c>
      <c r="L1334" s="39">
        <f>IFERROR(IF(OR(J1334=0,K1334=""),"",IF(E1334="Positivo",MIN(MAX(K1334/J1334,0),1.3),MIN(MAX(J1334/K1334,0),1.3))),"") </f>
        <v/>
      </c>
      <c r="M1334" s="39">
        <f>IFERROR(IF(OR(J1334=0,K1334=""),"",IF(E1334="Positivo",MAX(K1334/J1334,0),MAX(J1334/K1334,0))),"") </f>
        <v/>
      </c>
      <c r="P1334" t="n">
        <v>0</v>
      </c>
      <c r="Q1334" t="n">
        <v>0</v>
      </c>
      <c r="R1334" t="inlineStr">
        <is>
          <t>418-2023-09-30</t>
        </is>
      </c>
    </row>
    <row r="1335" hidden="1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08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95.802222222222</v>
      </c>
      <c r="L1335" s="39">
        <f>IFERROR(IF(OR(J1335=0,K1335=""),"",IF(E1335="Positivo",MIN(MAX(K1335/J1335,0),1.3),MIN(MAX(J1335/K1335,0),1.3))),"") </f>
        <v/>
      </c>
      <c r="M1335" s="39">
        <f>IFERROR(IF(OR(J1335=0,K1335=""),"",IF(E1335="Positivo",MAX(K1335/J1335,0),MAX(J1335/K1335,0))),"") </f>
        <v/>
      </c>
      <c r="P1335" t="n">
        <v>0</v>
      </c>
      <c r="Q1335" t="n">
        <v>0</v>
      </c>
      <c r="R1335" t="inlineStr">
        <is>
          <t>418-2023-12-31</t>
        </is>
      </c>
    </row>
    <row r="1336" hidden="1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08" t="n">
        <v>45473</v>
      </c>
      <c r="G1336" t="n">
        <v>2024</v>
      </c>
      <c r="H1336" t="inlineStr">
        <is>
          <t>Junio</t>
        </is>
      </c>
      <c r="I1336" t="inlineStr">
        <is>
          <t>2024-1</t>
        </is>
      </c>
      <c r="J1336" t="n">
        <v>100</v>
      </c>
      <c r="K1336" t="n">
        <v>100.79</v>
      </c>
      <c r="L1336" s="39">
        <f>IFERROR(IF(OR(J1336=0,K1336=""),"",IF(E1336="Positivo",MIN(MAX(K1336/J1336,0),1.3),MIN(MAX(J1336/K1336,0),1.3))),"") </f>
        <v/>
      </c>
      <c r="M1336" s="39">
        <f>IFERROR(IF(OR(J1336=0,K1336=""),"",IF(E1336="Positivo",MAX(K1336/J1336,0),MAX(J1336/K1336,0))),"") </f>
        <v/>
      </c>
      <c r="P1336" t="n">
        <v>0</v>
      </c>
      <c r="Q1336" t="n">
        <v>0</v>
      </c>
      <c r="R1336" t="inlineStr">
        <is>
          <t>418-2024-06-30</t>
        </is>
      </c>
    </row>
    <row r="1337" hidden="1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08" t="n">
        <v>45657</v>
      </c>
      <c r="G1337" t="n">
        <v>2024</v>
      </c>
      <c r="H1337" t="inlineStr">
        <is>
          <t>Diciembre</t>
        </is>
      </c>
      <c r="I1337" t="inlineStr">
        <is>
          <t>2024-2</t>
        </is>
      </c>
      <c r="J1337" t="n">
        <v>100</v>
      </c>
      <c r="K1337" t="n">
        <v>97.78</v>
      </c>
      <c r="L1337" s="39">
        <f>IFERROR(IF(OR(J1337=0,K1337=""),"",IF(E1337="Positivo",MIN(MAX(K1337/J1337,0),1.3),MIN(MAX(J1337/K1337,0),1.3))),"") </f>
        <v/>
      </c>
      <c r="M1337" s="39">
        <f>IFERROR(IF(OR(J1337=0,K1337=""),"",IF(E1337="Positivo",MAX(K1337/J1337,0),MAX(J1337/K1337,0))),"") </f>
        <v/>
      </c>
      <c r="P1337" t="n">
        <v>0</v>
      </c>
      <c r="Q1337" t="n">
        <v>0</v>
      </c>
      <c r="R1337" t="inlineStr">
        <is>
          <t>418-2024-12-31</t>
        </is>
      </c>
    </row>
    <row r="1338" hidden="1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Semestral</t>
        </is>
      </c>
      <c r="E1338" t="inlineStr">
        <is>
          <t>Positivo</t>
        </is>
      </c>
      <c r="F1338" s="108" t="n">
        <v>45838</v>
      </c>
      <c r="G1338" t="n">
        <v>2025</v>
      </c>
      <c r="H1338" t="inlineStr">
        <is>
          <t>Junio</t>
        </is>
      </c>
      <c r="I1338" t="inlineStr">
        <is>
          <t>2025-1</t>
        </is>
      </c>
      <c r="J1338" t="n">
        <v>100</v>
      </c>
      <c r="K1338" t="n">
        <v>105.83</v>
      </c>
      <c r="L1338" s="39">
        <f>IFERROR(IF(OR(J1338=0,K1338=""),"",IF(E1338="Positivo",MIN(MAX(K1338/J1338,0),1.3),MIN(MAX(J1338/K1338,0),1.3))),"") </f>
        <v/>
      </c>
      <c r="M1338" s="39">
        <f>IFERROR(IF(OR(J1338=0,K1338=""),"",IF(E1338="Positivo",MAX(K1338/J1338,0),MAX(J1338/K1338,0))),"") </f>
        <v/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418-2025-06-30</t>
        </is>
      </c>
    </row>
    <row r="1339" hidden="1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08" t="n">
        <v>46022</v>
      </c>
      <c r="G1339" t="n">
        <v>2025</v>
      </c>
      <c r="H1339" t="inlineStr">
        <is>
          <t>Diciembre</t>
        </is>
      </c>
      <c r="I1339" t="inlineStr">
        <is>
          <t>2025-2</t>
        </is>
      </c>
      <c r="J1339" t="n">
        <v>100</v>
      </c>
      <c r="K1339" t="n">
        <v>99.61</v>
      </c>
      <c r="L1339" s="39">
        <f>IFERROR(IF(OR(J1339=0,K1339=""),"",IF(E1339="Positivo",MIN(MAX(K1339/J1339,0),1.3),MIN(MAX(J1339/K1339,0),1.3))),"") </f>
        <v/>
      </c>
      <c r="M1339" s="39">
        <f>IFERROR(IF(OR(J1339=0,K1339=""),"",IF(E1339="Positivo",MAX(K1339/J1339,0),MAX(J1339/K1339,0))),"") </f>
        <v/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418-2025-12-31</t>
        </is>
      </c>
    </row>
    <row r="1340" hidden="1">
      <c r="A1340" t="n">
        <v>419</v>
      </c>
      <c r="B1340" t="inlineStr">
        <is>
          <t>Cumplimiento Plan Anual Áreas sede Medellín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08" t="n">
        <v>45016</v>
      </c>
      <c r="G1340" t="n">
        <v>2023</v>
      </c>
      <c r="H1340" t="inlineStr">
        <is>
          <t>Marzo</t>
        </is>
      </c>
      <c r="I1340" t="inlineStr">
        <is>
          <t>2023-1</t>
        </is>
      </c>
      <c r="L1340" s="39" t="n"/>
      <c r="M1340" s="39" t="n"/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419-2023-03-31</t>
        </is>
      </c>
    </row>
    <row r="1341" hidden="1">
      <c r="A1341" t="n">
        <v>419</v>
      </c>
      <c r="B1341" t="inlineStr">
        <is>
          <t>Cumplimiento Plan Anual Áreas sede Medellín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08" t="n">
        <v>45107</v>
      </c>
      <c r="G1341" t="n">
        <v>2023</v>
      </c>
      <c r="H1341" t="inlineStr">
        <is>
          <t>Junio</t>
        </is>
      </c>
      <c r="I1341" t="inlineStr">
        <is>
          <t>2023-1</t>
        </is>
      </c>
      <c r="J1341" t="n">
        <v>100</v>
      </c>
      <c r="K1341" t="n">
        <v>108.3</v>
      </c>
      <c r="L1341" s="39">
        <f>IFERROR(IF(OR(J1341=0,K1341=""),"",IF(E1341="Positivo",MIN(MAX(K1341/J1341,0),1.3),MIN(MAX(J1341/K1341,0),1.3))),"") </f>
        <v/>
      </c>
      <c r="M1341" s="3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419-2023-06-30</t>
        </is>
      </c>
    </row>
    <row r="1342" hidden="1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08" t="n">
        <v>45199</v>
      </c>
      <c r="G1342" t="n">
        <v>2023</v>
      </c>
      <c r="H1342" t="inlineStr">
        <is>
          <t>Septiembre</t>
        </is>
      </c>
      <c r="I1342" t="inlineStr">
        <is>
          <t>2023-2</t>
        </is>
      </c>
      <c r="J1342" t="n">
        <v>100</v>
      </c>
      <c r="K1342" t="n">
        <v>88.34999999999999</v>
      </c>
      <c r="L1342" s="39">
        <f>IFERROR(IF(OR(J1342=0,K1342=""),"",IF(E1342="Positivo",MIN(MAX(K1342/J1342,0),1.3),MIN(MAX(J1342/K1342,0),1.3))),"") </f>
        <v/>
      </c>
      <c r="M1342" s="39">
        <f>IFERROR(IF(OR(J1342=0,K1342=""),"",IF(E1342="Positivo",MAX(K1342/J1342,0),MAX(J1342/K1342,0))),"") </f>
        <v/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419-2023-09-30</t>
        </is>
      </c>
    </row>
    <row r="1343" hidden="1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08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100</v>
      </c>
      <c r="K1343" t="n">
        <v>93.56</v>
      </c>
      <c r="L1343" s="39">
        <f>IFERROR(IF(OR(J1343=0,K1343=""),"",IF(E1343="Positivo",MIN(MAX(K1343/J1343,0),1.3),MIN(MAX(J1343/K1343,0),1.3))),"") </f>
        <v/>
      </c>
      <c r="M1343" s="39">
        <f>IFERROR(IF(OR(J1343=0,K1343=""),"",IF(E1343="Positivo",MAX(K1343/J1343,0),MAX(J1343/K1343,0))),"") </f>
        <v/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419-2023-12-31</t>
        </is>
      </c>
    </row>
    <row r="1344" hidden="1">
      <c r="A1344" t="n">
        <v>420</v>
      </c>
      <c r="B1344" t="inlineStr">
        <is>
          <t>Cumplimiento Plan Anual Gerencia de estrategia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08" t="n">
        <v>45016</v>
      </c>
      <c r="G1344" t="n">
        <v>2023</v>
      </c>
      <c r="H1344" t="inlineStr">
        <is>
          <t>Marzo</t>
        </is>
      </c>
      <c r="I1344" t="inlineStr">
        <is>
          <t>2023-1</t>
        </is>
      </c>
      <c r="J1344" t="n">
        <v>100</v>
      </c>
      <c r="K1344" t="n">
        <v>0</v>
      </c>
      <c r="L1344" s="39">
        <f>IFERROR(IF(OR(J1344=0,K1344=""),"",IF(E1344="Positivo",MIN(MAX(K1344/J1344,0),1.3),MIN(MAX(J1344/K1344,0),1.3))),"") </f>
        <v/>
      </c>
      <c r="M1344" s="39">
        <f>IFERROR(IF(OR(J1344=0,K1344=""),"",IF(E1344="Positivo",MAX(K1344/J1344,0),MAX(J1344/K1344,0))),"") </f>
        <v/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420-2023-03-31</t>
        </is>
      </c>
    </row>
    <row r="1345" hidden="1">
      <c r="A1345" t="n">
        <v>420</v>
      </c>
      <c r="B1345" t="inlineStr">
        <is>
          <t>Cumplimiento Plan Anual Gerencia de estrategia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08" t="n">
        <v>45107</v>
      </c>
      <c r="G1345" t="n">
        <v>2023</v>
      </c>
      <c r="H1345" t="inlineStr">
        <is>
          <t>Junio</t>
        </is>
      </c>
      <c r="I1345" t="inlineStr">
        <is>
          <t>2023-1</t>
        </is>
      </c>
      <c r="J1345" t="n">
        <v>100</v>
      </c>
      <c r="K1345" t="n">
        <v>106.53</v>
      </c>
      <c r="L1345" s="39">
        <f>IFERROR(IF(OR(J1345=0,K1345=""),"",IF(E1345="Positivo",MIN(MAX(K1345/J1345,0),1.3),MIN(MAX(J1345/K1345,0),1.3))),"") </f>
        <v/>
      </c>
      <c r="M1345" s="39">
        <f>IFERROR(IF(OR(J1345=0,K1345=""),"",IF(E1345="Positivo",MAX(K1345/J1345,0),MAX(J1345/K1345,0))),"") </f>
        <v/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420-2023-06-30</t>
        </is>
      </c>
    </row>
    <row r="1346" hidden="1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08" t="n">
        <v>45199</v>
      </c>
      <c r="G1346" t="n">
        <v>2023</v>
      </c>
      <c r="H1346" t="inlineStr">
        <is>
          <t>Septiembre</t>
        </is>
      </c>
      <c r="I1346" t="inlineStr">
        <is>
          <t>2023-2</t>
        </is>
      </c>
      <c r="J1346" t="n">
        <v>100</v>
      </c>
      <c r="K1346" t="n">
        <v>94.69</v>
      </c>
      <c r="L1346" s="39">
        <f>IFERROR(IF(OR(J1346=0,K1346=""),"",IF(E1346="Positivo",MIN(MAX(K1346/J1346,0),1.3),MIN(MAX(J1346/K1346,0),1.3))),"") </f>
        <v/>
      </c>
      <c r="M1346" s="39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420-2023-09-30</t>
        </is>
      </c>
    </row>
    <row r="1347" hidden="1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08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100</v>
      </c>
      <c r="K1347" t="n">
        <v>100</v>
      </c>
      <c r="L1347" s="39">
        <f>IFERROR(IF(OR(J1347=0,K1347=""),"",IF(E1347="Positivo",MIN(MAX(K1347/J1347,0),1.3),MIN(MAX(J1347/K1347,0),1.3))),"") </f>
        <v/>
      </c>
      <c r="M1347" s="3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420-2023-12-31</t>
        </is>
      </c>
    </row>
    <row r="1348" hidden="1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08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100</v>
      </c>
      <c r="K1348" t="n">
        <v>89.33</v>
      </c>
      <c r="L1348" s="39">
        <f>IFERROR(IF(OR(J1348=0,K1348=""),"",IF(E1348="Positivo",MIN(MAX(K1348/J1348,0),1.3),MIN(MAX(J1348/K1348,0),1.3))),"") </f>
        <v/>
      </c>
      <c r="M1348" s="39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420-2024-06-30</t>
        </is>
      </c>
    </row>
    <row r="1349" hidden="1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08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100</v>
      </c>
      <c r="K1349" t="n">
        <v>96.67</v>
      </c>
      <c r="L1349" s="39">
        <f>IFERROR(IF(OR(J1349=0,K1349=""),"",IF(E1349="Positivo",MIN(MAX(K1349/J1349,0),1.3),MIN(MAX(J1349/K1349,0),1.3))),"") </f>
        <v/>
      </c>
      <c r="M1349" s="39">
        <f>IFERROR(IF(OR(J1349=0,K1349=""),"",IF(E1349="Positivo",MAX(K1349/J1349,0),MAX(J1349/K1349,0))),"") </f>
        <v/>
      </c>
      <c r="P1349" t="n">
        <v>0</v>
      </c>
      <c r="Q1349" t="n">
        <v>0</v>
      </c>
      <c r="R1349" t="inlineStr">
        <is>
          <t>420-2024-12-31</t>
        </is>
      </c>
    </row>
    <row r="1350" hidden="1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108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100</v>
      </c>
      <c r="K1350" t="n">
        <v>108.52</v>
      </c>
      <c r="L1350" s="39">
        <f>IFERROR(IF(OR(J1350=0,K1350=""),"",IF(E1350="Positivo",MIN(MAX(K1350/J1350,0),1.3),MIN(MAX(J1350/K1350,0),1.3))),"") </f>
        <v/>
      </c>
      <c r="M1350" s="3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420-2025-06-30</t>
        </is>
      </c>
    </row>
    <row r="1351" hidden="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Semestral</t>
        </is>
      </c>
      <c r="E1351" t="inlineStr">
        <is>
          <t>Positivo</t>
        </is>
      </c>
      <c r="F1351" s="108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100</v>
      </c>
      <c r="K1351" t="n">
        <v>100</v>
      </c>
      <c r="L1351" s="39">
        <f>IFERROR(IF(OR(J1351=0,K1351=""),"",IF(E1351="Positivo",MIN(MAX(K1351/J1351,0),1.3),MIN(MAX(J1351/K1351,0),1.3))),"") </f>
        <v/>
      </c>
      <c r="M1351" s="39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420-2025-12-31</t>
        </is>
      </c>
    </row>
    <row r="1352" hidden="1">
      <c r="A1352" t="n">
        <v>421</v>
      </c>
      <c r="B1352" t="inlineStr">
        <is>
          <t>Total Leads por canales de captación</t>
        </is>
      </c>
      <c r="C1352" t="inlineStr">
        <is>
          <t>Mercadeo de programas académicos</t>
        </is>
      </c>
      <c r="D1352" t="inlineStr">
        <is>
          <t>Semestral</t>
        </is>
      </c>
      <c r="E1352" t="inlineStr">
        <is>
          <t>Positivo</t>
        </is>
      </c>
      <c r="F1352" s="108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104072</v>
      </c>
      <c r="K1352" t="n">
        <v>140002</v>
      </c>
      <c r="L1352" s="39">
        <f>IFERROR(IF(OR(J1352=0,K1352=""),"",IF(E1352="Positivo",MIN(MAX(K1352/J1352,0),1.3),MIN(MAX(J1352/K1352,0),1.3))),"") </f>
        <v/>
      </c>
      <c r="M1352" s="39">
        <f>IFERROR(IF(OR(J1352=0,K1352=""),"",IF(E1352="Positivo",MAX(K1352/J1352,0),MAX(J1352/K1352,0))),"") </f>
        <v/>
      </c>
      <c r="P1352" t="n">
        <v>0</v>
      </c>
      <c r="Q1352" t="n">
        <v>0</v>
      </c>
      <c r="R1352" t="inlineStr">
        <is>
          <t>421-2023-06-30</t>
        </is>
      </c>
    </row>
    <row r="1353" hidden="1">
      <c r="A1353" t="n">
        <v>421</v>
      </c>
      <c r="B1353" t="inlineStr">
        <is>
          <t>Total Leads por canales de captación</t>
        </is>
      </c>
      <c r="C1353" t="inlineStr">
        <is>
          <t>Mercadeo de programas académicos</t>
        </is>
      </c>
      <c r="D1353" t="inlineStr">
        <is>
          <t>Semestral</t>
        </is>
      </c>
      <c r="E1353" t="inlineStr">
        <is>
          <t>Positivo</t>
        </is>
      </c>
      <c r="F1353" s="108" t="n">
        <v>45291</v>
      </c>
      <c r="G1353" t="n">
        <v>2023</v>
      </c>
      <c r="H1353" t="inlineStr">
        <is>
          <t>Diciembre</t>
        </is>
      </c>
      <c r="I1353" t="inlineStr">
        <is>
          <t>2023-2</t>
        </is>
      </c>
      <c r="J1353" t="n">
        <v>97200</v>
      </c>
      <c r="K1353" t="n">
        <v>136199</v>
      </c>
      <c r="L1353" s="39">
        <f>IFERROR(IF(OR(J1353=0,K1353=""),"",IF(E1353="Positivo",MIN(MAX(K1353/J1353,0),1.3),MIN(MAX(J1353/K1353,0),1.3))),"") </f>
        <v/>
      </c>
      <c r="M1353" s="39">
        <f>IFERROR(IF(OR(J1353=0,K1353=""),"",IF(E1353="Positivo",MAX(K1353/J1353,0),MAX(J1353/K1353,0))),"") </f>
        <v/>
      </c>
      <c r="P1353" t="n">
        <v>0</v>
      </c>
      <c r="Q1353" t="n">
        <v>0</v>
      </c>
      <c r="R1353" t="inlineStr">
        <is>
          <t>421-2023-12-31</t>
        </is>
      </c>
    </row>
    <row r="1354" hidden="1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08" t="n">
        <v>45473</v>
      </c>
      <c r="G1354" t="n">
        <v>2024</v>
      </c>
      <c r="H1354" t="inlineStr">
        <is>
          <t>Junio</t>
        </is>
      </c>
      <c r="I1354" t="inlineStr">
        <is>
          <t>2024-1</t>
        </is>
      </c>
      <c r="J1354" t="n">
        <v>147043</v>
      </c>
      <c r="K1354" t="n">
        <v>177740</v>
      </c>
      <c r="L1354" s="39">
        <f>IFERROR(IF(OR(J1354=0,K1354=""),"",IF(E1354="Positivo",MIN(MAX(K1354/J1354,0),1.3),MIN(MAX(J1354/K1354,0),1.3))),"") </f>
        <v/>
      </c>
      <c r="M1354" s="39">
        <f>IFERROR(IF(OR(J1354=0,K1354=""),"",IF(E1354="Positivo",MAX(K1354/J1354,0),MAX(J1354/K1354,0))),"") </f>
        <v/>
      </c>
      <c r="P1354" t="n">
        <v>0</v>
      </c>
      <c r="Q1354" t="n">
        <v>0</v>
      </c>
      <c r="R1354" t="inlineStr">
        <is>
          <t>421-2024-06-30</t>
        </is>
      </c>
    </row>
    <row r="1355" hidden="1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08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100</v>
      </c>
      <c r="K1355" t="n">
        <v>121.44</v>
      </c>
      <c r="L1355" s="39">
        <f>IFERROR(IF(OR(J1355=0,K1355=""),"",IF(E1355="Positivo",MIN(MAX(K1355/J1355,0),1.3),MIN(MAX(J1355/K1355,0),1.3))),"") </f>
        <v/>
      </c>
      <c r="M1355" s="39">
        <f>IFERROR(IF(OR(J1355=0,K1355=""),"",IF(E1355="Positivo",MAX(K1355/J1355,0),MAX(J1355/K1355,0))),"") </f>
        <v/>
      </c>
      <c r="P1355" t="n">
        <v>0</v>
      </c>
      <c r="Q1355" t="n">
        <v>0</v>
      </c>
      <c r="R1355" t="inlineStr">
        <is>
          <t>421-2024-12-31</t>
        </is>
      </c>
    </row>
    <row r="1356" hidden="1">
      <c r="A1356" t="n">
        <v>422</v>
      </c>
      <c r="B1356" t="inlineStr">
        <is>
          <t>Total conversión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08" t="n">
        <v>45107</v>
      </c>
      <c r="G1356" t="n">
        <v>2023</v>
      </c>
      <c r="H1356" t="inlineStr">
        <is>
          <t>Junio</t>
        </is>
      </c>
      <c r="I1356" t="inlineStr">
        <is>
          <t>2023-1</t>
        </is>
      </c>
      <c r="J1356" t="n">
        <v>11.7</v>
      </c>
      <c r="K1356" t="n">
        <v>11.973211368834</v>
      </c>
      <c r="L1356" s="39">
        <f>IFERROR(IF(OR(J1356=0,K1356=""),"",IF(E1356="Positivo",MIN(MAX(K1356/J1356,0),1.3),MIN(MAX(J1356/K1356,0),1.3))),"") </f>
        <v/>
      </c>
      <c r="M1356" s="39">
        <f>IFERROR(IF(OR(J1356=0,K1356=""),"",IF(E1356="Positivo",MAX(K1356/J1356,0),MAX(J1356/K1356,0))),"") </f>
        <v/>
      </c>
      <c r="N1356" t="inlineStr">
        <is>
          <t>%</t>
        </is>
      </c>
      <c r="O1356" t="inlineStr">
        <is>
          <t>%</t>
        </is>
      </c>
      <c r="P1356" t="n">
        <v>2</v>
      </c>
      <c r="Q1356" t="n">
        <v>2</v>
      </c>
      <c r="R1356" t="inlineStr">
        <is>
          <t>422-2023-06-30</t>
        </is>
      </c>
    </row>
    <row r="1357" hidden="1">
      <c r="A1357" t="n">
        <v>422</v>
      </c>
      <c r="B1357" t="inlineStr">
        <is>
          <t>Total conversión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08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10.5</v>
      </c>
      <c r="K1357" t="n">
        <v>11.04</v>
      </c>
      <c r="L1357" s="39">
        <f>IFERROR(IF(OR(J1357=0,K1357=""),"",IF(E1357="Positivo",MIN(MAX(K1357/J1357,0),1.3),MIN(MAX(J1357/K1357,0),1.3))),"") </f>
        <v/>
      </c>
      <c r="M1357" s="39">
        <f>IFERROR(IF(OR(J1357=0,K1357=""),"",IF(E1357="Positivo",MAX(K1357/J1357,0),MAX(J1357/K1357,0))),"") </f>
        <v/>
      </c>
      <c r="N1357" t="inlineStr">
        <is>
          <t>%</t>
        </is>
      </c>
      <c r="O1357" t="inlineStr">
        <is>
          <t>%</t>
        </is>
      </c>
      <c r="P1357" t="n">
        <v>2</v>
      </c>
      <c r="Q1357" t="n">
        <v>2</v>
      </c>
      <c r="R1357" t="inlineStr">
        <is>
          <t>422-2023-12-31</t>
        </is>
      </c>
    </row>
    <row r="1358" hidden="1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08" t="n">
        <v>45473</v>
      </c>
      <c r="G1358" t="n">
        <v>2024</v>
      </c>
      <c r="H1358" t="inlineStr">
        <is>
          <t>Junio</t>
        </is>
      </c>
      <c r="I1358" t="inlineStr">
        <is>
          <t>2024-1</t>
        </is>
      </c>
      <c r="J1358" t="n">
        <v>9.25</v>
      </c>
      <c r="K1358" t="n">
        <v>8.859999999999999</v>
      </c>
      <c r="L1358" s="39">
        <f>IFERROR(IF(OR(J1358=0,K1358=""),"",IF(E1358="Positivo",MIN(MAX(K1358/J1358,0),1.3),MIN(MAX(J1358/K1358,0),1.3))),"") </f>
        <v/>
      </c>
      <c r="M1358" s="39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422-2024-06-30</t>
        </is>
      </c>
    </row>
    <row r="1359" hidden="1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08" t="n">
        <v>45657</v>
      </c>
      <c r="G1359" t="n">
        <v>2024</v>
      </c>
      <c r="H1359" t="inlineStr">
        <is>
          <t>Diciembre</t>
        </is>
      </c>
      <c r="I1359" t="inlineStr">
        <is>
          <t>2024-2</t>
        </is>
      </c>
      <c r="J1359" t="n">
        <v>8.01</v>
      </c>
      <c r="K1359" t="n">
        <v>7.91</v>
      </c>
      <c r="L1359" s="39">
        <f>IFERROR(IF(OR(J1359=0,K1359=""),"",IF(E1359="Positivo",MIN(MAX(K1359/J1359,0),1.3),MIN(MAX(J1359/K1359,0),1.3))),"") </f>
        <v/>
      </c>
      <c r="M1359" s="39">
        <f>IFERROR(IF(OR(J1359=0,K1359=""),"",IF(E1359="Positivo",MAX(K1359/J1359,0),MAX(J1359/K1359,0))),"") </f>
        <v/>
      </c>
      <c r="P1359" t="n">
        <v>0</v>
      </c>
      <c r="Q1359" t="n">
        <v>0</v>
      </c>
      <c r="R1359" t="inlineStr">
        <is>
          <t>422-2024-12-31</t>
        </is>
      </c>
    </row>
    <row r="1360" hidden="1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Trimestral</t>
        </is>
      </c>
      <c r="E1360" t="inlineStr">
        <is>
          <t>Positivo</t>
        </is>
      </c>
      <c r="F1360" s="108" t="n">
        <v>45838</v>
      </c>
      <c r="G1360" t="n">
        <v>2025</v>
      </c>
      <c r="H1360" t="inlineStr">
        <is>
          <t>Junio</t>
        </is>
      </c>
      <c r="I1360" t="inlineStr">
        <is>
          <t>2025-1</t>
        </is>
      </c>
      <c r="J1360" t="n">
        <v>7.83</v>
      </c>
      <c r="K1360" t="n">
        <v>8.199999999999999</v>
      </c>
      <c r="L1360" s="39">
        <f>IFERROR(IF(OR(J1360=0,K1360=""),"",IF(E1360="Positivo",MIN(MAX(K1360/J1360,0),1.3),MIN(MAX(J1360/K1360,0),1.3))),"") </f>
        <v/>
      </c>
      <c r="M1360" s="39">
        <f>IFERROR(IF(OR(J1360=0,K1360=""),"",IF(E1360="Positivo",MAX(K1360/J1360,0),MAX(J1360/K1360,0))),"") </f>
        <v/>
      </c>
      <c r="N1360" t="inlineStr">
        <is>
          <t>%</t>
        </is>
      </c>
      <c r="O1360" t="inlineStr">
        <is>
          <t>%</t>
        </is>
      </c>
      <c r="P1360" t="n">
        <v>2</v>
      </c>
      <c r="Q1360" t="n">
        <v>2</v>
      </c>
      <c r="R1360" t="inlineStr">
        <is>
          <t>422-2025-06-30</t>
        </is>
      </c>
    </row>
    <row r="1361" hidden="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Trimestral</t>
        </is>
      </c>
      <c r="E1361" t="inlineStr">
        <is>
          <t>Positivo</t>
        </is>
      </c>
      <c r="F1361" s="108" t="n">
        <v>46022</v>
      </c>
      <c r="G1361" t="n">
        <v>2025</v>
      </c>
      <c r="H1361" t="inlineStr">
        <is>
          <t>Diciembre</t>
        </is>
      </c>
      <c r="I1361" t="inlineStr">
        <is>
          <t>2025-2</t>
        </is>
      </c>
      <c r="J1361" t="n">
        <v>7.68</v>
      </c>
      <c r="K1361" t="n">
        <v>7.87</v>
      </c>
      <c r="L1361" s="39">
        <f>IFERROR(IF(OR(J1361=0,K1361=""),"",IF(E1361="Positivo",MIN(MAX(K1361/J1361,0),1.3),MIN(MAX(J1361/K1361,0),1.3))),"") </f>
        <v/>
      </c>
      <c r="M1361" s="39">
        <f>IFERROR(IF(OR(J1361=0,K1361=""),"",IF(E1361="Positivo",MAX(K1361/J1361,0),MAX(J1361/K1361,0))),"") </f>
        <v/>
      </c>
      <c r="N1361" t="inlineStr">
        <is>
          <t>%</t>
        </is>
      </c>
      <c r="O1361" t="inlineStr">
        <is>
          <t>%</t>
        </is>
      </c>
      <c r="P1361" t="n">
        <v>2</v>
      </c>
      <c r="Q1361" t="n">
        <v>2</v>
      </c>
      <c r="R1361" t="inlineStr">
        <is>
          <t>422-2025-12-31</t>
        </is>
      </c>
    </row>
    <row r="1362" hidden="1">
      <c r="A1362" t="n">
        <v>423</v>
      </c>
      <c r="B1362" t="inlineStr">
        <is>
          <t>Brand equity</t>
        </is>
      </c>
      <c r="C1362" t="inlineStr">
        <is>
          <t>Mercadeo de programas académicos</t>
        </is>
      </c>
      <c r="D1362" t="inlineStr">
        <is>
          <t>Anual</t>
        </is>
      </c>
      <c r="E1362" t="inlineStr">
        <is>
          <t>Positivo</t>
        </is>
      </c>
      <c r="F1362" s="108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8.4</v>
      </c>
      <c r="K1362" t="n">
        <v>7.9</v>
      </c>
      <c r="L1362" s="39">
        <f>IFERROR(IF(OR(J1362=0,K1362=""),"",IF(E1362="Positivo",MIN(MAX(K1362/J1362,0),1.3),MIN(MAX(J1362/K1362,0),1.3))),"") </f>
        <v/>
      </c>
      <c r="M1362" s="39">
        <f>IFERROR(IF(OR(J1362=0,K1362=""),"",IF(E1362="Positivo",MAX(K1362/J1362,0),MAX(J1362/K1362,0))),"") </f>
        <v/>
      </c>
      <c r="N1362" t="inlineStr">
        <is>
          <t>DEC</t>
        </is>
      </c>
      <c r="O1362" t="inlineStr">
        <is>
          <t>DEC</t>
        </is>
      </c>
      <c r="P1362" t="n">
        <v>1</v>
      </c>
      <c r="Q1362" t="n">
        <v>1</v>
      </c>
      <c r="R1362" t="inlineStr">
        <is>
          <t>423-2023-12-31</t>
        </is>
      </c>
    </row>
    <row r="1363" hidden="1">
      <c r="A1363" t="n">
        <v>423</v>
      </c>
      <c r="B1363" t="inlineStr">
        <is>
          <t>Brand equity</t>
        </is>
      </c>
      <c r="C1363" t="inlineStr">
        <is>
          <t>Mercadeo de programas académicos</t>
        </is>
      </c>
      <c r="D1363" t="inlineStr">
        <is>
          <t>Anual</t>
        </is>
      </c>
      <c r="E1363" t="inlineStr">
        <is>
          <t>Positivo</t>
        </is>
      </c>
      <c r="F1363" s="108" t="n">
        <v>45657</v>
      </c>
      <c r="G1363" t="n">
        <v>2024</v>
      </c>
      <c r="H1363" t="inlineStr">
        <is>
          <t>Diciembre</t>
        </is>
      </c>
      <c r="I1363" t="inlineStr">
        <is>
          <t>2024-2</t>
        </is>
      </c>
      <c r="J1363" t="n">
        <v>8.300000000000001</v>
      </c>
      <c r="K1363" t="n">
        <v>12.3</v>
      </c>
      <c r="L1363" s="39">
        <f>IFERROR(IF(OR(J1363=0,K1363=""),"",IF(E1363="Positivo",MIN(MAX(K1363/J1363,0),1.3),MIN(MAX(J1363/K1363,0),1.3))),"") </f>
        <v/>
      </c>
      <c r="M1363" s="39">
        <f>IFERROR(IF(OR(J1363=0,K1363=""),"",IF(E1363="Positivo",MAX(K1363/J1363,0),MAX(J1363/K1363,0))),"") </f>
        <v/>
      </c>
      <c r="N1363" t="inlineStr">
        <is>
          <t>DEC</t>
        </is>
      </c>
      <c r="O1363" t="inlineStr">
        <is>
          <t>DEC</t>
        </is>
      </c>
      <c r="P1363" t="n">
        <v>1</v>
      </c>
      <c r="Q1363" t="n">
        <v>1</v>
      </c>
      <c r="R1363" t="inlineStr">
        <is>
          <t>423-2024-12-31</t>
        </is>
      </c>
    </row>
    <row r="1364" hidden="1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08" t="n">
        <v>46022</v>
      </c>
      <c r="G1364" t="n">
        <v>2025</v>
      </c>
      <c r="H1364" t="inlineStr">
        <is>
          <t>Diciembre</t>
        </is>
      </c>
      <c r="I1364" t="inlineStr">
        <is>
          <t>2025-2</t>
        </is>
      </c>
      <c r="J1364" t="n">
        <v>12.3</v>
      </c>
      <c r="K1364" t="n">
        <v>15.1</v>
      </c>
      <c r="L1364" s="39">
        <f>IFERROR(IF(OR(J1364=0,K1364=""),"",IF(E1364="Positivo",MIN(MAX(K1364/J1364,0),1.3),MIN(MAX(J1364/K1364,0),1.3))),"") </f>
        <v/>
      </c>
      <c r="M1364" s="39">
        <f>IFERROR(IF(OR(J1364=0,K1364=""),"",IF(E1364="Positivo",MAX(K1364/J1364,0),MAX(J1364/K1364,0))),"") </f>
        <v/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423-2025-12-31</t>
        </is>
      </c>
    </row>
    <row r="1365" hidden="1">
      <c r="A1365" t="n">
        <v>424</v>
      </c>
      <c r="B1365" t="inlineStr">
        <is>
          <t>Conocimiento espontaneo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08" t="n">
        <v>45291</v>
      </c>
      <c r="G1365" t="n">
        <v>2023</v>
      </c>
      <c r="H1365" t="inlineStr">
        <is>
          <t>Diciembre</t>
        </is>
      </c>
      <c r="I1365" t="inlineStr">
        <is>
          <t>2023-2</t>
        </is>
      </c>
      <c r="J1365" t="n">
        <v>92</v>
      </c>
      <c r="K1365" t="n">
        <v>6</v>
      </c>
      <c r="L1365" s="39">
        <f>IFERROR(IF(OR(J1365=0,K1365=""),"",IF(E1365="Positivo",MIN(MAX(K1365/J1365,0),1.3),MIN(MAX(J1365/K1365,0),1.3))),"") </f>
        <v/>
      </c>
      <c r="M1365" s="39">
        <f>IFERROR(IF(OR(J1365=0,K1365=""),"",IF(E1365="Positivo",MAX(K1365/J1365,0),MAX(J1365/K1365,0))),"") </f>
        <v/>
      </c>
      <c r="N1365" t="inlineStr">
        <is>
          <t>ENT</t>
        </is>
      </c>
      <c r="O1365" t="inlineStr">
        <is>
          <t>ENT</t>
        </is>
      </c>
      <c r="P1365" t="n">
        <v>0</v>
      </c>
      <c r="Q1365" t="n">
        <v>0</v>
      </c>
      <c r="R1365" t="inlineStr">
        <is>
          <t>424-2023-12-31</t>
        </is>
      </c>
    </row>
    <row r="1366" hidden="1">
      <c r="A1366" t="n">
        <v>424</v>
      </c>
      <c r="B1366" t="inlineStr">
        <is>
          <t>Conocimiento espontaneo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08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7</v>
      </c>
      <c r="K1366" t="n">
        <v>9</v>
      </c>
      <c r="L1366" s="39">
        <f>IFERROR(IF(OR(J1366=0,K1366=""),"",IF(E1366="Positivo",MIN(MAX(K1366/J1366,0),1.3),MIN(MAX(J1366/K1366,0),1.3))),"") </f>
        <v/>
      </c>
      <c r="M1366" s="39">
        <f>IFERROR(IF(OR(J1366=0,K1366=""),"",IF(E1366="Positivo",MAX(K1366/J1366,0),MAX(J1366/K1366,0))),"") </f>
        <v/>
      </c>
      <c r="N1366" t="inlineStr">
        <is>
          <t>ENT</t>
        </is>
      </c>
      <c r="O1366" t="inlineStr">
        <is>
          <t>ENT</t>
        </is>
      </c>
      <c r="P1366" t="n">
        <v>0</v>
      </c>
      <c r="Q1366" t="n">
        <v>0</v>
      </c>
      <c r="R1366" t="inlineStr">
        <is>
          <t>424-2024-12-31</t>
        </is>
      </c>
    </row>
    <row r="1367" hidden="1">
      <c r="A1367" t="n">
        <v>424</v>
      </c>
      <c r="B1367" t="inlineStr">
        <is>
          <t>Conocimiento espontaneo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08" t="n">
        <v>46022</v>
      </c>
      <c r="G1367" t="n">
        <v>2025</v>
      </c>
      <c r="H1367" t="inlineStr">
        <is>
          <t>Diciembre</t>
        </is>
      </c>
      <c r="I1367" t="inlineStr">
        <is>
          <t>2025-2</t>
        </is>
      </c>
      <c r="J1367" t="n">
        <v>9</v>
      </c>
      <c r="K1367" t="n">
        <v>11</v>
      </c>
      <c r="L1367" s="39">
        <f>IFERROR(IF(OR(J1367=0,K1367=""),"",IF(E1367="Positivo",MIN(MAX(K1367/J1367,0),1.3),MIN(MAX(J1367/K1367,0),1.3))),"") </f>
        <v/>
      </c>
      <c r="M1367" s="39">
        <f>IFERROR(IF(OR(J1367=0,K1367=""),"",IF(E1367="Positivo",MAX(K1367/J1367,0),MAX(J1367/K1367,0))),"") </f>
        <v/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424-2025-12-31</t>
        </is>
      </c>
    </row>
    <row r="1368" hidden="1">
      <c r="A1368" t="n">
        <v>425</v>
      </c>
      <c r="B1368" t="inlineStr">
        <is>
          <t>Cumplimiento Leads Educación para la vida</t>
        </is>
      </c>
      <c r="C1368" t="inlineStr">
        <is>
          <t>Mercadeo y venta de educación para la vida</t>
        </is>
      </c>
      <c r="D1368" t="inlineStr">
        <is>
          <t>Anual</t>
        </is>
      </c>
      <c r="E1368" t="inlineStr">
        <is>
          <t>Positivo</t>
        </is>
      </c>
      <c r="F1368" s="108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5500</v>
      </c>
      <c r="K1368" t="n">
        <v>5785</v>
      </c>
      <c r="L1368" s="39">
        <f>IFERROR(IF(OR(J1368=0,K1368=""),"",IF(E1368="Positivo",MIN(MAX(K1368/J1368,0),1.3),MIN(MAX(J1368/K1368,0),1.3))),"") </f>
        <v/>
      </c>
      <c r="M1368" s="3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425-2023-12-31</t>
        </is>
      </c>
    </row>
    <row r="1369" hidden="1">
      <c r="A1369" t="n">
        <v>425</v>
      </c>
      <c r="B1369" t="inlineStr">
        <is>
          <t>Cumplimiento Leads Educación para la vida</t>
        </is>
      </c>
      <c r="C1369" t="inlineStr">
        <is>
          <t>Mercadeo y venta de educación para la vida</t>
        </is>
      </c>
      <c r="D1369" t="inlineStr">
        <is>
          <t>Semestral</t>
        </is>
      </c>
      <c r="E1369" t="inlineStr">
        <is>
          <t>Positivo</t>
        </is>
      </c>
      <c r="F1369" s="108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100</v>
      </c>
      <c r="K1369" t="n">
        <v>60.69</v>
      </c>
      <c r="L1369" s="39">
        <f>IFERROR(IF(OR(J1369=0,K1369=""),"",IF(E1369="Positivo",MIN(MAX(K1369/J1369,0),1.3),MIN(MAX(J1369/K1369,0),1.3))),"") </f>
        <v/>
      </c>
      <c r="M1369" s="39">
        <f>IFERROR(IF(OR(J1369=0,K1369=""),"",IF(E1369="Positivo",MAX(K1369/J1369,0),MAX(J1369/K1369,0))),"") </f>
        <v/>
      </c>
      <c r="P1369" t="n">
        <v>0</v>
      </c>
      <c r="Q1369" t="n">
        <v>0</v>
      </c>
      <c r="R1369" t="inlineStr">
        <is>
          <t>425-2024-06-30</t>
        </is>
      </c>
    </row>
    <row r="1370" hidden="1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Semestral</t>
        </is>
      </c>
      <c r="E1370" t="inlineStr">
        <is>
          <t>Positivo</t>
        </is>
      </c>
      <c r="F1370" s="108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100</v>
      </c>
      <c r="K1370" t="n">
        <v>164.69</v>
      </c>
      <c r="L1370" s="39">
        <f>IFERROR(IF(OR(J1370=0,K1370=""),"",IF(E1370="Positivo",MIN(MAX(K1370/J1370,0),1.3),MIN(MAX(J1370/K1370,0),1.3))),"") </f>
        <v/>
      </c>
      <c r="M1370" s="39">
        <f>IFERROR(IF(OR(J1370=0,K1370=""),"",IF(E1370="Positivo",MAX(K1370/J1370,0),MAX(J1370/K1370,0))),"") </f>
        <v/>
      </c>
      <c r="P1370" t="n">
        <v>0</v>
      </c>
      <c r="Q1370" t="n">
        <v>0</v>
      </c>
      <c r="R1370" t="inlineStr">
        <is>
          <t>425-2024-12-31</t>
        </is>
      </c>
    </row>
    <row r="1371" hidden="1">
      <c r="A1371" t="n">
        <v>426</v>
      </c>
      <c r="B1371" t="inlineStr">
        <is>
          <t>Cumplimiento en la respuesta a solicitudes de comunicaciones internas</t>
        </is>
      </c>
      <c r="C1371" t="inlineStr">
        <is>
          <t>Comunicaciones Internas</t>
        </is>
      </c>
      <c r="D1371" t="inlineStr">
        <is>
          <t>Semestral</t>
        </is>
      </c>
      <c r="E1371" t="inlineStr">
        <is>
          <t>Positivo</t>
        </is>
      </c>
      <c r="F1371" s="108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K1371" t="n">
        <v>86.98</v>
      </c>
      <c r="L1371" s="39" t="n"/>
      <c r="M1371" s="39" t="n"/>
      <c r="N1371" t="inlineStr">
        <is>
          <t>Linea Base</t>
        </is>
      </c>
      <c r="O1371" t="inlineStr">
        <is>
          <t>%</t>
        </is>
      </c>
      <c r="P1371" t="n">
        <v>0</v>
      </c>
      <c r="Q1371" t="n">
        <v>0</v>
      </c>
      <c r="R1371" t="inlineStr">
        <is>
          <t>426-2023-06-30</t>
        </is>
      </c>
    </row>
    <row r="1372" hidden="1">
      <c r="A1372" t="n">
        <v>426</v>
      </c>
      <c r="B1372" t="inlineStr">
        <is>
          <t>Cumplimiento en la respuesta a solicitudes de comunicaciones internas</t>
        </is>
      </c>
      <c r="C1372" t="inlineStr">
        <is>
          <t>Comunicaciones Internas</t>
        </is>
      </c>
      <c r="D1372" t="inlineStr">
        <is>
          <t>Semestral</t>
        </is>
      </c>
      <c r="E1372" t="inlineStr">
        <is>
          <t>Positivo</t>
        </is>
      </c>
      <c r="F1372" s="108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K1372" t="n">
        <v>92.31</v>
      </c>
      <c r="L1372" s="39" t="n"/>
      <c r="M1372" s="39" t="n"/>
      <c r="N1372" t="inlineStr">
        <is>
          <t>Linea Base</t>
        </is>
      </c>
      <c r="O1372" t="inlineStr">
        <is>
          <t>%</t>
        </is>
      </c>
      <c r="P1372" t="n">
        <v>0</v>
      </c>
      <c r="Q1372" t="n">
        <v>0</v>
      </c>
      <c r="R1372" t="inlineStr">
        <is>
          <t>426-2023-12-31</t>
        </is>
      </c>
    </row>
    <row r="1373" hidden="1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08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80</v>
      </c>
      <c r="K1373" t="n">
        <v>60.27</v>
      </c>
      <c r="L1373" s="39">
        <f>IFERROR(IF(OR(J1373=0,K1373=""),"",IF(E1373="Positivo",MIN(MAX(K1373/J1373,0),1.3),MIN(MAX(J1373/K1373,0),1.3))),"") </f>
        <v/>
      </c>
      <c r="M1373" s="39">
        <f>IFERROR(IF(OR(J1373=0,K1373=""),"",IF(E1373="Positivo",MAX(K1373/J1373,0),MAX(J1373/K1373,0))),"") </f>
        <v/>
      </c>
      <c r="P1373" t="n">
        <v>0</v>
      </c>
      <c r="Q1373" t="n">
        <v>0</v>
      </c>
      <c r="R1373" t="inlineStr">
        <is>
          <t>426-2024-06-30</t>
        </is>
      </c>
    </row>
    <row r="1374" hidden="1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08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80</v>
      </c>
      <c r="K1374" t="n">
        <v>86.72</v>
      </c>
      <c r="L1374" s="39">
        <f>IFERROR(IF(OR(J1374=0,K1374=""),"",IF(E1374="Positivo",MIN(MAX(K1374/J1374,0),1.3),MIN(MAX(J1374/K1374,0),1.3))),"") </f>
        <v/>
      </c>
      <c r="M1374" s="39">
        <f>IFERROR(IF(OR(J1374=0,K1374=""),"",IF(E1374="Positivo",MAX(K1374/J1374,0),MAX(J1374/K1374,0))),"") </f>
        <v/>
      </c>
      <c r="P1374" t="n">
        <v>0</v>
      </c>
      <c r="Q1374" t="n">
        <v>0</v>
      </c>
      <c r="R1374" t="inlineStr">
        <is>
          <t>426-2024-12-31</t>
        </is>
      </c>
    </row>
    <row r="1375" hidden="1">
      <c r="A1375" t="n">
        <v>427</v>
      </c>
      <c r="B1375" t="inlineStr">
        <is>
          <t>Consumo de Agua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108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0.2</v>
      </c>
      <c r="K1375" t="n">
        <v>0.13666666666667</v>
      </c>
      <c r="L1375" s="39">
        <f>IFERROR(IF(OR(J1375=0,K1375=""),"",IF(E1375="Positivo",MIN(MAX(K1375/J1375,0),1.3),MIN(MAX(J1375/K1375,0),1.3))),"") </f>
        <v/>
      </c>
      <c r="M1375" s="39">
        <f>IFERROR(IF(OR(J1375=0,K1375=""),"",IF(E1375="Positivo",MAX(K1375/J1375,0),MAX(J1375/K1375,0))),"") </f>
        <v/>
      </c>
      <c r="N1375" t="inlineStr">
        <is>
          <t>DEC</t>
        </is>
      </c>
      <c r="O1375" t="inlineStr">
        <is>
          <t>DEC</t>
        </is>
      </c>
      <c r="P1375" t="n">
        <v>2</v>
      </c>
      <c r="Q1375" t="n">
        <v>2</v>
      </c>
      <c r="R1375" t="inlineStr">
        <is>
          <t>427-2023-06-30</t>
        </is>
      </c>
    </row>
    <row r="1376" hidden="1">
      <c r="A1376" t="n">
        <v>427</v>
      </c>
      <c r="B1376" t="inlineStr">
        <is>
          <t>Consumo de Agua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08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0.2</v>
      </c>
      <c r="K1376" t="n">
        <v>0.2</v>
      </c>
      <c r="L1376" s="39">
        <f>IFERROR(IF(OR(J1376=0,K1376=""),"",IF(E1376="Positivo",MIN(MAX(K1376/J1376,0),1.3),MIN(MAX(J1376/K1376,0),1.3))),"") </f>
        <v/>
      </c>
      <c r="M1376" s="39">
        <f>IFERROR(IF(OR(J1376=0,K1376=""),"",IF(E1376="Positivo",MAX(K1376/J1376,0),MAX(J1376/K1376,0))),"") </f>
        <v/>
      </c>
      <c r="N1376" t="inlineStr">
        <is>
          <t>DEC</t>
        </is>
      </c>
      <c r="O1376" t="inlineStr">
        <is>
          <t>DEC</t>
        </is>
      </c>
      <c r="P1376" t="n">
        <v>2</v>
      </c>
      <c r="Q1376" t="n">
        <v>2</v>
      </c>
      <c r="R1376" t="inlineStr">
        <is>
          <t>427-2023-12-31</t>
        </is>
      </c>
    </row>
    <row r="1377" hidden="1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08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0.2</v>
      </c>
      <c r="K1377" t="n">
        <v>0.17</v>
      </c>
      <c r="L1377" s="39">
        <f>IFERROR(IF(OR(J1377=0,K1377=""),"",IF(E1377="Positivo",MIN(MAX(K1377/J1377,0),1.3),MIN(MAX(J1377/K1377,0),1.3))),"") </f>
        <v/>
      </c>
      <c r="M1377" s="39">
        <f>IFERROR(IF(OR(J1377=0,K1377=""),"",IF(E1377="Positivo",MAX(K1377/J1377,0),MAX(J1377/K1377,0))),"") </f>
        <v/>
      </c>
      <c r="P1377" t="n">
        <v>0</v>
      </c>
      <c r="Q1377" t="n">
        <v>0</v>
      </c>
      <c r="R1377" t="inlineStr">
        <is>
          <t>427-2024-06-30</t>
        </is>
      </c>
    </row>
    <row r="1378" hidden="1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08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0.2</v>
      </c>
      <c r="K1378" t="n">
        <v>0.17</v>
      </c>
      <c r="L1378" s="39">
        <f>IFERROR(IF(OR(J1378=0,K1378=""),"",IF(E1378="Positivo",MIN(MAX(K1378/J1378,0),1.3),MIN(MAX(J1378/K1378,0),1.3))),"") </f>
        <v/>
      </c>
      <c r="M1378" s="39">
        <f>IFERROR(IF(OR(J1378=0,K1378=""),"",IF(E1378="Positivo",MAX(K1378/J1378,0),MAX(J1378/K1378,0))),"") </f>
        <v/>
      </c>
      <c r="P1378" t="n">
        <v>0</v>
      </c>
      <c r="Q1378" t="n">
        <v>0</v>
      </c>
      <c r="R1378" t="inlineStr">
        <is>
          <t>427-2024-12-31</t>
        </is>
      </c>
    </row>
    <row r="1379" hidden="1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Trimestral</t>
        </is>
      </c>
      <c r="E1379" t="inlineStr">
        <is>
          <t>Negativo</t>
        </is>
      </c>
      <c r="F1379" s="108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0.2</v>
      </c>
      <c r="K1379" t="n">
        <v>0.14</v>
      </c>
      <c r="L1379" s="39">
        <f>IFERROR(IF(OR(J1379=0,K1379=""),"",IF(E1379="Positivo",MIN(MAX(K1379/J1379,0),1.3),MIN(MAX(J1379/K1379,0),1.3))),"") </f>
        <v/>
      </c>
      <c r="M1379" s="39">
        <f>IFERROR(IF(OR(J1379=0,K1379=""),"",IF(E1379="Positivo",MAX(K1379/J1379,0),MAX(J1379/K1379,0))),"") </f>
        <v/>
      </c>
      <c r="N1379" t="inlineStr">
        <is>
          <t>DEC</t>
        </is>
      </c>
      <c r="O1379" t="inlineStr">
        <is>
          <t>DEC</t>
        </is>
      </c>
      <c r="P1379" t="n">
        <v>2</v>
      </c>
      <c r="Q1379" t="n">
        <v>2</v>
      </c>
      <c r="R1379" t="inlineStr">
        <is>
          <t>427-2025-06-30</t>
        </is>
      </c>
    </row>
    <row r="1380" hidden="1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Trimestral</t>
        </is>
      </c>
      <c r="E1380" t="inlineStr">
        <is>
          <t>Negativo</t>
        </is>
      </c>
      <c r="F1380" s="108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0.2</v>
      </c>
      <c r="K1380" t="n">
        <v>0.15</v>
      </c>
      <c r="L1380" s="39">
        <f>IFERROR(IF(OR(J1380=0,K1380=""),"",IF(E1380="Positivo",MIN(MAX(K1380/J1380,0),1.3),MIN(MAX(J1380/K1380,0),1.3))),"") </f>
        <v/>
      </c>
      <c r="M1380" s="39">
        <f>IFERROR(IF(OR(J1380=0,K1380=""),"",IF(E1380="Positivo",MAX(K1380/J1380,0),MAX(J1380/K1380,0))),"") </f>
        <v/>
      </c>
      <c r="N1380" t="inlineStr">
        <is>
          <t>DEC</t>
        </is>
      </c>
      <c r="O1380" t="inlineStr">
        <is>
          <t>DEC</t>
        </is>
      </c>
      <c r="P1380" t="n">
        <v>2</v>
      </c>
      <c r="Q1380" t="n">
        <v>2</v>
      </c>
      <c r="R1380" t="inlineStr">
        <is>
          <t>427-2025-12-31</t>
        </is>
      </c>
    </row>
    <row r="1381" hidden="1">
      <c r="A1381" t="n">
        <v>428</v>
      </c>
      <c r="B1381" t="inlineStr">
        <is>
          <t>Consumo de Energía Eléctrica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108" t="n">
        <v>45107</v>
      </c>
      <c r="G1381" t="n">
        <v>2023</v>
      </c>
      <c r="H1381" t="inlineStr">
        <is>
          <t>Junio</t>
        </is>
      </c>
      <c r="I1381" t="inlineStr">
        <is>
          <t>2023-1</t>
        </is>
      </c>
      <c r="J1381" t="n">
        <v>1</v>
      </c>
      <c r="K1381" t="n">
        <v>17.59</v>
      </c>
      <c r="L1381" s="39">
        <f>IFERROR(IF(OR(J1381=0,K1381=""),"",IF(E1381="Positivo",MIN(MAX(K1381/J1381,0),1.3),MIN(MAX(J1381/K1381,0),1.3))),"") </f>
        <v/>
      </c>
      <c r="M1381" s="39">
        <f>IFERROR(IF(OR(J1381=0,K1381=""),"",IF(E1381="Positivo",MAX(K1381/J1381,0),MAX(J1381/K1381,0))),"") </f>
        <v/>
      </c>
      <c r="N1381" t="inlineStr">
        <is>
          <t>kWh</t>
        </is>
      </c>
      <c r="O1381" t="inlineStr">
        <is>
          <t>kWh</t>
        </is>
      </c>
      <c r="P1381" t="n">
        <v>0</v>
      </c>
      <c r="Q1381" t="n">
        <v>0</v>
      </c>
      <c r="R1381" t="inlineStr">
        <is>
          <t>428-2023-06-30</t>
        </is>
      </c>
    </row>
    <row r="1382" hidden="1">
      <c r="A1382" t="n">
        <v>428</v>
      </c>
      <c r="B1382" t="inlineStr">
        <is>
          <t>Consumo de Energía Eléctrica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08" t="n">
        <v>45291</v>
      </c>
      <c r="G1382" t="n">
        <v>2023</v>
      </c>
      <c r="H1382" t="inlineStr">
        <is>
          <t>Diciembre</t>
        </is>
      </c>
      <c r="I1382" t="inlineStr">
        <is>
          <t>2023-2</t>
        </is>
      </c>
      <c r="J1382" t="n">
        <v>1</v>
      </c>
      <c r="K1382" t="n">
        <v>18.63</v>
      </c>
      <c r="L1382" s="39">
        <f>IFERROR(IF(OR(J1382=0,K1382=""),"",IF(E1382="Positivo",MIN(MAX(K1382/J1382,0),1.3),MIN(MAX(J1382/K1382,0),1.3))),"") </f>
        <v/>
      </c>
      <c r="M1382" s="39">
        <f>IFERROR(IF(OR(J1382=0,K1382=""),"",IF(E1382="Positivo",MAX(K1382/J1382,0),MAX(J1382/K1382,0))),"") </f>
        <v/>
      </c>
      <c r="N1382" t="inlineStr">
        <is>
          <t>kWh</t>
        </is>
      </c>
      <c r="O1382" t="inlineStr">
        <is>
          <t>kWh</t>
        </is>
      </c>
      <c r="P1382" t="n">
        <v>0</v>
      </c>
      <c r="Q1382" t="n">
        <v>0</v>
      </c>
      <c r="R1382" t="inlineStr">
        <is>
          <t>428-2023-12-31</t>
        </is>
      </c>
    </row>
    <row r="1383" hidden="1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08" t="n">
        <v>45473</v>
      </c>
      <c r="G1383" t="n">
        <v>2024</v>
      </c>
      <c r="H1383" t="inlineStr">
        <is>
          <t>Junio</t>
        </is>
      </c>
      <c r="I1383" t="inlineStr">
        <is>
          <t>2024-1</t>
        </is>
      </c>
      <c r="J1383" t="n">
        <v>1</v>
      </c>
      <c r="K1383" t="n">
        <v>16.58</v>
      </c>
      <c r="L1383" s="39">
        <f>IFERROR(IF(OR(J1383=0,K1383=""),"",IF(E1383="Positivo",MIN(MAX(K1383/J1383,0),1.3),MIN(MAX(J1383/K1383,0),1.3))),"") </f>
        <v/>
      </c>
      <c r="M1383" s="39">
        <f>IFERROR(IF(OR(J1383=0,K1383=""),"",IF(E1383="Positivo",MAX(K1383/J1383,0),MAX(J1383/K1383,0))),"") </f>
        <v/>
      </c>
      <c r="N1383" t="inlineStr">
        <is>
          <t>kWh</t>
        </is>
      </c>
      <c r="O1383" t="inlineStr">
        <is>
          <t>kWh</t>
        </is>
      </c>
      <c r="P1383" t="n">
        <v>0</v>
      </c>
      <c r="Q1383" t="n">
        <v>0</v>
      </c>
      <c r="R1383" t="inlineStr">
        <is>
          <t>428-2024-06-30</t>
        </is>
      </c>
    </row>
    <row r="1384" hidden="1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08" t="n">
        <v>45657</v>
      </c>
      <c r="G1384" t="n">
        <v>2024</v>
      </c>
      <c r="H1384" t="inlineStr">
        <is>
          <t>Diciembre</t>
        </is>
      </c>
      <c r="I1384" t="inlineStr">
        <is>
          <t>2024-2</t>
        </is>
      </c>
      <c r="J1384" t="n">
        <v>1</v>
      </c>
      <c r="K1384" t="n">
        <v>18.53</v>
      </c>
      <c r="L1384" s="39">
        <f>IFERROR(IF(OR(J1384=0,K1384=""),"",IF(E1384="Positivo",MIN(MAX(K1384/J1384,0),1.3),MIN(MAX(J1384/K1384,0),1.3))),"") </f>
        <v/>
      </c>
      <c r="M1384" s="39">
        <f>IFERROR(IF(OR(J1384=0,K1384=""),"",IF(E1384="Positivo",MAX(K1384/J1384,0),MAX(J1384/K1384,0))),"") </f>
        <v/>
      </c>
      <c r="N1384" t="inlineStr">
        <is>
          <t>kWh</t>
        </is>
      </c>
      <c r="O1384" t="inlineStr">
        <is>
          <t>kWh</t>
        </is>
      </c>
      <c r="P1384" t="n">
        <v>0</v>
      </c>
      <c r="Q1384" t="n">
        <v>0</v>
      </c>
      <c r="R1384" t="inlineStr">
        <is>
          <t>428-2024-12-31</t>
        </is>
      </c>
    </row>
    <row r="1385" hidden="1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Trimestral</t>
        </is>
      </c>
      <c r="E1385" t="inlineStr">
        <is>
          <t>Negativo</t>
        </is>
      </c>
      <c r="F1385" s="108" t="n">
        <v>45838</v>
      </c>
      <c r="G1385" t="n">
        <v>2025</v>
      </c>
      <c r="H1385" t="inlineStr">
        <is>
          <t>Junio</t>
        </is>
      </c>
      <c r="I1385" t="inlineStr">
        <is>
          <t>2025-1</t>
        </is>
      </c>
      <c r="J1385" t="n">
        <v>1</v>
      </c>
      <c r="K1385" t="n">
        <v>15.12</v>
      </c>
      <c r="L1385" s="39">
        <f>IFERROR(IF(OR(J1385=0,K1385=""),"",IF(E1385="Positivo",MIN(MAX(K1385/J1385,0),1.3),MIN(MAX(J1385/K1385,0),1.3))),"") </f>
        <v/>
      </c>
      <c r="M1385" s="39">
        <f>IFERROR(IF(OR(J1385=0,K1385=""),"",IF(E1385="Positivo",MAX(K1385/J1385,0),MAX(J1385/K1385,0))),"") </f>
        <v/>
      </c>
      <c r="N1385" t="inlineStr">
        <is>
          <t>kWh</t>
        </is>
      </c>
      <c r="O1385" t="inlineStr">
        <is>
          <t>kWh</t>
        </is>
      </c>
      <c r="P1385" t="n">
        <v>0</v>
      </c>
      <c r="Q1385" t="n">
        <v>1</v>
      </c>
      <c r="R1385" t="inlineStr">
        <is>
          <t>428-2025-06-30</t>
        </is>
      </c>
    </row>
    <row r="1386" hidden="1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Trimestral</t>
        </is>
      </c>
      <c r="E1386" t="inlineStr">
        <is>
          <t>Negativo</t>
        </is>
      </c>
      <c r="F1386" s="108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1</v>
      </c>
      <c r="K1386" t="n">
        <v>17.88</v>
      </c>
      <c r="L1386" s="39">
        <f>IFERROR(IF(OR(J1386=0,K1386=""),"",IF(E1386="Positivo",MIN(MAX(K1386/J1386,0),1.3),MIN(MAX(J1386/K1386,0),1.3))),"") </f>
        <v/>
      </c>
      <c r="M1386" s="39">
        <f>IFERROR(IF(OR(J1386=0,K1386=""),"",IF(E1386="Positivo",MAX(K1386/J1386,0),MAX(J1386/K1386,0))),"") </f>
        <v/>
      </c>
      <c r="N1386" t="inlineStr">
        <is>
          <t>kWh</t>
        </is>
      </c>
      <c r="O1386" t="inlineStr">
        <is>
          <t>kWh</t>
        </is>
      </c>
      <c r="P1386" t="n">
        <v>0</v>
      </c>
      <c r="Q1386" t="n">
        <v>1</v>
      </c>
      <c r="R1386" t="inlineStr">
        <is>
          <t>428-2025-12-31</t>
        </is>
      </c>
    </row>
    <row r="1387" hidden="1">
      <c r="A1387" t="n">
        <v>429</v>
      </c>
      <c r="B1387" t="inlineStr">
        <is>
          <t>Generación de Residuos Sólidos per Cápita Semestral</t>
        </is>
      </c>
      <c r="C1387" t="inlineStr">
        <is>
          <t>GESTIÓN AMBIENTAL</t>
        </is>
      </c>
      <c r="D1387" t="inlineStr">
        <is>
          <t>Semestral</t>
        </is>
      </c>
      <c r="E1387" t="inlineStr">
        <is>
          <t>Negativo</t>
        </is>
      </c>
      <c r="F1387" s="108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J1387" t="n">
        <v>0.76</v>
      </c>
      <c r="K1387" t="n">
        <v>0.3</v>
      </c>
      <c r="L1387" s="39">
        <f>IFERROR(IF(OR(J1387=0,K1387=""),"",IF(E1387="Positivo",MIN(MAX(K1387/J1387,0),1.3),MIN(MAX(J1387/K1387,0),1.3))),"") </f>
        <v/>
      </c>
      <c r="M1387" s="39">
        <f>IFERROR(IF(OR(J1387=0,K1387=""),"",IF(E1387="Positivo",MAX(K1387/J1387,0),MAX(J1387/K1387,0))),"") </f>
        <v/>
      </c>
      <c r="N1387" t="inlineStr">
        <is>
          <t>DEC</t>
        </is>
      </c>
      <c r="O1387" t="inlineStr">
        <is>
          <t>DEC</t>
        </is>
      </c>
      <c r="P1387" t="n">
        <v>1</v>
      </c>
      <c r="Q1387" t="n">
        <v>1</v>
      </c>
      <c r="R1387" t="inlineStr">
        <is>
          <t>429-2023-06-30</t>
        </is>
      </c>
    </row>
    <row r="1388" hidden="1">
      <c r="A1388" t="n">
        <v>429</v>
      </c>
      <c r="B1388" t="inlineStr">
        <is>
          <t>Generación de Residuos Sólidos per Cápita Semestral</t>
        </is>
      </c>
      <c r="C1388" t="inlineStr">
        <is>
          <t>GESTIÓN AMBIENTAL</t>
        </is>
      </c>
      <c r="D1388" t="inlineStr">
        <is>
          <t>Semestral</t>
        </is>
      </c>
      <c r="E1388" t="inlineStr">
        <is>
          <t>Negativo</t>
        </is>
      </c>
      <c r="F1388" s="108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J1388" t="n">
        <v>0.76</v>
      </c>
      <c r="K1388" t="n">
        <v>0.76</v>
      </c>
      <c r="L1388" s="39">
        <f>IFERROR(IF(OR(J1388=0,K1388=""),"",IF(E1388="Positivo",MIN(MAX(K1388/J1388,0),1.3),MIN(MAX(J1388/K1388,0),1.3))),"") </f>
        <v/>
      </c>
      <c r="M1388" s="39">
        <f>IFERROR(IF(OR(J1388=0,K1388=""),"",IF(E1388="Positivo",MAX(K1388/J1388,0),MAX(J1388/K1388,0))),"") </f>
        <v/>
      </c>
      <c r="N1388" t="inlineStr">
        <is>
          <t>DEC</t>
        </is>
      </c>
      <c r="O1388" t="inlineStr">
        <is>
          <t>DEC</t>
        </is>
      </c>
      <c r="P1388" t="n">
        <v>1</v>
      </c>
      <c r="Q1388" t="n">
        <v>1</v>
      </c>
      <c r="R1388" t="inlineStr">
        <is>
          <t>429-2023-12-31</t>
        </is>
      </c>
    </row>
    <row r="1389" hidden="1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08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0.76</v>
      </c>
      <c r="K1389" t="n">
        <v>0.66</v>
      </c>
      <c r="L1389" s="39">
        <f>IFERROR(IF(OR(J1389=0,K1389=""),"",IF(E1389="Positivo",MIN(MAX(K1389/J1389,0),1.3),MIN(MAX(J1389/K1389,0),1.3))),"") </f>
        <v/>
      </c>
      <c r="M1389" s="39">
        <f>IFERROR(IF(OR(J1389=0,K1389=""),"",IF(E1389="Positivo",MAX(K1389/J1389,0),MAX(J1389/K1389,0))),"") </f>
        <v/>
      </c>
      <c r="P1389" t="n">
        <v>0</v>
      </c>
      <c r="Q1389" t="n">
        <v>0</v>
      </c>
      <c r="R1389" t="inlineStr">
        <is>
          <t>429-2024-06-30</t>
        </is>
      </c>
    </row>
    <row r="1390" hidden="1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08" t="n">
        <v>45657</v>
      </c>
      <c r="G1390" t="n">
        <v>2024</v>
      </c>
      <c r="H1390" t="inlineStr">
        <is>
          <t>Diciembre</t>
        </is>
      </c>
      <c r="I1390" t="inlineStr">
        <is>
          <t>2024-2</t>
        </is>
      </c>
      <c r="J1390" t="n">
        <v>0.76</v>
      </c>
      <c r="K1390" t="n">
        <v>0.67</v>
      </c>
      <c r="L1390" s="39">
        <f>IFERROR(IF(OR(J1390=0,K1390=""),"",IF(E1390="Positivo",MIN(MAX(K1390/J1390,0),1.3),MIN(MAX(J1390/K1390,0),1.3))),"") </f>
        <v/>
      </c>
      <c r="M1390" s="39">
        <f>IFERROR(IF(OR(J1390=0,K1390=""),"",IF(E1390="Positivo",MAX(K1390/J1390,0),MAX(J1390/K1390,0))),"") </f>
        <v/>
      </c>
      <c r="P1390" t="n">
        <v>0</v>
      </c>
      <c r="Q1390" t="n">
        <v>0</v>
      </c>
      <c r="R1390" t="inlineStr">
        <is>
          <t>429-2024-12-31</t>
        </is>
      </c>
    </row>
    <row r="1391" hidden="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8" t="n">
        <v>45838</v>
      </c>
      <c r="G1391" t="n">
        <v>2025</v>
      </c>
      <c r="H1391" t="inlineStr">
        <is>
          <t>Junio</t>
        </is>
      </c>
      <c r="I1391" t="inlineStr">
        <is>
          <t>2025-1</t>
        </is>
      </c>
      <c r="J1391" t="n">
        <v>0.76</v>
      </c>
      <c r="K1391" t="n">
        <v>0.59</v>
      </c>
      <c r="L1391" s="39">
        <f>IFERROR(IF(OR(J1391=0,K1391=""),"",IF(E1391="Positivo",MIN(MAX(K1391/J1391,0),1.3),MIN(MAX(J1391/K1391,0),1.3))),"") </f>
        <v/>
      </c>
      <c r="M1391" s="39">
        <f>IFERROR(IF(OR(J1391=0,K1391=""),"",IF(E1391="Positivo",MAX(K1391/J1391,0),MAX(J1391/K1391,0))),"") </f>
        <v/>
      </c>
      <c r="N1391" t="inlineStr">
        <is>
          <t>DEC</t>
        </is>
      </c>
      <c r="O1391" t="inlineStr">
        <is>
          <t>DEC</t>
        </is>
      </c>
      <c r="P1391" t="n">
        <v>2</v>
      </c>
      <c r="Q1391" t="n">
        <v>2</v>
      </c>
      <c r="R1391" t="inlineStr">
        <is>
          <t>429-2025-06-30</t>
        </is>
      </c>
    </row>
    <row r="1392" hidden="1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8" t="n">
        <v>46022</v>
      </c>
      <c r="G1392" t="n">
        <v>2025</v>
      </c>
      <c r="H1392" t="inlineStr">
        <is>
          <t>Diciembre</t>
        </is>
      </c>
      <c r="I1392" t="inlineStr">
        <is>
          <t>2025-2</t>
        </is>
      </c>
      <c r="J1392" t="n">
        <v>0.76</v>
      </c>
      <c r="K1392" t="n">
        <v>0.52</v>
      </c>
      <c r="L1392" s="39">
        <f>IFERROR(IF(OR(J1392=0,K1392=""),"",IF(E1392="Positivo",MIN(MAX(K1392/J1392,0),1.3),MIN(MAX(J1392/K1392,0),1.3))),"") </f>
        <v/>
      </c>
      <c r="M1392" s="39">
        <f>IFERROR(IF(OR(J1392=0,K1392=""),"",IF(E1392="Positivo",MAX(K1392/J1392,0),MAX(J1392/K1392,0))),"") </f>
        <v/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429-2025-12-31</t>
        </is>
      </c>
    </row>
    <row r="1393" hidden="1">
      <c r="A1393" t="n">
        <v>430</v>
      </c>
      <c r="B1393" t="inlineStr">
        <is>
          <t>Cumplimiento ingresos por matriculas</t>
        </is>
      </c>
      <c r="C1393" t="inlineStr">
        <is>
          <t>Planeación Financiera</t>
        </is>
      </c>
      <c r="D1393" t="inlineStr">
        <is>
          <t>Semestral</t>
        </is>
      </c>
      <c r="E1393" t="inlineStr">
        <is>
          <t>Positivo</t>
        </is>
      </c>
      <c r="F1393" s="108" t="n">
        <v>45107</v>
      </c>
      <c r="G1393" t="n">
        <v>2023</v>
      </c>
      <c r="H1393" t="inlineStr">
        <is>
          <t>Junio</t>
        </is>
      </c>
      <c r="I1393" t="inlineStr">
        <is>
          <t>2023-1</t>
        </is>
      </c>
      <c r="J1393" t="n">
        <v>95</v>
      </c>
      <c r="K1393" t="n">
        <v>104.59563552424</v>
      </c>
      <c r="L1393" s="39">
        <f>IFERROR(IF(OR(J1393=0,K1393=""),"",IF(E1393="Positivo",MIN(MAX(K1393/J1393,0),1.3),MIN(MAX(J1393/K1393,0),1.3))),"") </f>
        <v/>
      </c>
      <c r="M1393" s="39">
        <f>IFERROR(IF(OR(J1393=0,K1393=""),"",IF(E1393="Positivo",MAX(K1393/J1393,0),MAX(J1393/K1393,0))),"") </f>
        <v/>
      </c>
      <c r="N1393" t="inlineStr">
        <is>
          <t>$</t>
        </is>
      </c>
      <c r="O1393" t="inlineStr">
        <is>
          <t>$</t>
        </is>
      </c>
      <c r="P1393" t="n">
        <v>0</v>
      </c>
      <c r="Q1393" t="n">
        <v>0</v>
      </c>
      <c r="R1393" t="inlineStr">
        <is>
          <t>430-2023-06-30</t>
        </is>
      </c>
    </row>
    <row r="1394" hidden="1">
      <c r="A1394" t="n">
        <v>430</v>
      </c>
      <c r="B1394" t="inlineStr">
        <is>
          <t>Cumplimiento ingresos por matriculas</t>
        </is>
      </c>
      <c r="C1394" t="inlineStr">
        <is>
          <t>Planeación Financiera</t>
        </is>
      </c>
      <c r="D1394" t="inlineStr">
        <is>
          <t>Semestral</t>
        </is>
      </c>
      <c r="E1394" t="inlineStr">
        <is>
          <t>Positivo</t>
        </is>
      </c>
      <c r="F1394" s="108" t="n">
        <v>45291</v>
      </c>
      <c r="G1394" t="n">
        <v>2023</v>
      </c>
      <c r="H1394" t="inlineStr">
        <is>
          <t>Diciembre</t>
        </is>
      </c>
      <c r="I1394" t="inlineStr">
        <is>
          <t>2023-2</t>
        </is>
      </c>
      <c r="J1394" t="n">
        <v>95</v>
      </c>
      <c r="K1394" t="n">
        <v>101.39526345983</v>
      </c>
      <c r="L1394" s="39">
        <f>IFERROR(IF(OR(J1394=0,K1394=""),"",IF(E1394="Positivo",MIN(MAX(K1394/J1394,0),1.3),MIN(MAX(J1394/K1394,0),1.3))),"") </f>
        <v/>
      </c>
      <c r="M1394" s="39">
        <f>IFERROR(IF(OR(J1394=0,K1394=""),"",IF(E1394="Positivo",MAX(K1394/J1394,0),MAX(J1394/K1394,0))),"") </f>
        <v/>
      </c>
      <c r="N1394" t="inlineStr">
        <is>
          <t>$</t>
        </is>
      </c>
      <c r="O1394" t="inlineStr">
        <is>
          <t>$</t>
        </is>
      </c>
      <c r="P1394" t="n">
        <v>0</v>
      </c>
      <c r="Q1394" t="n">
        <v>0</v>
      </c>
      <c r="R1394" t="inlineStr">
        <is>
          <t>430-2023-12-31</t>
        </is>
      </c>
    </row>
    <row r="1395" hidden="1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08" t="n">
        <v>45473</v>
      </c>
      <c r="G1395" t="n">
        <v>2024</v>
      </c>
      <c r="H1395" t="inlineStr">
        <is>
          <t>Junio</t>
        </is>
      </c>
      <c r="I1395" t="inlineStr">
        <is>
          <t>2024-1</t>
        </is>
      </c>
      <c r="J1395" t="n">
        <v>95</v>
      </c>
      <c r="K1395" t="n">
        <v>101.88</v>
      </c>
      <c r="L1395" s="39">
        <f>IFERROR(IF(OR(J1395=0,K1395=""),"",IF(E1395="Positivo",MIN(MAX(K1395/J1395,0),1.3),MIN(MAX(J1395/K1395,0),1.3))),"") </f>
        <v/>
      </c>
      <c r="M1395" s="39">
        <f>IFERROR(IF(OR(J1395=0,K1395=""),"",IF(E1395="Positivo",MAX(K1395/J1395,0),MAX(J1395/K1395,0))),"") </f>
        <v/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430-2024-06-30</t>
        </is>
      </c>
    </row>
    <row r="1396" hidden="1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08" t="n">
        <v>45657</v>
      </c>
      <c r="G1396" t="n">
        <v>2024</v>
      </c>
      <c r="H1396" t="inlineStr">
        <is>
          <t>Diciembre</t>
        </is>
      </c>
      <c r="I1396" t="inlineStr">
        <is>
          <t>2024-2</t>
        </is>
      </c>
      <c r="J1396" t="n">
        <v>95</v>
      </c>
      <c r="K1396" t="n">
        <v>102.9374919710379</v>
      </c>
      <c r="L1396" s="39">
        <f>IFERROR(IF(OR(J1396=0,K1396=""),"",IF(E1396="Positivo",MIN(MAX(K1396/J1396,0),1.3),MIN(MAX(J1396/K1396,0),1.3))),"") </f>
        <v/>
      </c>
      <c r="M1396" s="39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430-2024-12-31</t>
        </is>
      </c>
    </row>
    <row r="1397" hidden="1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Trimestral</t>
        </is>
      </c>
      <c r="E1397" t="inlineStr">
        <is>
          <t>Positivo</t>
        </is>
      </c>
      <c r="F1397" s="108" t="n">
        <v>45838</v>
      </c>
      <c r="G1397" t="n">
        <v>2025</v>
      </c>
      <c r="H1397" t="inlineStr">
        <is>
          <t>Junio</t>
        </is>
      </c>
      <c r="I1397" t="inlineStr">
        <is>
          <t>2025-1</t>
        </is>
      </c>
      <c r="J1397" t="n">
        <v>95</v>
      </c>
      <c r="K1397" t="n">
        <v>110.79</v>
      </c>
      <c r="L1397" s="39">
        <f>IFERROR(IF(OR(J1397=0,K1397=""),"",IF(E1397="Positivo",MIN(MAX(K1397/J1397,0),1.3),MIN(MAX(J1397/K1397,0),1.3))),"") </f>
        <v/>
      </c>
      <c r="M1397" s="39">
        <f>IFERROR(IF(OR(J1397=0,K1397=""),"",IF(E1397="Positivo",MAX(K1397/J1397,0),MAX(J1397/K1397,0))),"") </f>
        <v/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430-2025-06-30</t>
        </is>
      </c>
    </row>
    <row r="1398" hidden="1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Trimestral</t>
        </is>
      </c>
      <c r="E1398" t="inlineStr">
        <is>
          <t>Positivo</t>
        </is>
      </c>
      <c r="F1398" s="108" t="n">
        <v>46022</v>
      </c>
      <c r="G1398" t="n">
        <v>2025</v>
      </c>
      <c r="H1398" t="inlineStr">
        <is>
          <t>Diciembre</t>
        </is>
      </c>
      <c r="I1398" t="inlineStr">
        <is>
          <t>2025-2</t>
        </is>
      </c>
      <c r="J1398" t="n">
        <v>95</v>
      </c>
      <c r="K1398" t="n">
        <v>111.76</v>
      </c>
      <c r="L1398" s="39">
        <f>IFERROR(IF(OR(J1398=0,K1398=""),"",IF(E1398="Positivo",MIN(MAX(K1398/J1398,0),1.3),MIN(MAX(J1398/K1398,0),1.3))),"") </f>
        <v/>
      </c>
      <c r="M1398" s="39">
        <f>IFERROR(IF(OR(J1398=0,K1398=""),"",IF(E1398="Positivo",MAX(K1398/J1398,0),MAX(J1398/K1398,0))),"") </f>
        <v/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430-2025-12-31</t>
        </is>
      </c>
    </row>
    <row r="1399" hidden="1">
      <c r="A1399" t="n">
        <v>431</v>
      </c>
      <c r="B1399" t="inlineStr">
        <is>
          <t>Gestión de casos de salud que impactan a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108" t="n">
        <v>45199</v>
      </c>
      <c r="G1399" t="n">
        <v>2023</v>
      </c>
      <c r="H1399" t="inlineStr">
        <is>
          <t>Septiembre</t>
        </is>
      </c>
      <c r="I1399" t="inlineStr">
        <is>
          <t>2023-2</t>
        </is>
      </c>
      <c r="J1399" t="n">
        <v>100</v>
      </c>
      <c r="K1399" t="n">
        <v>100</v>
      </c>
      <c r="L1399" s="39">
        <f>IFERROR(IF(OR(J1399=0,K1399=""),"",IF(E1399="Positivo",MIN(MAX(K1399/J1399,0),1.3),MIN(MAX(J1399/K1399,0),1.3))),"") </f>
        <v/>
      </c>
      <c r="M1399" s="39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431-2023-09-30</t>
        </is>
      </c>
    </row>
    <row r="1400" hidden="1">
      <c r="A1400" t="n">
        <v>431</v>
      </c>
      <c r="B1400" t="inlineStr">
        <is>
          <t>Gestión de casos de salud que impactan a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08" t="n">
        <v>45291</v>
      </c>
      <c r="G1400" t="n">
        <v>2023</v>
      </c>
      <c r="H1400" t="inlineStr">
        <is>
          <t>Diciembre</t>
        </is>
      </c>
      <c r="I1400" t="inlineStr">
        <is>
          <t>2023-2</t>
        </is>
      </c>
      <c r="J1400" t="n">
        <v>100</v>
      </c>
      <c r="K1400" t="n">
        <v>100</v>
      </c>
      <c r="L1400" s="39">
        <f>IFERROR(IF(OR(J1400=0,K1400=""),"",IF(E1400="Positivo",MIN(MAX(K1400/J1400,0),1.3),MIN(MAX(J1400/K1400,0),1.3))),"") </f>
        <v/>
      </c>
      <c r="M1400" s="39">
        <f>IFERROR(IF(OR(J1400=0,K1400=""),"",IF(E1400="Positivo",MAX(K1400/J1400,0),MAX(J1400/K1400,0))),"") </f>
        <v/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431-2023-12-31</t>
        </is>
      </c>
    </row>
    <row r="1401" hidden="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08" t="n">
        <v>45473</v>
      </c>
      <c r="G1401" t="n">
        <v>2024</v>
      </c>
      <c r="H1401" t="inlineStr">
        <is>
          <t>Junio</t>
        </is>
      </c>
      <c r="I1401" t="inlineStr">
        <is>
          <t>2024-1</t>
        </is>
      </c>
      <c r="J1401" t="n">
        <v>100</v>
      </c>
      <c r="K1401" t="n">
        <v>100</v>
      </c>
      <c r="L1401" s="39">
        <f>IFERROR(IF(OR(J1401=0,K1401=""),"",IF(E1401="Positivo",MIN(MAX(K1401/J1401,0),1.3),MIN(MAX(J1401/K1401,0),1.3))),"") </f>
        <v/>
      </c>
      <c r="M1401" s="39">
        <f>IFERROR(IF(OR(J1401=0,K1401=""),"",IF(E1401="Positivo",MAX(K1401/J1401,0),MAX(J1401/K1401,0))),"") </f>
        <v/>
      </c>
      <c r="P1401" t="n">
        <v>0</v>
      </c>
      <c r="Q1401" t="n">
        <v>0</v>
      </c>
      <c r="R1401" t="inlineStr">
        <is>
          <t>431-2024-06-30</t>
        </is>
      </c>
    </row>
    <row r="1402" hidden="1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08" t="n">
        <v>45657</v>
      </c>
      <c r="G1402" t="n">
        <v>2024</v>
      </c>
      <c r="H1402" t="inlineStr">
        <is>
          <t>Diciembre</t>
        </is>
      </c>
      <c r="I1402" t="inlineStr">
        <is>
          <t>2024-2</t>
        </is>
      </c>
      <c r="J1402" t="n">
        <v>100</v>
      </c>
      <c r="K1402" t="n">
        <v>100</v>
      </c>
      <c r="L1402" s="39">
        <f>IFERROR(IF(OR(J1402=0,K1402=""),"",IF(E1402="Positivo",MIN(MAX(K1402/J1402,0),1.3),MIN(MAX(J1402/K1402,0),1.3))),"") </f>
        <v/>
      </c>
      <c r="M1402" s="39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431-2024-12-31</t>
        </is>
      </c>
    </row>
    <row r="1403" hidden="1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Trimestral</t>
        </is>
      </c>
      <c r="E1403" t="inlineStr">
        <is>
          <t>Positivo</t>
        </is>
      </c>
      <c r="F1403" s="108" t="n">
        <v>45838</v>
      </c>
      <c r="G1403" t="n">
        <v>2025</v>
      </c>
      <c r="H1403" t="inlineStr">
        <is>
          <t>Junio</t>
        </is>
      </c>
      <c r="I1403" t="inlineStr">
        <is>
          <t>2025-1</t>
        </is>
      </c>
      <c r="J1403" t="n">
        <v>100</v>
      </c>
      <c r="K1403" t="n">
        <v>100</v>
      </c>
      <c r="L1403" s="39">
        <f>IFERROR(IF(OR(J1403=0,K1403=""),"",IF(E1403="Positivo",MIN(MAX(K1403/J1403,0),1.3),MIN(MAX(J1403/K1403,0),1.3))),"") </f>
        <v/>
      </c>
      <c r="M1403" s="39">
        <f>IFERROR(IF(OR(J1403=0,K1403=""),"",IF(E1403="Positivo",MAX(K1403/J1403,0),MAX(J1403/K1403,0))),"") </f>
        <v/>
      </c>
      <c r="N1403" t="inlineStr">
        <is>
          <t>%</t>
        </is>
      </c>
      <c r="O1403" t="inlineStr">
        <is>
          <t>%</t>
        </is>
      </c>
      <c r="P1403" t="n">
        <v>0</v>
      </c>
      <c r="Q1403" t="n">
        <v>0</v>
      </c>
      <c r="R1403" t="inlineStr">
        <is>
          <t>431-2025-06-30</t>
        </is>
      </c>
    </row>
    <row r="1404" hidden="1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Semestral</t>
        </is>
      </c>
      <c r="E1404" t="inlineStr">
        <is>
          <t>Positivo</t>
        </is>
      </c>
      <c r="F1404" s="108" t="n">
        <v>46022</v>
      </c>
      <c r="G1404" t="n">
        <v>2025</v>
      </c>
      <c r="H1404" t="inlineStr">
        <is>
          <t>Diciembre</t>
        </is>
      </c>
      <c r="I1404" t="inlineStr">
        <is>
          <t>2025-2</t>
        </is>
      </c>
      <c r="J1404" t="n">
        <v>100</v>
      </c>
      <c r="K1404" t="n">
        <v>100</v>
      </c>
      <c r="L1404" s="39">
        <f>IFERROR(IF(OR(J1404=0,K1404=""),"",IF(E1404="Positivo",MIN(MAX(K1404/J1404,0),1.3),MIN(MAX(J1404/K1404,0),1.3))),"") </f>
        <v/>
      </c>
      <c r="M1404" s="39">
        <f>IFERROR(IF(OR(J1404=0,K1404=""),"",IF(E1404="Positivo",MAX(K1404/J1404,0),MAX(J1404/K1404,0))),"") </f>
        <v/>
      </c>
      <c r="N1404" t="inlineStr">
        <is>
          <t>%</t>
        </is>
      </c>
      <c r="O1404" t="inlineStr">
        <is>
          <t>%</t>
        </is>
      </c>
      <c r="P1404" t="n">
        <v>0</v>
      </c>
      <c r="Q1404" t="n">
        <v>0</v>
      </c>
      <c r="R1404" t="inlineStr">
        <is>
          <t>431-2025-12-31</t>
        </is>
      </c>
    </row>
    <row r="1405" hidden="1">
      <c r="A1405" t="n">
        <v>432</v>
      </c>
      <c r="B1405" t="inlineStr">
        <is>
          <t>Intervención a la gestión del riesgo de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108" t="n">
        <v>45291</v>
      </c>
      <c r="G1405" t="n">
        <v>2023</v>
      </c>
      <c r="H1405" t="inlineStr">
        <is>
          <t>Diciembre</t>
        </is>
      </c>
      <c r="I1405" t="inlineStr">
        <is>
          <t>2023-2</t>
        </is>
      </c>
      <c r="J1405" t="n">
        <v>90</v>
      </c>
      <c r="K1405" t="n">
        <v>99.382777777778</v>
      </c>
      <c r="L1405" s="39">
        <f>IFERROR(IF(OR(J1405=0,K1405=""),"",IF(E1405="Positivo",MIN(MAX(K1405/J1405,0),1.3),MIN(MAX(J1405/K1405,0),1.3))),"") </f>
        <v/>
      </c>
      <c r="M1405" s="39">
        <f>IFERROR(IF(OR(J1405=0,K1405=""),"",IF(E1405="Positivo",MAX(K1405/J1405,0),MAX(J1405/K1405,0))),"") </f>
        <v/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432-2023-12-31</t>
        </is>
      </c>
    </row>
    <row r="1406" hidden="1">
      <c r="A1406" t="n">
        <v>432</v>
      </c>
      <c r="B1406" t="inlineStr">
        <is>
          <t>Intervención a la gestión del riesgo de los colaboradores</t>
        </is>
      </c>
      <c r="C1406" t="inlineStr">
        <is>
          <t>GESTIÓN DE SEGURIDAD Y SALUD EN EL TRABAJO</t>
        </is>
      </c>
      <c r="D1406" t="inlineStr">
        <is>
          <t>Trimestral</t>
        </is>
      </c>
      <c r="E1406" t="inlineStr">
        <is>
          <t>Positivo</t>
        </is>
      </c>
      <c r="F1406" s="108" t="n">
        <v>45473</v>
      </c>
      <c r="G1406" t="n">
        <v>2024</v>
      </c>
      <c r="H1406" t="inlineStr">
        <is>
          <t>Junio</t>
        </is>
      </c>
      <c r="I1406" t="inlineStr">
        <is>
          <t>2024-1</t>
        </is>
      </c>
      <c r="J1406" t="n">
        <v>90</v>
      </c>
      <c r="K1406" t="n">
        <v>100</v>
      </c>
      <c r="L1406" s="39">
        <f>IFERROR(IF(OR(J1406=0,K1406=""),"",IF(E1406="Positivo",MIN(MAX(K1406/J1406,0),1.3),MIN(MAX(J1406/K1406,0),1.3))),"") </f>
        <v/>
      </c>
      <c r="M1406" s="39">
        <f>IFERROR(IF(OR(J1406=0,K1406=""),"",IF(E1406="Positivo",MAX(K1406/J1406,0),MAX(J1406/K1406,0))),"") </f>
        <v/>
      </c>
      <c r="P1406" t="n">
        <v>0</v>
      </c>
      <c r="Q1406" t="n">
        <v>0</v>
      </c>
      <c r="R1406" t="inlineStr">
        <is>
          <t>432-2024-06-30</t>
        </is>
      </c>
    </row>
    <row r="1407" hidden="1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08" t="n">
        <v>45657</v>
      </c>
      <c r="G1407" t="n">
        <v>2024</v>
      </c>
      <c r="H1407" t="inlineStr">
        <is>
          <t>Diciembre</t>
        </is>
      </c>
      <c r="I1407" t="inlineStr">
        <is>
          <t>2024-2</t>
        </is>
      </c>
      <c r="J1407" t="n">
        <v>90</v>
      </c>
      <c r="K1407" t="n">
        <v>50</v>
      </c>
      <c r="L1407" s="39">
        <f>IFERROR(IF(OR(J1407=0,K1407=""),"",IF(E1407="Positivo",MIN(MAX(K1407/J1407,0),1.3),MIN(MAX(J1407/K1407,0),1.3))),"") </f>
        <v/>
      </c>
      <c r="M1407" s="39">
        <f>IFERROR(IF(OR(J1407=0,K1407=""),"",IF(E1407="Positivo",MAX(K1407/J1407,0),MAX(J1407/K1407,0))),"") </f>
        <v/>
      </c>
      <c r="P1407" t="n">
        <v>0</v>
      </c>
      <c r="Q1407" t="n">
        <v>0</v>
      </c>
      <c r="R1407" t="inlineStr">
        <is>
          <t>432-2024-12-31</t>
        </is>
      </c>
    </row>
    <row r="1408" hidden="1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08" t="n">
        <v>45838</v>
      </c>
      <c r="G1408" t="n">
        <v>2025</v>
      </c>
      <c r="H1408" t="inlineStr">
        <is>
          <t>Junio</t>
        </is>
      </c>
      <c r="I1408" t="inlineStr">
        <is>
          <t>2025-1</t>
        </is>
      </c>
      <c r="J1408" t="n">
        <v>90</v>
      </c>
      <c r="K1408" t="n">
        <v>100</v>
      </c>
      <c r="L1408" s="39">
        <f>IFERROR(IF(OR(J1408=0,K1408=""),"",IF(E1408="Positivo",MIN(MAX(K1408/J1408,0),1.3),MIN(MAX(J1408/K1408,0),1.3))),"") </f>
        <v/>
      </c>
      <c r="M1408" s="39">
        <f>IFERROR(IF(OR(J1408=0,K1408=""),"",IF(E1408="Positivo",MAX(K1408/J1408,0),MAX(J1408/K1408,0))),"") </f>
        <v/>
      </c>
      <c r="N1408" t="inlineStr">
        <is>
          <t>%</t>
        </is>
      </c>
      <c r="O1408" t="inlineStr">
        <is>
          <t>%</t>
        </is>
      </c>
      <c r="P1408" t="n">
        <v>0</v>
      </c>
      <c r="Q1408" t="n">
        <v>0</v>
      </c>
      <c r="R1408" t="inlineStr">
        <is>
          <t>432-2025-06-30</t>
        </is>
      </c>
    </row>
    <row r="1409" hidden="1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Semestral</t>
        </is>
      </c>
      <c r="E1409" t="inlineStr">
        <is>
          <t>Positivo</t>
        </is>
      </c>
      <c r="F1409" s="108" t="n">
        <v>46022</v>
      </c>
      <c r="G1409" t="n">
        <v>2025</v>
      </c>
      <c r="H1409" t="inlineStr">
        <is>
          <t>Diciembre</t>
        </is>
      </c>
      <c r="I1409" t="inlineStr">
        <is>
          <t>2025-2</t>
        </is>
      </c>
      <c r="J1409" t="n">
        <v>90</v>
      </c>
      <c r="K1409" t="n">
        <v>100</v>
      </c>
      <c r="L1409" s="39">
        <f>IFERROR(IF(OR(J1409=0,K1409=""),"",IF(E1409="Positivo",MIN(MAX(K1409/J1409,0),1.3),MIN(MAX(J1409/K1409,0),1.3))),"") </f>
        <v/>
      </c>
      <c r="M1409" s="39">
        <f>IFERROR(IF(OR(J1409=0,K1409=""),"",IF(E1409="Positivo",MAX(K1409/J1409,0),MAX(J1409/K1409,0))),"") </f>
        <v/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432-2025-12-31</t>
        </is>
      </c>
    </row>
    <row r="1410" hidden="1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Semestral</t>
        </is>
      </c>
      <c r="E1410" t="inlineStr">
        <is>
          <t>Negativo</t>
        </is>
      </c>
      <c r="F1410" s="108" t="n">
        <v>45107</v>
      </c>
      <c r="G1410" t="n">
        <v>2023</v>
      </c>
      <c r="H1410" t="inlineStr">
        <is>
          <t>Junio</t>
        </is>
      </c>
      <c r="I1410" t="inlineStr">
        <is>
          <t>2023-1</t>
        </is>
      </c>
      <c r="J1410" t="n">
        <v>0.05</v>
      </c>
      <c r="K1410" t="n">
        <v>0.02</v>
      </c>
      <c r="L1410" s="39">
        <f>IFERROR(IF(OR(J1410=0,K1410=""),"",IF(E1410="Positivo",MIN(MAX(K1410/J1410,0),1.3),MIN(MAX(J1410/K1410,0),1.3))),"") </f>
        <v/>
      </c>
      <c r="M1410" s="39">
        <f>IFERROR(IF(OR(J1410=0,K1410=""),"",IF(E1410="Positivo",MAX(K1410/J1410,0),MAX(J1410/K1410,0))),"") </f>
        <v/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433-2023-06-30</t>
        </is>
      </c>
    </row>
    <row r="1411" hidden="1">
      <c r="A1411" t="n">
        <v>433</v>
      </c>
      <c r="B1411" t="inlineStr">
        <is>
          <t>Generación de Residuos Peligrosos per Cápita Semestral</t>
        </is>
      </c>
      <c r="C1411" t="inlineStr">
        <is>
          <t>GESTIÓN AMBIENTAL</t>
        </is>
      </c>
      <c r="D1411" t="inlineStr">
        <is>
          <t>Semestral</t>
        </is>
      </c>
      <c r="E1411" t="inlineStr">
        <is>
          <t>Negativo</t>
        </is>
      </c>
      <c r="F1411" s="108" t="n">
        <v>45291</v>
      </c>
      <c r="G1411" t="n">
        <v>2023</v>
      </c>
      <c r="H1411" t="inlineStr">
        <is>
          <t>Diciembre</t>
        </is>
      </c>
      <c r="I1411" t="inlineStr">
        <is>
          <t>2023-2</t>
        </is>
      </c>
      <c r="J1411" t="n">
        <v>0.05</v>
      </c>
      <c r="K1411" t="n">
        <v>0.05</v>
      </c>
      <c r="L1411" s="39">
        <f>IFERROR(IF(OR(J1411=0,K1411=""),"",IF(E1411="Positivo",MIN(MAX(K1411/J1411,0),1.3),MIN(MAX(J1411/K1411,0),1.3))),"") </f>
        <v/>
      </c>
      <c r="M1411" s="39">
        <f>IFERROR(IF(OR(J1411=0,K1411=""),"",IF(E1411="Positivo",MAX(K1411/J1411,0),MAX(J1411/K1411,0))),"") </f>
        <v/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433-2023-12-31</t>
        </is>
      </c>
    </row>
    <row r="1412" hidden="1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08" t="n">
        <v>45473</v>
      </c>
      <c r="G1412" t="n">
        <v>2024</v>
      </c>
      <c r="H1412" t="inlineStr">
        <is>
          <t>Junio</t>
        </is>
      </c>
      <c r="I1412" t="inlineStr">
        <is>
          <t>2024-1</t>
        </is>
      </c>
      <c r="J1412" t="n">
        <v>0.05</v>
      </c>
      <c r="K1412" t="n">
        <v>0.07000000000000001</v>
      </c>
      <c r="L1412" s="39">
        <f>IFERROR(IF(OR(J1412=0,K1412=""),"",IF(E1412="Positivo",MIN(MAX(K1412/J1412,0),1.3),MIN(MAX(J1412/K1412,0),1.3))),"") </f>
        <v/>
      </c>
      <c r="M1412" s="39">
        <f>IFERROR(IF(OR(J1412=0,K1412=""),"",IF(E1412="Positivo",MAX(K1412/J1412,0),MAX(J1412/K1412,0))),"") </f>
        <v/>
      </c>
      <c r="P1412" t="n">
        <v>0</v>
      </c>
      <c r="Q1412" t="n">
        <v>0</v>
      </c>
      <c r="R1412" t="inlineStr">
        <is>
          <t>433-2024-06-30</t>
        </is>
      </c>
    </row>
    <row r="1413" hidden="1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08" t="n">
        <v>45657</v>
      </c>
      <c r="G1413" t="n">
        <v>2024</v>
      </c>
      <c r="H1413" t="inlineStr">
        <is>
          <t>Diciembre</t>
        </is>
      </c>
      <c r="I1413" t="inlineStr">
        <is>
          <t>2024-2</t>
        </is>
      </c>
      <c r="J1413" t="n">
        <v>0.05</v>
      </c>
      <c r="K1413" t="n">
        <v>0.14</v>
      </c>
      <c r="L1413" s="39">
        <f>IFERROR(IF(OR(J1413=0,K1413=""),"",IF(E1413="Positivo",MIN(MAX(K1413/J1413,0),1.3),MIN(MAX(J1413/K1413,0),1.3))),"") </f>
        <v/>
      </c>
      <c r="M1413" s="39">
        <f>IFERROR(IF(OR(J1413=0,K1413=""),"",IF(E1413="Positivo",MAX(K1413/J1413,0),MAX(J1413/K1413,0))),"") </f>
        <v/>
      </c>
      <c r="P1413" t="n">
        <v>0</v>
      </c>
      <c r="Q1413" t="n">
        <v>0</v>
      </c>
      <c r="R1413" t="inlineStr">
        <is>
          <t>433-2024-12-31</t>
        </is>
      </c>
    </row>
    <row r="1414" hidden="1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Negativo</t>
        </is>
      </c>
      <c r="F1414" s="108" t="n">
        <v>45838</v>
      </c>
      <c r="G1414" t="n">
        <v>2025</v>
      </c>
      <c r="H1414" t="inlineStr">
        <is>
          <t>Junio</t>
        </is>
      </c>
      <c r="I1414" t="inlineStr">
        <is>
          <t>2025-1</t>
        </is>
      </c>
      <c r="J1414" t="n">
        <v>0.05</v>
      </c>
      <c r="K1414" t="n">
        <v>0.02</v>
      </c>
      <c r="L1414" s="39">
        <f>IFERROR(IF(OR(J1414=0,K1414=""),"",IF(E1414="Positivo",MIN(MAX(K1414/J1414,0),1.3),MIN(MAX(J1414/K1414,0),1.3))),"") </f>
        <v/>
      </c>
      <c r="M1414" s="39">
        <f>IFERROR(IF(OR(J1414=0,K1414=""),"",IF(E1414="Positivo",MAX(K1414/J1414,0),MAX(J1414/K1414,0))),"") </f>
        <v/>
      </c>
      <c r="N1414" t="inlineStr">
        <is>
          <t>DEC</t>
        </is>
      </c>
      <c r="O1414" t="inlineStr">
        <is>
          <t>DEC</t>
        </is>
      </c>
      <c r="P1414" t="n">
        <v>2</v>
      </c>
      <c r="Q1414" t="n">
        <v>2</v>
      </c>
      <c r="R1414" t="inlineStr">
        <is>
          <t>433-2025-06-30</t>
        </is>
      </c>
    </row>
    <row r="1415" hidden="1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Negativo</t>
        </is>
      </c>
      <c r="F1415" s="108" t="n">
        <v>46022</v>
      </c>
      <c r="G1415" t="n">
        <v>2025</v>
      </c>
      <c r="H1415" t="inlineStr">
        <is>
          <t>Diciembre</t>
        </is>
      </c>
      <c r="I1415" t="inlineStr">
        <is>
          <t>2025-2</t>
        </is>
      </c>
      <c r="J1415" t="n">
        <v>0.05</v>
      </c>
      <c r="K1415" t="n">
        <v>0.17</v>
      </c>
      <c r="L1415" s="39">
        <f>IFERROR(IF(OR(J1415=0,K1415=""),"",IF(E1415="Positivo",MIN(MAX(K1415/J1415,0),1.3),MIN(MAX(J1415/K1415,0),1.3))),"") </f>
        <v/>
      </c>
      <c r="M1415" s="39">
        <f>IFERROR(IF(OR(J1415=0,K1415=""),"",IF(E1415="Positivo",MAX(K1415/J1415,0),MAX(J1415/K1415,0))),"") </f>
        <v/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433-2025-12-31</t>
        </is>
      </c>
    </row>
    <row r="1416" hidden="1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108" t="n">
        <v>45107</v>
      </c>
      <c r="G1416" t="n">
        <v>2023</v>
      </c>
      <c r="H1416" t="inlineStr">
        <is>
          <t>Junio</t>
        </is>
      </c>
      <c r="I1416" t="inlineStr">
        <is>
          <t>2023-1</t>
        </is>
      </c>
      <c r="J1416" t="n">
        <v>1200</v>
      </c>
      <c r="K1416" t="n">
        <v>18.5</v>
      </c>
      <c r="L1416" s="39">
        <f>IFERROR(IF(OR(J1416=0,K1416=""),"",IF(E1416="Positivo",MIN(MAX(K1416/J1416,0),1.3),MIN(MAX(J1416/K1416,0),1.3))),"") </f>
        <v/>
      </c>
      <c r="M1416" s="39">
        <f>IFERROR(IF(OR(J1416=0,K1416=""),"",IF(E1416="Positivo",MAX(K1416/J1416,0),MAX(J1416/K1416,0))),"") </f>
        <v/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434-2023-06-30</t>
        </is>
      </c>
    </row>
    <row r="1417" hidden="1">
      <c r="A1417" t="n">
        <v>434</v>
      </c>
      <c r="B1417" t="inlineStr">
        <is>
          <t>Generación de Residuos Peligroso Mensual</t>
        </is>
      </c>
      <c r="C1417" t="inlineStr">
        <is>
          <t>GESTIÓN AMBIENTAL</t>
        </is>
      </c>
      <c r="D1417" t="inlineStr">
        <is>
          <t>Mensual</t>
        </is>
      </c>
      <c r="E1417" t="inlineStr">
        <is>
          <t>Negativo</t>
        </is>
      </c>
      <c r="F1417" s="108" t="n">
        <v>45291</v>
      </c>
      <c r="G1417" t="n">
        <v>2023</v>
      </c>
      <c r="H1417" t="inlineStr">
        <is>
          <t>Diciembre</t>
        </is>
      </c>
      <c r="I1417" t="inlineStr">
        <is>
          <t>2023-2</t>
        </is>
      </c>
      <c r="J1417" t="n">
        <v>1200</v>
      </c>
      <c r="K1417" t="n">
        <v>2275.63</v>
      </c>
      <c r="L1417" s="39">
        <f>IFERROR(IF(OR(J1417=0,K1417=""),"",IF(E1417="Positivo",MIN(MAX(K1417/J1417,0),1.3),MIN(MAX(J1417/K1417,0),1.3))),"") </f>
        <v/>
      </c>
      <c r="M1417" s="39">
        <f>IFERROR(IF(OR(J1417=0,K1417=""),"",IF(E1417="Positivo",MAX(K1417/J1417,0),MAX(J1417/K1417,0))),"") </f>
        <v/>
      </c>
      <c r="P1417" t="n">
        <v>1</v>
      </c>
      <c r="Q1417" t="n">
        <v>1</v>
      </c>
      <c r="R1417" t="inlineStr">
        <is>
          <t>434-2023-12-31</t>
        </is>
      </c>
    </row>
    <row r="1418" hidden="1">
      <c r="A1418" t="n">
        <v>434</v>
      </c>
      <c r="B1418" t="inlineStr">
        <is>
          <t>Generación de Residuos Peligrosos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08" t="n">
        <v>45473</v>
      </c>
      <c r="G1418" t="n">
        <v>2024</v>
      </c>
      <c r="H1418" t="inlineStr">
        <is>
          <t>Junio</t>
        </is>
      </c>
      <c r="I1418" t="inlineStr">
        <is>
          <t>2024-1</t>
        </is>
      </c>
      <c r="J1418" t="n">
        <v>1200</v>
      </c>
      <c r="K1418" t="n">
        <v>3489.51</v>
      </c>
      <c r="L1418" s="39">
        <f>IFERROR(IF(OR(J1418=0,K1418=""),"",IF(E1418="Positivo",MIN(MAX(K1418/J1418,0),1.3),MIN(MAX(J1418/K1418,0),1.3))),"") </f>
        <v/>
      </c>
      <c r="M1418" s="39">
        <f>IFERROR(IF(OR(J1418=0,K1418=""),"",IF(E1418="Positivo",MAX(K1418/J1418,0),MAX(J1418/K1418,0))),"") </f>
        <v/>
      </c>
      <c r="P1418" t="n">
        <v>0</v>
      </c>
      <c r="Q1418" t="n">
        <v>0</v>
      </c>
      <c r="R1418" t="inlineStr">
        <is>
          <t>434-2024-06-30</t>
        </is>
      </c>
    </row>
    <row r="1419" hidden="1">
      <c r="A1419" t="n">
        <v>434</v>
      </c>
      <c r="B1419" t="inlineStr">
        <is>
          <t>Generación de Residuos Peligrosos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08" t="n">
        <v>45657</v>
      </c>
      <c r="G1419" t="n">
        <v>2024</v>
      </c>
      <c r="H1419" t="inlineStr">
        <is>
          <t>Diciembre</t>
        </is>
      </c>
      <c r="I1419" t="inlineStr">
        <is>
          <t>2024-2</t>
        </is>
      </c>
      <c r="J1419" t="n">
        <v>1200</v>
      </c>
      <c r="K1419" t="n">
        <v>1937.73</v>
      </c>
      <c r="L1419" s="39">
        <f>IFERROR(IF(OR(J1419=0,K1419=""),"",IF(E1419="Positivo",MIN(MAX(K1419/J1419,0),1.3),MIN(MAX(J1419/K1419,0),1.3))),"") </f>
        <v/>
      </c>
      <c r="M1419" s="39">
        <f>IFERROR(IF(OR(J1419=0,K1419=""),"",IF(E1419="Positivo",MAX(K1419/J1419,0),MAX(J1419/K1419,0))),"") </f>
        <v/>
      </c>
      <c r="P1419" t="n">
        <v>0</v>
      </c>
      <c r="Q1419" t="n">
        <v>0</v>
      </c>
      <c r="R1419" t="inlineStr">
        <is>
          <t>434-2024-12-31</t>
        </is>
      </c>
    </row>
    <row r="1420" hidden="1">
      <c r="A1420" t="n">
        <v>434</v>
      </c>
      <c r="B1420" t="inlineStr">
        <is>
          <t>Generación de Residuos Peligrosos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08" t="n">
        <v>45838</v>
      </c>
      <c r="G1420" t="n">
        <v>2025</v>
      </c>
      <c r="H1420" t="inlineStr">
        <is>
          <t>Junio</t>
        </is>
      </c>
      <c r="I1420" t="inlineStr">
        <is>
          <t>2025-1</t>
        </is>
      </c>
      <c r="J1420" t="n">
        <v>1200</v>
      </c>
      <c r="K1420" t="n">
        <v>2467.36</v>
      </c>
      <c r="L1420" s="39">
        <f>IFERROR(IF(OR(J1420=0,K1420=""),"",IF(E1420="Positivo",MIN(MAX(K1420/J1420,0),1.3),MIN(MAX(J1420/K1420,0),1.3))),"") </f>
        <v/>
      </c>
      <c r="M1420" s="39">
        <f>IFERROR(IF(OR(J1420=0,K1420=""),"",IF(E1420="Positivo",MAX(K1420/J1420,0),MAX(J1420/K1420,0))),"") </f>
        <v/>
      </c>
      <c r="N1420" t="inlineStr">
        <is>
          <t>Kg</t>
        </is>
      </c>
      <c r="O1420" t="inlineStr">
        <is>
          <t>Kg</t>
        </is>
      </c>
      <c r="P1420" t="n">
        <v>0</v>
      </c>
      <c r="Q1420" t="n">
        <v>0</v>
      </c>
      <c r="R1420" t="inlineStr">
        <is>
          <t>434-2025-06-30</t>
        </is>
      </c>
    </row>
    <row r="1421" hidden="1">
      <c r="A1421" t="n">
        <v>434</v>
      </c>
      <c r="B1421" t="inlineStr">
        <is>
          <t>Generación de Residuos Peligrosos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08" t="n">
        <v>46022</v>
      </c>
      <c r="G1421" t="n">
        <v>2025</v>
      </c>
      <c r="H1421" t="inlineStr">
        <is>
          <t>Diciembre</t>
        </is>
      </c>
      <c r="I1421" t="inlineStr">
        <is>
          <t>2025-2</t>
        </is>
      </c>
      <c r="J1421" t="n">
        <v>1200</v>
      </c>
      <c r="K1421" t="n">
        <v>5316.2</v>
      </c>
      <c r="L1421" s="39">
        <f>IFERROR(IF(OR(J1421=0,K1421=""),"",IF(E1421="Positivo",MIN(MAX(K1421/J1421,0),1.3),MIN(MAX(J1421/K1421,0),1.3))),"") </f>
        <v/>
      </c>
      <c r="M1421" s="39">
        <f>IFERROR(IF(OR(J1421=0,K1421=""),"",IF(E1421="Positivo",MAX(K1421/J1421,0),MAX(J1421/K1421,0))),"") </f>
        <v/>
      </c>
      <c r="N1421" t="inlineStr">
        <is>
          <t>Kg</t>
        </is>
      </c>
      <c r="O1421" t="inlineStr">
        <is>
          <t>Kg</t>
        </is>
      </c>
      <c r="P1421" t="n">
        <v>0</v>
      </c>
      <c r="Q1421" t="n">
        <v>0</v>
      </c>
      <c r="R1421" t="inlineStr">
        <is>
          <t>434-2025-12-31</t>
        </is>
      </c>
    </row>
    <row r="1422" hidden="1">
      <c r="A1422" t="n">
        <v>435</v>
      </c>
      <c r="B1422" t="inlineStr">
        <is>
          <t>Disminución de la Generación de Residuos Peligrosos per Cápita</t>
        </is>
      </c>
      <c r="C1422" t="inlineStr">
        <is>
          <t>GESTIÓN AMBIENTAL</t>
        </is>
      </c>
      <c r="D1422" t="inlineStr">
        <is>
          <t>Semestral</t>
        </is>
      </c>
      <c r="E1422" t="inlineStr">
        <is>
          <t>Positivo</t>
        </is>
      </c>
      <c r="F1422" s="108" t="n">
        <v>45107</v>
      </c>
      <c r="G1422" t="n">
        <v>2023</v>
      </c>
      <c r="H1422" t="inlineStr">
        <is>
          <t>Junio</t>
        </is>
      </c>
      <c r="I1422" t="inlineStr">
        <is>
          <t>2023-1</t>
        </is>
      </c>
      <c r="J1422" t="n">
        <v>100</v>
      </c>
      <c r="K1422" t="n">
        <v>0.43352601156069</v>
      </c>
      <c r="L1422" s="39">
        <f>IFERROR(IF(OR(J1422=0,K1422=""),"",IF(E1422="Positivo",MIN(MAX(K1422/J1422,0),1.3),MIN(MAX(J1422/K1422,0),1.3))),"") </f>
        <v/>
      </c>
      <c r="M1422" s="39">
        <f>IFERROR(IF(OR(J1422=0,K1422=""),"",IF(E1422="Positivo",MAX(K1422/J1422,0),MAX(J1422/K1422,0))),"") </f>
        <v/>
      </c>
      <c r="N1422" t="inlineStr">
        <is>
          <t>DEC</t>
        </is>
      </c>
      <c r="O1422" t="inlineStr">
        <is>
          <t>DEC</t>
        </is>
      </c>
      <c r="P1422" t="n">
        <v>2</v>
      </c>
      <c r="Q1422" t="n">
        <v>2</v>
      </c>
      <c r="R1422" t="inlineStr">
        <is>
          <t>435-2023-06-30</t>
        </is>
      </c>
    </row>
    <row r="1423" hidden="1">
      <c r="A1423" t="n">
        <v>435</v>
      </c>
      <c r="B1423" t="inlineStr">
        <is>
          <t>Disminución de la Generación de Residuos Peligrosos per Cápita</t>
        </is>
      </c>
      <c r="C1423" t="inlineStr">
        <is>
          <t>GESTIÓN AMBIENTAL</t>
        </is>
      </c>
      <c r="D1423" t="inlineStr">
        <is>
          <t>Semestral</t>
        </is>
      </c>
      <c r="E1423" t="inlineStr">
        <is>
          <t>Positivo</t>
        </is>
      </c>
      <c r="F1423" s="108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100</v>
      </c>
      <c r="K1423" t="n">
        <v>-111.57</v>
      </c>
      <c r="L1423" s="39">
        <f>IFERROR(IF(OR(J1423=0,K1423=""),"",IF(E1423="Positivo",MIN(MAX(K1423/J1423,0),1.3),MIN(MAX(J1423/K1423,0),1.3))),"") </f>
        <v/>
      </c>
      <c r="M1423" s="39">
        <f>IFERROR(IF(OR(J1423=0,K1423=""),"",IF(E1423="Positivo",MAX(K1423/J1423,0),MAX(J1423/K1423,0))),"") </f>
        <v/>
      </c>
      <c r="N1423" t="inlineStr">
        <is>
          <t>DEC</t>
        </is>
      </c>
      <c r="O1423" t="inlineStr">
        <is>
          <t>DEC</t>
        </is>
      </c>
      <c r="P1423" t="n">
        <v>2</v>
      </c>
      <c r="Q1423" t="n">
        <v>2</v>
      </c>
      <c r="R1423" t="inlineStr">
        <is>
          <t>435-2023-12-31</t>
        </is>
      </c>
    </row>
    <row r="1424" hidden="1">
      <c r="A1424" t="n">
        <v>435</v>
      </c>
      <c r="B1424" t="inlineStr">
        <is>
          <t>Disminución de la Generación de Residuos Peligrosos per Cápita</t>
        </is>
      </c>
      <c r="C1424" t="inlineStr">
        <is>
          <t>GESTIÓN AMBIENTAL</t>
        </is>
      </c>
      <c r="D1424" t="inlineStr">
        <is>
          <t>Semestral</t>
        </is>
      </c>
      <c r="E1424" t="inlineStr">
        <is>
          <t>Positivo</t>
        </is>
      </c>
      <c r="F1424" s="108" t="n">
        <v>45473</v>
      </c>
      <c r="G1424" t="n">
        <v>2024</v>
      </c>
      <c r="H1424" t="inlineStr">
        <is>
          <t>Junio</t>
        </is>
      </c>
      <c r="I1424" t="inlineStr">
        <is>
          <t>2024-1</t>
        </is>
      </c>
      <c r="J1424" t="n">
        <v>100</v>
      </c>
      <c r="K1424" t="n">
        <v>-20.67</v>
      </c>
      <c r="L1424" s="39">
        <f>IFERROR(IF(OR(J1424=0,K1424=""),"",IF(E1424="Positivo",MIN(MAX(K1424/J1424,0),1.3),MIN(MAX(J1424/K1424,0),1.3))),"") </f>
        <v/>
      </c>
      <c r="M1424" s="39">
        <f>IFERROR(IF(OR(J1424=0,K1424=""),"",IF(E1424="Positivo",MAX(K1424/J1424,0),MAX(J1424/K1424,0))),"") </f>
        <v/>
      </c>
      <c r="P1424" t="n">
        <v>0</v>
      </c>
      <c r="Q1424" t="n">
        <v>0</v>
      </c>
      <c r="R1424" t="inlineStr">
        <is>
          <t>435-2024-06-30</t>
        </is>
      </c>
    </row>
    <row r="1425" hidden="1">
      <c r="A1425" t="n">
        <v>435</v>
      </c>
      <c r="B1425" t="inlineStr">
        <is>
          <t>Disminución de la Generación de Residuos Peligrosos per Cápita</t>
        </is>
      </c>
      <c r="C1425" t="inlineStr">
        <is>
          <t>GESTIÓN AMBIENTAL</t>
        </is>
      </c>
      <c r="D1425" t="inlineStr">
        <is>
          <t>Semestral</t>
        </is>
      </c>
      <c r="E1425" t="inlineStr">
        <is>
          <t>Positivo</t>
        </is>
      </c>
      <c r="F1425" s="108" t="n">
        <v>45657</v>
      </c>
      <c r="G1425" t="n">
        <v>2024</v>
      </c>
      <c r="H1425" t="inlineStr">
        <is>
          <t>Diciembre</t>
        </is>
      </c>
      <c r="I1425" t="inlineStr">
        <is>
          <t>2024-2</t>
        </is>
      </c>
      <c r="J1425" t="n">
        <v>100</v>
      </c>
      <c r="K1425" t="n">
        <v>71.09</v>
      </c>
      <c r="L1425" s="39">
        <f>IFERROR(IF(OR(J1425=0,K1425=""),"",IF(E1425="Positivo",MIN(MAX(K1425/J1425,0),1.3),MIN(MAX(J1425/K1425,0),1.3))),"") </f>
        <v/>
      </c>
      <c r="M1425" s="39">
        <f>IFERROR(IF(OR(J1425=0,K1425=""),"",IF(E1425="Positivo",MAX(K1425/J1425,0),MAX(J1425/K1425,0))),"") </f>
        <v/>
      </c>
      <c r="P1425" t="n">
        <v>0</v>
      </c>
      <c r="Q1425" t="n">
        <v>0</v>
      </c>
      <c r="R1425" t="inlineStr">
        <is>
          <t>435-2024-12-31</t>
        </is>
      </c>
    </row>
    <row r="1426" hidden="1">
      <c r="A1426" t="n">
        <v>435</v>
      </c>
      <c r="B1426" t="inlineStr">
        <is>
          <t>Disminución de la Generación de Residuos Peligrosos per Cápita</t>
        </is>
      </c>
      <c r="C1426" t="inlineStr">
        <is>
          <t>GESTIÓN AMBIENTAL</t>
        </is>
      </c>
      <c r="D1426" t="inlineStr">
        <is>
          <t>Trimestral</t>
        </is>
      </c>
      <c r="E1426" t="inlineStr">
        <is>
          <t>Positivo</t>
        </is>
      </c>
      <c r="F1426" s="108" t="n">
        <v>45838</v>
      </c>
      <c r="G1426" t="n">
        <v>2025</v>
      </c>
      <c r="H1426" t="inlineStr">
        <is>
          <t>Junio</t>
        </is>
      </c>
      <c r="I1426" t="inlineStr">
        <is>
          <t>2025-1</t>
        </is>
      </c>
      <c r="J1426" t="n">
        <v>1</v>
      </c>
      <c r="K1426" t="n">
        <v>96.09</v>
      </c>
      <c r="L1426" s="39">
        <f>IFERROR(IF(OR(J1426=0,K1426=""),"",IF(E1426="Positivo",MIN(MAX(K1426/J1426,0),1.3),MIN(MAX(J1426/K1426,0),1.3))),"") </f>
        <v/>
      </c>
      <c r="M1426" s="39">
        <f>IFERROR(IF(OR(J1426=0,K1426=""),"",IF(E1426="Positivo",MAX(K1426/J1426,0),MAX(J1426/K1426,0))),"") </f>
        <v/>
      </c>
      <c r="N1426" t="inlineStr">
        <is>
          <t>%</t>
        </is>
      </c>
      <c r="O1426" t="inlineStr">
        <is>
          <t>%</t>
        </is>
      </c>
      <c r="P1426" t="n">
        <v>2</v>
      </c>
      <c r="Q1426" t="n">
        <v>2</v>
      </c>
      <c r="R1426" t="inlineStr">
        <is>
          <t>435-2025-06-30</t>
        </is>
      </c>
    </row>
    <row r="1427" hidden="1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Trimestral</t>
        </is>
      </c>
      <c r="E1427" t="inlineStr">
        <is>
          <t>Positivo</t>
        </is>
      </c>
      <c r="F1427" s="108" t="n">
        <v>46022</v>
      </c>
      <c r="G1427" t="n">
        <v>2025</v>
      </c>
      <c r="H1427" t="inlineStr">
        <is>
          <t>Diciembre</t>
        </is>
      </c>
      <c r="I1427" t="inlineStr">
        <is>
          <t>2025-2</t>
        </is>
      </c>
      <c r="J1427" t="n">
        <v>1</v>
      </c>
      <c r="K1427" t="n">
        <v>-732.08</v>
      </c>
      <c r="L1427" s="39">
        <f>IFERROR(IF(OR(J1427=0,K1427=""),"",IF(E1427="Positivo",MIN(MAX(K1427/J1427,0),1.3),MIN(MAX(J1427/K1427,0),1.3))),"") </f>
        <v/>
      </c>
      <c r="M1427" s="39">
        <f>IFERROR(IF(OR(J1427=0,K1427=""),"",IF(E1427="Positivo",MAX(K1427/J1427,0),MAX(J1427/K1427,0))),"") </f>
        <v/>
      </c>
      <c r="N1427" t="inlineStr">
        <is>
          <t>%</t>
        </is>
      </c>
      <c r="O1427" t="inlineStr">
        <is>
          <t>%</t>
        </is>
      </c>
      <c r="P1427" t="n">
        <v>2</v>
      </c>
      <c r="Q1427" t="n">
        <v>2</v>
      </c>
      <c r="R1427" t="inlineStr">
        <is>
          <t>435-2025-12-31</t>
        </is>
      </c>
    </row>
    <row r="1428" hidden="1">
      <c r="A1428" t="n">
        <v>436</v>
      </c>
      <c r="B1428" t="inlineStr">
        <is>
          <t>ANS documentos operativos</t>
        </is>
      </c>
      <c r="C1428" t="inlineStr">
        <is>
          <t>Gestión de calidad</t>
        </is>
      </c>
      <c r="D1428" t="inlineStr">
        <is>
          <t>Mensual</t>
        </is>
      </c>
      <c r="E1428" t="inlineStr">
        <is>
          <t>Negativo</t>
        </is>
      </c>
      <c r="F1428" s="108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21</v>
      </c>
      <c r="K1428" t="n">
        <v>11.06833333333333</v>
      </c>
      <c r="L1428" s="39">
        <f>IFERROR(IF(OR(J1428=0,K1428=""),"",IF(E1428="Positivo",MIN(MAX(K1428/J1428,0),1.3),MIN(MAX(J1428/K1428,0),1.3))),"") </f>
        <v/>
      </c>
      <c r="M1428" s="39">
        <f>IFERROR(IF(OR(J1428=0,K1428=""),"",IF(E1428="Positivo",MAX(K1428/J1428,0),MAX(J1428/K1428,0))),"") </f>
        <v/>
      </c>
      <c r="N1428" t="inlineStr">
        <is>
          <t>Días</t>
        </is>
      </c>
      <c r="O1428" t="inlineStr">
        <is>
          <t>Días</t>
        </is>
      </c>
      <c r="P1428" t="n">
        <v>1</v>
      </c>
      <c r="Q1428" t="n">
        <v>1</v>
      </c>
      <c r="R1428" t="inlineStr">
        <is>
          <t>436-2023-12-31</t>
        </is>
      </c>
    </row>
    <row r="1429" hidden="1">
      <c r="A1429" t="n">
        <v>436</v>
      </c>
      <c r="B1429" t="inlineStr">
        <is>
          <t>ANS documentos operativos</t>
        </is>
      </c>
      <c r="C1429" t="inlineStr">
        <is>
          <t>Gestión de calidad</t>
        </is>
      </c>
      <c r="D1429" t="inlineStr">
        <is>
          <t>Mensual</t>
        </is>
      </c>
      <c r="E1429" t="inlineStr">
        <is>
          <t>Negativo</t>
        </is>
      </c>
      <c r="F1429" s="108" t="n">
        <v>45473</v>
      </c>
      <c r="G1429" t="n">
        <v>2024</v>
      </c>
      <c r="H1429" t="inlineStr">
        <is>
          <t>Junio</t>
        </is>
      </c>
      <c r="I1429" t="inlineStr">
        <is>
          <t>2024-1</t>
        </is>
      </c>
      <c r="J1429" t="n">
        <v>14</v>
      </c>
      <c r="K1429" t="n">
        <v>11.56666666666667</v>
      </c>
      <c r="L1429" s="39">
        <f>IFERROR(IF(OR(J1429=0,K1429=""),"",IF(E1429="Positivo",MIN(MAX(K1429/J1429,0),1.3),MIN(MAX(J1429/K1429,0),1.3))),"") </f>
        <v/>
      </c>
      <c r="M1429" s="3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436-2024-06-30</t>
        </is>
      </c>
    </row>
    <row r="1430" hidden="1">
      <c r="A1430" t="n">
        <v>436</v>
      </c>
      <c r="B1430" t="inlineStr">
        <is>
          <t>ANS documentos operativos</t>
        </is>
      </c>
      <c r="C1430" t="inlineStr">
        <is>
          <t>Gestión de calidad</t>
        </is>
      </c>
      <c r="D1430" t="inlineStr">
        <is>
          <t>Mensual</t>
        </is>
      </c>
      <c r="E1430" t="inlineStr">
        <is>
          <t>Negativo</t>
        </is>
      </c>
      <c r="F1430" s="108" t="n">
        <v>45657</v>
      </c>
      <c r="G1430" t="n">
        <v>2024</v>
      </c>
      <c r="H1430" t="inlineStr">
        <is>
          <t>Diciembre</t>
        </is>
      </c>
      <c r="I1430" t="inlineStr">
        <is>
          <t>2024-2</t>
        </is>
      </c>
      <c r="J1430" t="n">
        <v>14</v>
      </c>
      <c r="K1430" t="n">
        <v>10.56166666666667</v>
      </c>
      <c r="L1430" s="39">
        <f>IFERROR(IF(OR(J1430=0,K1430=""),"",IF(E1430="Positivo",MIN(MAX(K1430/J1430,0),1.3),MIN(MAX(J1430/K1430,0),1.3))),"") </f>
        <v/>
      </c>
      <c r="M1430" s="39">
        <f>IFERROR(IF(OR(J1430=0,K1430=""),"",IF(E1430="Positivo",MAX(K1430/J1430,0),MAX(J1430/K1430,0))),"") </f>
        <v/>
      </c>
      <c r="P1430" t="n">
        <v>0</v>
      </c>
      <c r="Q1430" t="n">
        <v>0</v>
      </c>
      <c r="R1430" t="inlineStr">
        <is>
          <t>436-2024-12-31</t>
        </is>
      </c>
    </row>
    <row r="1431" hidden="1">
      <c r="A1431" t="n">
        <v>436</v>
      </c>
      <c r="B1431" t="inlineStr">
        <is>
          <t>ANS documentos operativos</t>
        </is>
      </c>
      <c r="C1431" t="inlineStr">
        <is>
          <t>Gestión de calidad</t>
        </is>
      </c>
      <c r="D1431" t="inlineStr">
        <is>
          <t>Mensual</t>
        </is>
      </c>
      <c r="E1431" t="inlineStr">
        <is>
          <t>Negativo</t>
        </is>
      </c>
      <c r="F1431" s="108" t="n">
        <v>45838</v>
      </c>
      <c r="G1431" t="n">
        <v>2025</v>
      </c>
      <c r="H1431" t="inlineStr">
        <is>
          <t>Junio</t>
        </is>
      </c>
      <c r="I1431" t="inlineStr">
        <is>
          <t>2025-1</t>
        </is>
      </c>
      <c r="J1431" t="n">
        <v>14</v>
      </c>
      <c r="K1431" t="n">
        <v>8.606666666666667</v>
      </c>
      <c r="L1431" s="39">
        <f>IFERROR(IF(OR(J1431=0,K1431=""),"",IF(E1431="Positivo",MIN(MAX(K1431/J1431,0),1.3),MIN(MAX(J1431/K1431,0),1.3))),"") </f>
        <v/>
      </c>
      <c r="M1431" s="39">
        <f>IFERROR(IF(OR(J1431=0,K1431=""),"",IF(E1431="Positivo",MAX(K1431/J1431,0),MAX(J1431/K1431,0))),"") </f>
        <v/>
      </c>
      <c r="N1431" t="inlineStr">
        <is>
          <t>Días</t>
        </is>
      </c>
      <c r="O1431" t="inlineStr">
        <is>
          <t>Días</t>
        </is>
      </c>
      <c r="P1431" t="n">
        <v>0</v>
      </c>
      <c r="Q1431" t="n">
        <v>1</v>
      </c>
      <c r="R1431" t="inlineStr">
        <is>
          <t>436-2025-06-30</t>
        </is>
      </c>
    </row>
    <row r="1432" hidden="1">
      <c r="A1432" t="n">
        <v>436</v>
      </c>
      <c r="B1432" t="inlineStr">
        <is>
          <t>ANS documentos operativos</t>
        </is>
      </c>
      <c r="C1432" t="inlineStr">
        <is>
          <t>Gestión de calidad</t>
        </is>
      </c>
      <c r="D1432" t="inlineStr">
        <is>
          <t>Mensual</t>
        </is>
      </c>
      <c r="E1432" t="inlineStr">
        <is>
          <t>Negativo</t>
        </is>
      </c>
      <c r="F1432" s="108" t="n">
        <v>46022</v>
      </c>
      <c r="G1432" t="n">
        <v>2025</v>
      </c>
      <c r="H1432" t="inlineStr">
        <is>
          <t>Diciembre</t>
        </is>
      </c>
      <c r="I1432" t="inlineStr">
        <is>
          <t>2025-2</t>
        </is>
      </c>
      <c r="J1432" t="n">
        <v>14</v>
      </c>
      <c r="K1432" t="n">
        <v>11.67333333333333</v>
      </c>
      <c r="L1432" s="39">
        <f>IFERROR(IF(OR(J1432=0,K1432=""),"",IF(E1432="Positivo",MIN(MAX(K1432/J1432,0),1.3),MIN(MAX(J1432/K1432,0),1.3))),"") </f>
        <v/>
      </c>
      <c r="M1432" s="39">
        <f>IFERROR(IF(OR(J1432=0,K1432=""),"",IF(E1432="Positivo",MAX(K1432/J1432,0),MAX(J1432/K1432,0))),"") </f>
        <v/>
      </c>
      <c r="N1432" t="inlineStr">
        <is>
          <t>Días</t>
        </is>
      </c>
      <c r="O1432" t="inlineStr">
        <is>
          <t>Días</t>
        </is>
      </c>
      <c r="P1432" t="n">
        <v>0</v>
      </c>
      <c r="Q1432" t="n">
        <v>1</v>
      </c>
      <c r="R1432" t="inlineStr">
        <is>
          <t>436-2025-12-31</t>
        </is>
      </c>
    </row>
    <row r="1433" hidden="1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08" t="n">
        <v>46203</v>
      </c>
      <c r="G1433" t="n">
        <v>2026</v>
      </c>
      <c r="H1433" t="inlineStr">
        <is>
          <t>Junio</t>
        </is>
      </c>
      <c r="I1433" t="inlineStr">
        <is>
          <t>2026-1</t>
        </is>
      </c>
      <c r="J1433" t="n">
        <v>14</v>
      </c>
      <c r="K1433" t="n">
        <v>9.57</v>
      </c>
      <c r="L1433" s="39">
        <f>IFERROR(IF(OR(J1433=0,K1433=""),"",IF(E1433="Positivo",MIN(MAX(K1433/J1433,0),1.3),MIN(MAX(J1433/K1433,0),1.3))),"") </f>
        <v/>
      </c>
      <c r="M1433" s="39">
        <f>IFERROR(IF(OR(J1433=0,K1433=""),"",IF(E1433="Positivo",MAX(K1433/J1433,0),MAX(J1433/K1433,0))),"") </f>
        <v/>
      </c>
      <c r="N1433" t="inlineStr">
        <is>
          <t>Días</t>
        </is>
      </c>
      <c r="O1433" t="inlineStr">
        <is>
          <t>Días</t>
        </is>
      </c>
      <c r="P1433" t="n">
        <v>0</v>
      </c>
      <c r="Q1433" t="n">
        <v>1</v>
      </c>
      <c r="R1433" t="inlineStr">
        <is>
          <t>436-2026-06-30</t>
        </is>
      </c>
      <c r="S1433" t="inlineStr"/>
    </row>
    <row r="1434" hidden="1">
      <c r="A1434" t="n">
        <v>437</v>
      </c>
      <c r="B1434" t="inlineStr">
        <is>
          <t>Nivel de Satisfacción Servicios Prestados - Riesgos</t>
        </is>
      </c>
      <c r="C1434" t="inlineStr">
        <is>
          <t>GESTIÓN DE RIESGOS</t>
        </is>
      </c>
      <c r="D1434" t="inlineStr">
        <is>
          <t>Anual</t>
        </is>
      </c>
      <c r="E1434" t="inlineStr">
        <is>
          <t>Positivo</t>
        </is>
      </c>
      <c r="F1434" s="108" t="n">
        <v>45291</v>
      </c>
      <c r="G1434" t="n">
        <v>2023</v>
      </c>
      <c r="H1434" t="inlineStr">
        <is>
          <t>Diciembre</t>
        </is>
      </c>
      <c r="I1434" t="inlineStr">
        <is>
          <t>2023-2</t>
        </is>
      </c>
      <c r="J1434" t="n">
        <v>80</v>
      </c>
      <c r="K1434" t="n">
        <v>96</v>
      </c>
      <c r="L1434" s="39">
        <f>IFERROR(IF(OR(J1434=0,K1434=""),"",IF(E1434="Positivo",MIN(MAX(K1434/J1434,0),1.3),MIN(MAX(J1434/K1434,0),1.3))),"") </f>
        <v/>
      </c>
      <c r="M1434" s="39">
        <f>IFERROR(IF(OR(J1434=0,K1434=""),"",IF(E1434="Positivo",MAX(K1434/J1434,0),MAX(J1434/K1434,0))),"") </f>
        <v/>
      </c>
      <c r="N1434" t="inlineStr">
        <is>
          <t>%</t>
        </is>
      </c>
      <c r="O1434" t="inlineStr">
        <is>
          <t>%</t>
        </is>
      </c>
      <c r="P1434" t="n">
        <v>0</v>
      </c>
      <c r="Q1434" t="n">
        <v>0</v>
      </c>
      <c r="R1434" t="inlineStr">
        <is>
          <t>437-2023-12-31</t>
        </is>
      </c>
    </row>
    <row r="1435" hidden="1">
      <c r="A1435" t="n">
        <v>437</v>
      </c>
      <c r="B1435" t="inlineStr">
        <is>
          <t>Nivel de Satisfacción Servicios Prestados - Riesgos</t>
        </is>
      </c>
      <c r="C1435" t="inlineStr">
        <is>
          <t>GESTIÓN DE RIESGOS</t>
        </is>
      </c>
      <c r="D1435" t="inlineStr">
        <is>
          <t>Anual</t>
        </is>
      </c>
      <c r="E1435" t="inlineStr">
        <is>
          <t>Positivo</t>
        </is>
      </c>
      <c r="F1435" s="108" t="n">
        <v>45657</v>
      </c>
      <c r="G1435" t="n">
        <v>2024</v>
      </c>
      <c r="H1435" t="inlineStr">
        <is>
          <t>Diciembre</t>
        </is>
      </c>
      <c r="I1435" t="inlineStr">
        <is>
          <t>2024-2</t>
        </is>
      </c>
      <c r="J1435" t="n">
        <v>80</v>
      </c>
      <c r="K1435" t="n">
        <v>84</v>
      </c>
      <c r="L1435" s="39">
        <f>IFERROR(IF(OR(J1435=0,K1435=""),"",IF(E1435="Positivo",MIN(MAX(K1435/J1435,0),1.3),MIN(MAX(J1435/K1435,0),1.3))),"") </f>
        <v/>
      </c>
      <c r="M1435" s="39">
        <f>IFERROR(IF(OR(J1435=0,K1435=""),"",IF(E1435="Positivo",MAX(K1435/J1435,0),MAX(J1435/K1435,0))),"") </f>
        <v/>
      </c>
      <c r="P1435" t="n">
        <v>0</v>
      </c>
      <c r="Q1435" t="n">
        <v>0</v>
      </c>
      <c r="R1435" t="inlineStr">
        <is>
          <t>437-2024-12-31</t>
        </is>
      </c>
    </row>
    <row r="1436" hidden="1">
      <c r="A1436" t="n">
        <v>437</v>
      </c>
      <c r="B1436" t="inlineStr">
        <is>
          <t>Nivel de Satisfacción Servicios Prestados - Riesgos</t>
        </is>
      </c>
      <c r="C1436" t="inlineStr">
        <is>
          <t>GESTIÓN DE RIESGOS</t>
        </is>
      </c>
      <c r="D1436" t="inlineStr">
        <is>
          <t>Anual</t>
        </is>
      </c>
      <c r="E1436" t="inlineStr">
        <is>
          <t>Positivo</t>
        </is>
      </c>
      <c r="F1436" s="108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80</v>
      </c>
      <c r="K1436" t="n">
        <v>99</v>
      </c>
      <c r="L1436" s="39">
        <f>IFERROR(IF(OR(J1436=0,K1436=""),"",IF(E1436="Positivo",MIN(MAX(K1436/J1436,0),1.3),MIN(MAX(J1436/K1436,0),1.3))),"") </f>
        <v/>
      </c>
      <c r="M1436" s="39">
        <f>IFERROR(IF(OR(J1436=0,K1436=""),"",IF(E1436="Positivo",MAX(K1436/J1436,0),MAX(J1436/K1436,0))),"") </f>
        <v/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0</v>
      </c>
      <c r="R1436" t="inlineStr">
        <is>
          <t>437-2025-12-31</t>
        </is>
      </c>
    </row>
    <row r="1437" hidden="1">
      <c r="A1437" t="n">
        <v>438</v>
      </c>
      <c r="B1437" t="inlineStr">
        <is>
          <t>Seguimiento de asignación docente a NRC Pregrado-Posgrado Virtual</t>
        </is>
      </c>
      <c r="C1437" t="inlineStr">
        <is>
          <t>Operaciones Académica pregrado y posgrado virtual</t>
        </is>
      </c>
      <c r="D1437" t="inlineStr">
        <is>
          <t>Semestral</t>
        </is>
      </c>
      <c r="E1437" t="inlineStr">
        <is>
          <t>Positivo</t>
        </is>
      </c>
      <c r="F1437" s="108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100</v>
      </c>
      <c r="K1437" t="n">
        <v>100</v>
      </c>
      <c r="L1437" s="39">
        <f>IFERROR(IF(OR(J1437=0,K1437=""),"",IF(E1437="Positivo",MIN(MAX(K1437/J1437,0),1.3),MIN(MAX(J1437/K1437,0),1.3))),"") </f>
        <v/>
      </c>
      <c r="M1437" s="39">
        <f>IFERROR(IF(OR(J1437=0,K1437=""),"",IF(E1437="Positivo",MAX(K1437/J1437,0),MAX(J1437/K1437,0))),"") </f>
        <v/>
      </c>
      <c r="P1437" t="n">
        <v>0</v>
      </c>
      <c r="Q1437" t="n">
        <v>0</v>
      </c>
      <c r="R1437" t="inlineStr">
        <is>
          <t>438-2023-12-31</t>
        </is>
      </c>
    </row>
    <row r="1438" hidden="1">
      <c r="A1438" t="n">
        <v>439</v>
      </c>
      <c r="B1438" t="inlineStr">
        <is>
          <t>Disponibilidad de catálogo de asignaturas pregrado y posgrado virtual</t>
        </is>
      </c>
      <c r="C1438" t="inlineStr">
        <is>
          <t>Operaciones Académica pregrado y posgrado virtual</t>
        </is>
      </c>
      <c r="D1438" t="inlineStr">
        <is>
          <t>Semestral</t>
        </is>
      </c>
      <c r="E1438" t="inlineStr">
        <is>
          <t>Positivo</t>
        </is>
      </c>
      <c r="F1438" s="108" t="n">
        <v>45291</v>
      </c>
      <c r="G1438" t="n">
        <v>2023</v>
      </c>
      <c r="H1438" t="inlineStr">
        <is>
          <t>Diciembre</t>
        </is>
      </c>
      <c r="I1438" t="inlineStr">
        <is>
          <t>2023-2</t>
        </is>
      </c>
      <c r="J1438" t="n">
        <v>100</v>
      </c>
      <c r="K1438" t="n">
        <v>100</v>
      </c>
      <c r="L1438" s="39">
        <f>IFERROR(IF(OR(J1438=0,K1438=""),"",IF(E1438="Positivo",MIN(MAX(K1438/J1438,0),1.3),MIN(MAX(J1438/K1438,0),1.3))),"") </f>
        <v/>
      </c>
      <c r="M1438" s="39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439-2023-12-31</t>
        </is>
      </c>
    </row>
    <row r="1439" hidden="1">
      <c r="A1439" t="n">
        <v>439</v>
      </c>
      <c r="B1439" t="inlineStr">
        <is>
          <t>Disponibilidad de catálogo de asignaturas pregrado y posgrado virtual</t>
        </is>
      </c>
      <c r="C1439" t="inlineStr">
        <is>
          <t>Operaciones Académicas</t>
        </is>
      </c>
      <c r="D1439" t="inlineStr">
        <is>
          <t>Semestral</t>
        </is>
      </c>
      <c r="E1439" t="inlineStr">
        <is>
          <t>Positivo</t>
        </is>
      </c>
      <c r="F1439" s="108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100</v>
      </c>
      <c r="L1439" s="39">
        <f>IFERROR(IF(OR(J1439=0,K1439=""),"",IF(E1439="Positivo",MIN(MAX(K1439/J1439,0),1.3),MIN(MAX(J1439/K1439,0),1.3))),"") </f>
        <v/>
      </c>
      <c r="M1439" s="39">
        <f>IFERROR(IF(OR(J1439=0,K1439=""),"",IF(E1439="Positivo",MAX(K1439/J1439,0),MAX(J1439/K1439,0))),"") </f>
        <v/>
      </c>
      <c r="P1439" t="n">
        <v>0</v>
      </c>
      <c r="Q1439" t="n">
        <v>0</v>
      </c>
      <c r="R1439" t="inlineStr">
        <is>
          <t>439-2024-06-30</t>
        </is>
      </c>
    </row>
    <row r="1440" hidden="1">
      <c r="A1440" t="n">
        <v>439</v>
      </c>
      <c r="B1440" t="inlineStr">
        <is>
          <t>Disponibilidad de catálogo de asignaturas pregrado y posgrado virtual</t>
        </is>
      </c>
      <c r="C1440" t="inlineStr">
        <is>
          <t>Operaciones Académicas</t>
        </is>
      </c>
      <c r="D1440" t="inlineStr">
        <is>
          <t>Semestral</t>
        </is>
      </c>
      <c r="E1440" t="inlineStr">
        <is>
          <t>Positivo</t>
        </is>
      </c>
      <c r="F1440" s="108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100</v>
      </c>
      <c r="L1440" s="39">
        <f>IFERROR(IF(OR(J1440=0,K1440=""),"",IF(E1440="Positivo",MIN(MAX(K1440/J1440,0),1.3),MIN(MAX(J1440/K1440,0),1.3))),"") </f>
        <v/>
      </c>
      <c r="M1440" s="39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439-2024-12-31</t>
        </is>
      </c>
    </row>
    <row r="1441" hidden="1">
      <c r="A1441" t="n">
        <v>439</v>
      </c>
      <c r="B1441" t="inlineStr">
        <is>
          <t>Disponibilidad de catálogo de asignaturas pregrado y posgrado virtual</t>
        </is>
      </c>
      <c r="C1441" t="inlineStr">
        <is>
          <t>Operaciones Académicas</t>
        </is>
      </c>
      <c r="D1441" t="inlineStr">
        <is>
          <t>Trimestral</t>
        </is>
      </c>
      <c r="E1441" t="inlineStr">
        <is>
          <t>Positivo</t>
        </is>
      </c>
      <c r="F1441" s="108" t="n">
        <v>45838</v>
      </c>
      <c r="G1441" t="n">
        <v>2025</v>
      </c>
      <c r="H1441" t="inlineStr">
        <is>
          <t>Junio</t>
        </is>
      </c>
      <c r="I1441" t="inlineStr">
        <is>
          <t>2025-1</t>
        </is>
      </c>
      <c r="J1441" t="n">
        <v>100</v>
      </c>
      <c r="K1441" t="n">
        <v>100</v>
      </c>
      <c r="L1441" s="39">
        <f>IFERROR(IF(OR(J1441=0,K1441=""),"",IF(E1441="Positivo",MIN(MAX(K1441/J1441,0),1.3),MIN(MAX(J1441/K1441,0),1.3))),"") </f>
        <v/>
      </c>
      <c r="M1441" s="39">
        <f>IFERROR(IF(OR(J1441=0,K1441=""),"",IF(E1441="Positivo",MAX(K1441/J1441,0),MAX(J1441/K1441,0))),"") </f>
        <v/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0</v>
      </c>
      <c r="R1441" t="inlineStr">
        <is>
          <t>439-2025-06-30</t>
        </is>
      </c>
    </row>
    <row r="1442" hidden="1">
      <c r="A1442" t="n">
        <v>439</v>
      </c>
      <c r="B1442" t="inlineStr">
        <is>
          <t>Disponibilidad de catálogo de asignaturas pregrado y posgrado virtual</t>
        </is>
      </c>
      <c r="C1442" t="inlineStr">
        <is>
          <t>Operaciones Académicas</t>
        </is>
      </c>
      <c r="D1442" t="inlineStr">
        <is>
          <t>Trimestral</t>
        </is>
      </c>
      <c r="E1442" t="inlineStr">
        <is>
          <t>Positivo</t>
        </is>
      </c>
      <c r="F1442" s="108" t="n">
        <v>46022</v>
      </c>
      <c r="G1442" t="n">
        <v>2025</v>
      </c>
      <c r="H1442" t="inlineStr">
        <is>
          <t>Diciembre</t>
        </is>
      </c>
      <c r="I1442" t="inlineStr">
        <is>
          <t>2025-2</t>
        </is>
      </c>
      <c r="J1442" t="n">
        <v>100</v>
      </c>
      <c r="K1442" t="n">
        <v>100</v>
      </c>
      <c r="L1442" s="39">
        <f>IFERROR(IF(OR(J1442=0,K1442=""),"",IF(E1442="Positivo",MIN(MAX(K1442/J1442,0),1.3),MIN(MAX(J1442/K1442,0),1.3))),"") </f>
        <v/>
      </c>
      <c r="M1442" s="39">
        <f>IFERROR(IF(OR(J1442=0,K1442=""),"",IF(E1442="Positivo",MAX(K1442/J1442,0),MAX(J1442/K1442,0))),"") </f>
        <v/>
      </c>
      <c r="N1442" t="inlineStr">
        <is>
          <t>%</t>
        </is>
      </c>
      <c r="O1442" t="inlineStr">
        <is>
          <t>%</t>
        </is>
      </c>
      <c r="P1442" t="n">
        <v>0</v>
      </c>
      <c r="Q1442" t="n">
        <v>0</v>
      </c>
      <c r="R1442" t="inlineStr">
        <is>
          <t>439-2025-12-31</t>
        </is>
      </c>
    </row>
    <row r="1443" hidden="1">
      <c r="A1443" t="n">
        <v>440</v>
      </c>
      <c r="B1443" t="inlineStr">
        <is>
          <t>Aseguramiento de matricula académica virtual</t>
        </is>
      </c>
      <c r="C1443" t="inlineStr">
        <is>
          <t>Operaciones Académica pregrado y posgrado virtual</t>
        </is>
      </c>
      <c r="D1443" t="inlineStr">
        <is>
          <t>Semestral</t>
        </is>
      </c>
      <c r="E1443" t="inlineStr">
        <is>
          <t>Positivo</t>
        </is>
      </c>
      <c r="F1443" s="108" t="n">
        <v>45291</v>
      </c>
      <c r="G1443" t="n">
        <v>2023</v>
      </c>
      <c r="H1443" t="inlineStr">
        <is>
          <t>Diciembre</t>
        </is>
      </c>
      <c r="I1443" t="inlineStr">
        <is>
          <t>2023-2</t>
        </is>
      </c>
      <c r="J1443" t="n">
        <v>98</v>
      </c>
      <c r="K1443" t="n">
        <v>97.746062537527</v>
      </c>
      <c r="L1443" s="39">
        <f>IFERROR(IF(OR(J1443=0,K1443=""),"",IF(E1443="Positivo",MIN(MAX(K1443/J1443,0),1.3),MIN(MAX(J1443/K1443,0),1.3))),"") </f>
        <v/>
      </c>
      <c r="M1443" s="39">
        <f>IFERROR(IF(OR(J1443=0,K1443=""),"",IF(E1443="Positivo",MAX(K1443/J1443,0),MAX(J1443/K1443,0))),"") </f>
        <v/>
      </c>
      <c r="P1443" t="n">
        <v>1</v>
      </c>
      <c r="Q1443" t="n">
        <v>1</v>
      </c>
      <c r="R1443" t="inlineStr">
        <is>
          <t>440-2023-12-31</t>
        </is>
      </c>
    </row>
    <row r="1444" hidden="1">
      <c r="A1444" t="n">
        <v>440</v>
      </c>
      <c r="B1444" t="inlineStr">
        <is>
          <t>Aseguramiento de matricula académica virtual</t>
        </is>
      </c>
      <c r="C1444" t="inlineStr">
        <is>
          <t>Operaciones Académicas</t>
        </is>
      </c>
      <c r="D1444" t="inlineStr">
        <is>
          <t>Semestral</t>
        </is>
      </c>
      <c r="E1444" t="inlineStr">
        <is>
          <t>Positivo</t>
        </is>
      </c>
      <c r="F1444" s="108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98</v>
      </c>
      <c r="K1444" t="n">
        <v>99.73</v>
      </c>
      <c r="L1444" s="39">
        <f>IFERROR(IF(OR(J1444=0,K1444=""),"",IF(E1444="Positivo",MIN(MAX(K1444/J1444,0),1.3),MIN(MAX(J1444/K1444,0),1.3))),"") </f>
        <v/>
      </c>
      <c r="M1444" s="3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440-2024-06-30</t>
        </is>
      </c>
    </row>
    <row r="1445" hidden="1">
      <c r="A1445" t="n">
        <v>440</v>
      </c>
      <c r="B1445" t="inlineStr">
        <is>
          <t>Aseguramiento de matricula académica virtual</t>
        </is>
      </c>
      <c r="C1445" t="inlineStr">
        <is>
          <t>Operaciones Académicas</t>
        </is>
      </c>
      <c r="D1445" t="inlineStr">
        <is>
          <t>Semestral</t>
        </is>
      </c>
      <c r="E1445" t="inlineStr">
        <is>
          <t>Positivo</t>
        </is>
      </c>
      <c r="F1445" s="108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98</v>
      </c>
      <c r="K1445" t="n">
        <v>99.23999999999999</v>
      </c>
      <c r="L1445" s="39">
        <f>IFERROR(IF(OR(J1445=0,K1445=""),"",IF(E1445="Positivo",MIN(MAX(K1445/J1445,0),1.3),MIN(MAX(J1445/K1445,0),1.3))),"") </f>
        <v/>
      </c>
      <c r="M1445" s="39">
        <f>IFERROR(IF(OR(J1445=0,K1445=""),"",IF(E1445="Positivo",MAX(K1445/J1445,0),MAX(J1445/K1445,0))),"") </f>
        <v/>
      </c>
      <c r="P1445" t="n">
        <v>0</v>
      </c>
      <c r="Q1445" t="n">
        <v>0</v>
      </c>
      <c r="R1445" t="inlineStr">
        <is>
          <t>440-2024-12-31</t>
        </is>
      </c>
    </row>
    <row r="1446" hidden="1">
      <c r="A1446" t="n">
        <v>440</v>
      </c>
      <c r="B1446" t="inlineStr">
        <is>
          <t>Aseguramiento de matricula académica virtual</t>
        </is>
      </c>
      <c r="C1446" t="inlineStr">
        <is>
          <t>Operaciones Académicas</t>
        </is>
      </c>
      <c r="D1446" t="inlineStr">
        <is>
          <t>Trimestral</t>
        </is>
      </c>
      <c r="E1446" t="inlineStr">
        <is>
          <t>Positivo</t>
        </is>
      </c>
      <c r="F1446" s="108" t="n">
        <v>45838</v>
      </c>
      <c r="G1446" t="n">
        <v>2025</v>
      </c>
      <c r="H1446" t="inlineStr">
        <is>
          <t>Junio</t>
        </is>
      </c>
      <c r="I1446" t="inlineStr">
        <is>
          <t>2025-1</t>
        </is>
      </c>
      <c r="J1446" t="n">
        <v>98</v>
      </c>
      <c r="K1446" t="n">
        <v>99.77</v>
      </c>
      <c r="L1446" s="39">
        <f>IFERROR(IF(OR(J1446=0,K1446=""),"",IF(E1446="Positivo",MIN(MAX(K1446/J1446,0),1.3),MIN(MAX(J1446/K1446,0),1.3))),"") </f>
        <v/>
      </c>
      <c r="M1446" s="39">
        <f>IFERROR(IF(OR(J1446=0,K1446=""),"",IF(E1446="Positivo",MAX(K1446/J1446,0),MAX(J1446/K1446,0))),"") </f>
        <v/>
      </c>
      <c r="N1446" t="inlineStr">
        <is>
          <t>%</t>
        </is>
      </c>
      <c r="O1446" t="inlineStr">
        <is>
          <t>%</t>
        </is>
      </c>
      <c r="P1446" t="n">
        <v>0</v>
      </c>
      <c r="Q1446" t="n">
        <v>1</v>
      </c>
      <c r="R1446" t="inlineStr">
        <is>
          <t>440-2025-06-30</t>
        </is>
      </c>
    </row>
    <row r="1447" hidden="1">
      <c r="A1447" t="n">
        <v>440</v>
      </c>
      <c r="B1447" t="inlineStr">
        <is>
          <t>Aseguramiento de matricula académica virtual</t>
        </is>
      </c>
      <c r="C1447" t="inlineStr">
        <is>
          <t>Operaciones Académicas</t>
        </is>
      </c>
      <c r="D1447" t="inlineStr">
        <is>
          <t>Trimestral</t>
        </is>
      </c>
      <c r="E1447" t="inlineStr">
        <is>
          <t>Positivo</t>
        </is>
      </c>
      <c r="F1447" s="108" t="n">
        <v>46022</v>
      </c>
      <c r="G1447" t="n">
        <v>2025</v>
      </c>
      <c r="H1447" t="inlineStr">
        <is>
          <t>Diciembre</t>
        </is>
      </c>
      <c r="I1447" t="inlineStr">
        <is>
          <t>2025-2</t>
        </is>
      </c>
      <c r="J1447" t="n">
        <v>98</v>
      </c>
      <c r="K1447" t="n">
        <v>99.73999999999999</v>
      </c>
      <c r="L1447" s="39">
        <f>IFERROR(IF(OR(J1447=0,K1447=""),"",IF(E1447="Positivo",MIN(MAX(K1447/J1447,0),1.3),MIN(MAX(J1447/K1447,0),1.3))),"") </f>
        <v/>
      </c>
      <c r="M1447" s="39">
        <f>IFERROR(IF(OR(J1447=0,K1447=""),"",IF(E1447="Positivo",MAX(K1447/J1447,0),MAX(J1447/K1447,0))),"") </f>
        <v/>
      </c>
      <c r="N1447" t="inlineStr">
        <is>
          <t>%</t>
        </is>
      </c>
      <c r="O1447" t="inlineStr">
        <is>
          <t>%</t>
        </is>
      </c>
      <c r="P1447" t="n">
        <v>0</v>
      </c>
      <c r="Q1447" t="n">
        <v>1</v>
      </c>
      <c r="R1447" t="inlineStr">
        <is>
          <t>440-2025-12-31</t>
        </is>
      </c>
    </row>
    <row r="1448" hidden="1">
      <c r="A1448" t="n">
        <v>441</v>
      </c>
      <c r="B1448" t="inlineStr">
        <is>
          <t>Cumplimiento a cronograma de proyectos 2024</t>
        </is>
      </c>
      <c r="C1448" t="inlineStr">
        <is>
          <t>Gestión de Proyectos</t>
        </is>
      </c>
      <c r="D1448" t="inlineStr">
        <is>
          <t>Mensual</t>
        </is>
      </c>
      <c r="E1448" t="inlineStr">
        <is>
          <t>Positivo</t>
        </is>
      </c>
      <c r="F1448" s="108" t="n">
        <v>45473</v>
      </c>
      <c r="G1448" t="n">
        <v>2024</v>
      </c>
      <c r="H1448" t="inlineStr">
        <is>
          <t>Junio</t>
        </is>
      </c>
      <c r="I1448" t="inlineStr">
        <is>
          <t>2024-1</t>
        </is>
      </c>
      <c r="J1448" t="n">
        <v>90</v>
      </c>
      <c r="K1448" t="n">
        <v>97.31</v>
      </c>
      <c r="L1448" s="39">
        <f>IFERROR(IF(OR(J1448=0,K1448=""),"",IF(E1448="Positivo",MIN(MAX(K1448/J1448,0),1.3),MIN(MAX(J1448/K1448,0),1.3))),"") </f>
        <v/>
      </c>
      <c r="M1448" s="39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441-2024-06-30</t>
        </is>
      </c>
    </row>
    <row r="1449" hidden="1">
      <c r="A1449" t="n">
        <v>441</v>
      </c>
      <c r="B1449" t="inlineStr">
        <is>
          <t>Cumplimiento a cronograma de proyectos 2024</t>
        </is>
      </c>
      <c r="C1449" t="inlineStr">
        <is>
          <t>Gestión de Proyectos</t>
        </is>
      </c>
      <c r="D1449" t="inlineStr">
        <is>
          <t>Mensual</t>
        </is>
      </c>
      <c r="E1449" t="inlineStr">
        <is>
          <t>Positivo</t>
        </is>
      </c>
      <c r="F1449" s="108" t="n">
        <v>45657</v>
      </c>
      <c r="G1449" t="n">
        <v>2024</v>
      </c>
      <c r="H1449" t="inlineStr">
        <is>
          <t>Diciembre</t>
        </is>
      </c>
      <c r="I1449" t="inlineStr">
        <is>
          <t>2024-2</t>
        </is>
      </c>
      <c r="J1449" t="n">
        <v>90</v>
      </c>
      <c r="K1449" t="n">
        <v>99.919935948759</v>
      </c>
      <c r="L1449" s="39">
        <f>IFERROR(IF(OR(J1449=0,K1449=""),"",IF(E1449="Positivo",MIN(MAX(K1449/J1449,0),1.3),MIN(MAX(J1449/K1449,0),1.3))),"") </f>
        <v/>
      </c>
      <c r="M1449" s="39">
        <f>IFERROR(IF(OR(J1449=0,K1449=""),"",IF(E1449="Positivo",MAX(K1449/J1449,0),MAX(J1449/K1449,0))),"") </f>
        <v/>
      </c>
      <c r="P1449" t="n">
        <v>0</v>
      </c>
      <c r="Q1449" t="n">
        <v>0</v>
      </c>
      <c r="R1449" t="inlineStr">
        <is>
          <t>441-2024-12-31</t>
        </is>
      </c>
    </row>
    <row r="1450" hidden="1">
      <c r="A1450" t="n">
        <v>442</v>
      </c>
      <c r="B1450" t="inlineStr">
        <is>
          <t>Participación de docentes invitados en eventos académicos virtuales en Poli</t>
        </is>
      </c>
      <c r="C1450" t="inlineStr">
        <is>
          <t>VISIBILIDAD NACIONAL E INTERNACIONAL</t>
        </is>
      </c>
      <c r="D1450" t="inlineStr">
        <is>
          <t>Semestral</t>
        </is>
      </c>
      <c r="E1450" t="inlineStr">
        <is>
          <t>Positivo</t>
        </is>
      </c>
      <c r="F1450" s="108" t="n">
        <v>45473</v>
      </c>
      <c r="G1450" t="n">
        <v>2024</v>
      </c>
      <c r="H1450" t="inlineStr">
        <is>
          <t>Junio</t>
        </is>
      </c>
      <c r="I1450" t="inlineStr">
        <is>
          <t>2024-1</t>
        </is>
      </c>
      <c r="J1450" t="n">
        <v>100</v>
      </c>
      <c r="K1450" t="n">
        <v>80</v>
      </c>
      <c r="L1450" s="39">
        <f>IFERROR(IF(OR(J1450=0,K1450=""),"",IF(E1450="Positivo",MIN(MAX(K1450/J1450,0),1.3),MIN(MAX(J1450/K1450,0),1.3))),"") </f>
        <v/>
      </c>
      <c r="M1450" s="39">
        <f>IFERROR(IF(OR(J1450=0,K1450=""),"",IF(E1450="Positivo",MAX(K1450/J1450,0),MAX(J1450/K1450,0))),"") </f>
        <v/>
      </c>
      <c r="P1450" t="n">
        <v>0</v>
      </c>
      <c r="Q1450" t="n">
        <v>0</v>
      </c>
      <c r="R1450" t="inlineStr">
        <is>
          <t>442-2024-06-30</t>
        </is>
      </c>
    </row>
    <row r="1451" hidden="1">
      <c r="A1451" t="n">
        <v>442</v>
      </c>
      <c r="B1451" t="inlineStr">
        <is>
          <t>Participación de docentes invitados en eventos académicos virtuales en Poli</t>
        </is>
      </c>
      <c r="C1451" t="inlineStr">
        <is>
          <t>VISIBILIDAD NACIONAL E INTERNACIONAL</t>
        </is>
      </c>
      <c r="D1451" t="inlineStr">
        <is>
          <t>Semestral</t>
        </is>
      </c>
      <c r="E1451" t="inlineStr">
        <is>
          <t>Positivo</t>
        </is>
      </c>
      <c r="F1451" s="108" t="n">
        <v>45657</v>
      </c>
      <c r="G1451" t="n">
        <v>2024</v>
      </c>
      <c r="H1451" t="inlineStr">
        <is>
          <t>Diciembre</t>
        </is>
      </c>
      <c r="I1451" t="inlineStr">
        <is>
          <t>2024-2</t>
        </is>
      </c>
      <c r="J1451" t="n">
        <v>100</v>
      </c>
      <c r="K1451" t="n">
        <v>145</v>
      </c>
      <c r="L1451" s="39">
        <f>IFERROR(IF(OR(J1451=0,K1451=""),"",IF(E1451="Positivo",MIN(MAX(K1451/J1451,0),1.3),MIN(MAX(J1451/K1451,0),1.3))),"") </f>
        <v/>
      </c>
      <c r="M1451" s="39">
        <f>IFERROR(IF(OR(J1451=0,K1451=""),"",IF(E1451="Positivo",MAX(K1451/J1451,0),MAX(J1451/K1451,0))),"") </f>
        <v/>
      </c>
      <c r="P1451" t="n">
        <v>0</v>
      </c>
      <c r="Q1451" t="n">
        <v>0</v>
      </c>
      <c r="R1451" t="inlineStr">
        <is>
          <t>442-2024-12-31</t>
        </is>
      </c>
    </row>
    <row r="1452" hidden="1">
      <c r="A1452" t="n">
        <v>443</v>
      </c>
      <c r="B1452" t="inlineStr">
        <is>
          <t>Participación de estudiantes invitados en eventos académicos virtuales en Poli</t>
        </is>
      </c>
      <c r="C1452" t="inlineStr">
        <is>
          <t>VISIBILIDAD NACIONAL E INTERNACIONAL</t>
        </is>
      </c>
      <c r="D1452" t="inlineStr">
        <is>
          <t>Semestral</t>
        </is>
      </c>
      <c r="E1452" t="inlineStr">
        <is>
          <t>Positivo</t>
        </is>
      </c>
      <c r="F1452" s="108" t="n">
        <v>45473</v>
      </c>
      <c r="G1452" t="n">
        <v>2024</v>
      </c>
      <c r="H1452" t="inlineStr">
        <is>
          <t>Junio</t>
        </is>
      </c>
      <c r="I1452" t="inlineStr">
        <is>
          <t>2024-1</t>
        </is>
      </c>
      <c r="J1452" t="n">
        <v>100</v>
      </c>
      <c r="K1452" t="n">
        <v>114.33</v>
      </c>
      <c r="L1452" s="39">
        <f>IFERROR(IF(OR(J1452=0,K1452=""),"",IF(E1452="Positivo",MIN(MAX(K1452/J1452,0),1.3),MIN(MAX(J1452/K1452,0),1.3))),"") </f>
        <v/>
      </c>
      <c r="M1452" s="39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443-2024-06-30</t>
        </is>
      </c>
    </row>
    <row r="1453" hidden="1">
      <c r="A1453" t="n">
        <v>443</v>
      </c>
      <c r="B1453" t="inlineStr">
        <is>
          <t>Participación de estudiantes invitados en eventos académicos virtuales en Poli</t>
        </is>
      </c>
      <c r="C1453" t="inlineStr">
        <is>
          <t>VISIBILIDAD NACIONAL E INTERNACIONAL</t>
        </is>
      </c>
      <c r="D1453" t="inlineStr">
        <is>
          <t>Semestral</t>
        </is>
      </c>
      <c r="E1453" t="inlineStr">
        <is>
          <t>Positivo</t>
        </is>
      </c>
      <c r="F1453" s="108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100</v>
      </c>
      <c r="K1453" t="n">
        <v>209</v>
      </c>
      <c r="L1453" s="39">
        <f>IFERROR(IF(OR(J1453=0,K1453=""),"",IF(E1453="Positivo",MIN(MAX(K1453/J1453,0),1.3),MIN(MAX(J1453/K1453,0),1.3))),"") </f>
        <v/>
      </c>
      <c r="M1453" s="39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443-2024-12-31</t>
        </is>
      </c>
    </row>
    <row r="1454" hidden="1">
      <c r="A1454" t="n">
        <v>444</v>
      </c>
      <c r="B1454" t="inlineStr">
        <is>
          <t>CES Proceso de grados</t>
        </is>
      </c>
      <c r="C1454" t="inlineStr">
        <is>
          <t>Registro y Control</t>
        </is>
      </c>
      <c r="D1454" t="inlineStr">
        <is>
          <t>Semestral</t>
        </is>
      </c>
      <c r="E1454" t="inlineStr">
        <is>
          <t>Negativo</t>
        </is>
      </c>
      <c r="F1454" s="108" t="n">
        <v>45473</v>
      </c>
      <c r="G1454" t="n">
        <v>2024</v>
      </c>
      <c r="H1454" t="inlineStr">
        <is>
          <t>Junio</t>
        </is>
      </c>
      <c r="I1454" t="inlineStr">
        <is>
          <t>2024-1</t>
        </is>
      </c>
      <c r="L1454" s="39" t="n"/>
      <c r="M1454" s="39" t="n"/>
      <c r="P1454" t="n">
        <v>0</v>
      </c>
      <c r="Q1454" t="n">
        <v>0</v>
      </c>
      <c r="R1454" t="inlineStr">
        <is>
          <t>444-2024-06-30</t>
        </is>
      </c>
    </row>
    <row r="1455" hidden="1">
      <c r="A1455" t="n">
        <v>444</v>
      </c>
      <c r="B1455" t="inlineStr">
        <is>
          <t>CES Proceso de grados</t>
        </is>
      </c>
      <c r="C1455" t="inlineStr">
        <is>
          <t>Registro y Control</t>
        </is>
      </c>
      <c r="D1455" t="inlineStr">
        <is>
          <t>Semestral</t>
        </is>
      </c>
      <c r="E1455" t="inlineStr">
        <is>
          <t>Negativo</t>
        </is>
      </c>
      <c r="F1455" s="108" t="n">
        <v>45657</v>
      </c>
      <c r="G1455" t="n">
        <v>2024</v>
      </c>
      <c r="H1455" t="inlineStr">
        <is>
          <t>Diciembre</t>
        </is>
      </c>
      <c r="I1455" t="inlineStr">
        <is>
          <t>2024-2</t>
        </is>
      </c>
      <c r="J1455" t="n">
        <v>0</v>
      </c>
      <c r="K1455" t="n">
        <v>2.1</v>
      </c>
      <c r="L1455" s="39">
        <f>IFERROR(IF(OR(J1455=0,K1455=""),"",IF(E1455="Positivo",MIN(MAX(K1455/J1455,0),1.3),MIN(MAX(J1455/K1455,0),1.3))),"") </f>
        <v/>
      </c>
      <c r="M1455" s="39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444-2024-12-31</t>
        </is>
      </c>
    </row>
    <row r="1456" hidden="1">
      <c r="A1456" t="n">
        <v>444</v>
      </c>
      <c r="B1456" t="inlineStr">
        <is>
          <t>CES Proceso de grados</t>
        </is>
      </c>
      <c r="C1456" t="inlineStr">
        <is>
          <t>Registro y Control</t>
        </is>
      </c>
      <c r="D1456" t="inlineStr">
        <is>
          <t>Trimestral</t>
        </is>
      </c>
      <c r="E1456" t="inlineStr">
        <is>
          <t>Negativo</t>
        </is>
      </c>
      <c r="F1456" s="108" t="n">
        <v>45838</v>
      </c>
      <c r="G1456" t="n">
        <v>2025</v>
      </c>
      <c r="H1456" t="inlineStr">
        <is>
          <t>Junio</t>
        </is>
      </c>
      <c r="I1456" t="inlineStr">
        <is>
          <t>2025-1</t>
        </is>
      </c>
      <c r="J1456" t="n">
        <v>3</v>
      </c>
      <c r="K1456" t="n">
        <v>1.6</v>
      </c>
      <c r="L1456" s="39">
        <f>IFERROR(IF(OR(J1456=0,K1456=""),"",IF(E1456="Positivo",MIN(MAX(K1456/J1456,0),1.3),MIN(MAX(J1456/K1456,0),1.3))),"") </f>
        <v/>
      </c>
      <c r="M1456" s="39">
        <f>IFERROR(IF(OR(J1456=0,K1456=""),"",IF(E1456="Positivo",MAX(K1456/J1456,0),MAX(J1456/K1456,0))),"") </f>
        <v/>
      </c>
      <c r="N1456" t="inlineStr">
        <is>
          <t>ENT</t>
        </is>
      </c>
      <c r="O1456" t="inlineStr">
        <is>
          <t>DEC</t>
        </is>
      </c>
      <c r="P1456" t="n">
        <v>0</v>
      </c>
      <c r="Q1456" t="n">
        <v>1</v>
      </c>
      <c r="R1456" t="inlineStr">
        <is>
          <t>444-2025-06-30</t>
        </is>
      </c>
    </row>
    <row r="1457" hidden="1">
      <c r="A1457" t="n">
        <v>444</v>
      </c>
      <c r="B1457" t="inlineStr">
        <is>
          <t>CES Proceso de grados</t>
        </is>
      </c>
      <c r="C1457" t="inlineStr">
        <is>
          <t>Registro y Control</t>
        </is>
      </c>
      <c r="D1457" t="inlineStr">
        <is>
          <t>Trimestral</t>
        </is>
      </c>
      <c r="E1457" t="inlineStr">
        <is>
          <t>Negativo</t>
        </is>
      </c>
      <c r="F1457" s="108" t="n">
        <v>46022</v>
      </c>
      <c r="G1457" t="n">
        <v>2025</v>
      </c>
      <c r="H1457" t="inlineStr">
        <is>
          <t>Diciembre</t>
        </is>
      </c>
      <c r="I1457" t="inlineStr">
        <is>
          <t>2025-2</t>
        </is>
      </c>
      <c r="J1457" t="n">
        <v>3</v>
      </c>
      <c r="K1457" t="n">
        <v>1.7</v>
      </c>
      <c r="L1457" s="39">
        <f>IFERROR(IF(OR(J1457=0,K1457=""),"",IF(E1457="Positivo",MIN(MAX(K1457/J1457,0),1.3),MIN(MAX(J1457/K1457,0),1.3))),"") </f>
        <v/>
      </c>
      <c r="M1457" s="39">
        <f>IFERROR(IF(OR(J1457=0,K1457=""),"",IF(E1457="Positivo",MAX(K1457/J1457,0),MAX(J1457/K1457,0))),"") </f>
        <v/>
      </c>
      <c r="N1457" t="inlineStr">
        <is>
          <t>ENT</t>
        </is>
      </c>
      <c r="O1457" t="inlineStr">
        <is>
          <t>DEC</t>
        </is>
      </c>
      <c r="P1457" t="n">
        <v>0</v>
      </c>
      <c r="Q1457" t="n">
        <v>1</v>
      </c>
      <c r="R1457" t="inlineStr">
        <is>
          <t>444-2025-12-31</t>
        </is>
      </c>
    </row>
    <row r="1458" hidden="1">
      <c r="A1458" t="n">
        <v>445</v>
      </c>
      <c r="B1458" t="inlineStr">
        <is>
          <t>Satisfacción del proceso de grados virtual</t>
        </is>
      </c>
      <c r="C1458" t="inlineStr">
        <is>
          <t>Registro y Control</t>
        </is>
      </c>
      <c r="D1458" t="inlineStr">
        <is>
          <t>Semestral</t>
        </is>
      </c>
      <c r="E1458" t="inlineStr">
        <is>
          <t>Positivo</t>
        </is>
      </c>
      <c r="F1458" s="108" t="n">
        <v>45473</v>
      </c>
      <c r="G1458" t="n">
        <v>2024</v>
      </c>
      <c r="H1458" t="inlineStr">
        <is>
          <t>Junio</t>
        </is>
      </c>
      <c r="I1458" t="inlineStr">
        <is>
          <t>2024-1</t>
        </is>
      </c>
      <c r="J1458" t="n">
        <v>67.5</v>
      </c>
      <c r="K1458" t="n">
        <v>55.2</v>
      </c>
      <c r="L1458" s="39">
        <f>IFERROR(IF(OR(J1458=0,K1458=""),"",IF(E1458="Positivo",MIN(MAX(K1458/J1458,0),1.3),MIN(MAX(J1458/K1458,0),1.3))),"") </f>
        <v/>
      </c>
      <c r="M1458" s="39">
        <f>IFERROR(IF(OR(J1458=0,K1458=""),"",IF(E1458="Positivo",MAX(K1458/J1458,0),MAX(J1458/K1458,0))),"") </f>
        <v/>
      </c>
      <c r="P1458" t="n">
        <v>0</v>
      </c>
      <c r="Q1458" t="n">
        <v>0</v>
      </c>
      <c r="R1458" t="inlineStr">
        <is>
          <t>445-2024-06-30</t>
        </is>
      </c>
    </row>
    <row r="1459" hidden="1">
      <c r="A1459" t="n">
        <v>445</v>
      </c>
      <c r="B1459" t="inlineStr">
        <is>
          <t>Satisfacción del proceso de grados virtual</t>
        </is>
      </c>
      <c r="C1459" t="inlineStr">
        <is>
          <t>Registro y Control</t>
        </is>
      </c>
      <c r="D1459" t="inlineStr">
        <is>
          <t>Semestral</t>
        </is>
      </c>
      <c r="E1459" t="inlineStr">
        <is>
          <t>Positivo</t>
        </is>
      </c>
      <c r="F1459" s="108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67.5</v>
      </c>
      <c r="K1459" t="n">
        <v>86.5</v>
      </c>
      <c r="L1459" s="39">
        <f>IFERROR(IF(OR(J1459=0,K1459=""),"",IF(E1459="Positivo",MIN(MAX(K1459/J1459,0),1.3),MIN(MAX(J1459/K1459,0),1.3))),"") </f>
        <v/>
      </c>
      <c r="M1459" s="3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445-2024-12-31</t>
        </is>
      </c>
    </row>
    <row r="1460" hidden="1">
      <c r="A1460" t="n">
        <v>445</v>
      </c>
      <c r="B1460" t="inlineStr">
        <is>
          <t>Satisfacción del proceso de grados virtual</t>
        </is>
      </c>
      <c r="C1460" t="inlineStr">
        <is>
          <t>Registro y Control</t>
        </is>
      </c>
      <c r="D1460" t="inlineStr">
        <is>
          <t>Trimestral</t>
        </is>
      </c>
      <c r="E1460" t="inlineStr">
        <is>
          <t>Positivo</t>
        </is>
      </c>
      <c r="F1460" s="108" t="n">
        <v>45838</v>
      </c>
      <c r="G1460" t="n">
        <v>2025</v>
      </c>
      <c r="H1460" t="inlineStr">
        <is>
          <t>Junio</t>
        </is>
      </c>
      <c r="I1460" t="inlineStr">
        <is>
          <t>2025-1</t>
        </is>
      </c>
      <c r="J1460" t="n">
        <v>70</v>
      </c>
      <c r="K1460" t="n">
        <v>75.7</v>
      </c>
      <c r="L1460" s="39">
        <f>IFERROR(IF(OR(J1460=0,K1460=""),"",IF(E1460="Positivo",MIN(MAX(K1460/J1460,0),1.3),MIN(MAX(J1460/K1460,0),1.3))),"") </f>
        <v/>
      </c>
      <c r="M1460" s="39">
        <f>IFERROR(IF(OR(J1460=0,K1460=""),"",IF(E1460="Positivo",MAX(K1460/J1460,0),MAX(J1460/K1460,0))),"") </f>
        <v/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0</v>
      </c>
      <c r="R1460" t="inlineStr">
        <is>
          <t>445-2025-06-30</t>
        </is>
      </c>
    </row>
    <row r="1461" hidden="1">
      <c r="A1461" t="n">
        <v>445</v>
      </c>
      <c r="B1461" t="inlineStr">
        <is>
          <t>Satisfacción del proceso de grados virtual</t>
        </is>
      </c>
      <c r="C1461" t="inlineStr">
        <is>
          <t>Registro y Control</t>
        </is>
      </c>
      <c r="D1461" t="inlineStr">
        <is>
          <t>Trimestral</t>
        </is>
      </c>
      <c r="E1461" t="inlineStr">
        <is>
          <t>Positivo</t>
        </is>
      </c>
      <c r="F1461" s="108" t="n">
        <v>46022</v>
      </c>
      <c r="G1461" t="n">
        <v>2025</v>
      </c>
      <c r="H1461" t="inlineStr">
        <is>
          <t>Diciembre</t>
        </is>
      </c>
      <c r="I1461" t="inlineStr">
        <is>
          <t>2025-2</t>
        </is>
      </c>
      <c r="J1461" t="n">
        <v>70</v>
      </c>
      <c r="K1461" t="n">
        <v>85.3</v>
      </c>
      <c r="L1461" s="39">
        <f>IFERROR(IF(OR(J1461=0,K1461=""),"",IF(E1461="Positivo",MIN(MAX(K1461/J1461,0),1.3),MIN(MAX(J1461/K1461,0),1.3))),"") </f>
        <v/>
      </c>
      <c r="M1461" s="39">
        <f>IFERROR(IF(OR(J1461=0,K1461=""),"",IF(E1461="Positivo",MAX(K1461/J1461,0),MAX(J1461/K1461,0))),"") </f>
        <v/>
      </c>
      <c r="N1461" t="inlineStr">
        <is>
          <t>%</t>
        </is>
      </c>
      <c r="O1461" t="inlineStr">
        <is>
          <t>%</t>
        </is>
      </c>
      <c r="P1461" t="n">
        <v>0</v>
      </c>
      <c r="Q1461" t="n">
        <v>0</v>
      </c>
      <c r="R1461" t="inlineStr">
        <is>
          <t>445-2025-12-31</t>
        </is>
      </c>
    </row>
    <row r="1462" hidden="1">
      <c r="A1462" t="n">
        <v>447</v>
      </c>
      <c r="B1462" t="inlineStr">
        <is>
          <t>Participación en actividades culturales</t>
        </is>
      </c>
      <c r="C1462" t="inlineStr">
        <is>
          <t>Biblioteca Institucional</t>
        </is>
      </c>
      <c r="D1462" t="inlineStr">
        <is>
          <t>Semestral</t>
        </is>
      </c>
      <c r="E1462" t="inlineStr">
        <is>
          <t>Positivo</t>
        </is>
      </c>
      <c r="F1462" s="108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15</v>
      </c>
      <c r="K1462" t="n">
        <v>31.04</v>
      </c>
      <c r="L1462" s="39">
        <f>IFERROR(IF(OR(J1462=0,K1462=""),"",IF(E1462="Positivo",MIN(MAX(K1462/J1462,0),1.3),MIN(MAX(J1462/K1462,0),1.3))),"") </f>
        <v/>
      </c>
      <c r="M1462" s="39">
        <f>IFERROR(IF(OR(J1462=0,K1462=""),"",IF(E1462="Positivo",MAX(K1462/J1462,0),MAX(J1462/K1462,0))),"") </f>
        <v/>
      </c>
      <c r="P1462" t="n">
        <v>0</v>
      </c>
      <c r="Q1462" t="n">
        <v>0</v>
      </c>
      <c r="R1462" t="inlineStr">
        <is>
          <t>447-2024-06-30</t>
        </is>
      </c>
    </row>
    <row r="1463" hidden="1">
      <c r="A1463" t="n">
        <v>447</v>
      </c>
      <c r="B1463" t="inlineStr">
        <is>
          <t>Participación en actividades culturales</t>
        </is>
      </c>
      <c r="C1463" t="inlineStr">
        <is>
          <t>Biblioteca Institucional</t>
        </is>
      </c>
      <c r="D1463" t="inlineStr">
        <is>
          <t>Semestral</t>
        </is>
      </c>
      <c r="E1463" t="inlineStr">
        <is>
          <t>Positivo</t>
        </is>
      </c>
      <c r="F1463" s="108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15</v>
      </c>
      <c r="K1463" t="n">
        <v>16.16</v>
      </c>
      <c r="L1463" s="39">
        <f>IFERROR(IF(OR(J1463=0,K1463=""),"",IF(E1463="Positivo",MIN(MAX(K1463/J1463,0),1.3),MIN(MAX(J1463/K1463,0),1.3))),"") </f>
        <v/>
      </c>
      <c r="M1463" s="39">
        <f>IFERROR(IF(OR(J1463=0,K1463=""),"",IF(E1463="Positivo",MAX(K1463/J1463,0),MAX(J1463/K1463,0))),"") </f>
        <v/>
      </c>
      <c r="P1463" t="n">
        <v>0</v>
      </c>
      <c r="Q1463" t="n">
        <v>0</v>
      </c>
      <c r="R1463" t="inlineStr">
        <is>
          <t>447-2024-12-31</t>
        </is>
      </c>
    </row>
    <row r="1464" hidden="1">
      <c r="A1464" t="n">
        <v>447</v>
      </c>
      <c r="B1464" t="inlineStr">
        <is>
          <t>Participación en actividades culturales</t>
        </is>
      </c>
      <c r="C1464" t="inlineStr">
        <is>
          <t>Biblioteca Institucional</t>
        </is>
      </c>
      <c r="D1464" t="inlineStr">
        <is>
          <t>Trimestral</t>
        </is>
      </c>
      <c r="E1464" t="inlineStr">
        <is>
          <t>Positivo</t>
        </is>
      </c>
      <c r="F1464" s="108" t="n">
        <v>45838</v>
      </c>
      <c r="G1464" t="n">
        <v>2025</v>
      </c>
      <c r="H1464" t="inlineStr">
        <is>
          <t>Junio</t>
        </is>
      </c>
      <c r="I1464" t="inlineStr">
        <is>
          <t>2025-1</t>
        </is>
      </c>
      <c r="J1464" t="n">
        <v>15</v>
      </c>
      <c r="K1464" t="n">
        <v>16.54</v>
      </c>
      <c r="L1464" s="39">
        <f>IFERROR(IF(OR(J1464=0,K1464=""),"",IF(E1464="Positivo",MIN(MAX(K1464/J1464,0),1.3),MIN(MAX(J1464/K1464,0),1.3))),"") </f>
        <v/>
      </c>
      <c r="M1464" s="39">
        <f>IFERROR(IF(OR(J1464=0,K1464=""),"",IF(E1464="Positivo",MAX(K1464/J1464,0),MAX(J1464/K1464,0))),"") </f>
        <v/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447-2025-06-30</t>
        </is>
      </c>
    </row>
    <row r="1465" hidden="1">
      <c r="A1465" t="n">
        <v>447</v>
      </c>
      <c r="B1465" t="inlineStr">
        <is>
          <t>Participación en actividades culturales</t>
        </is>
      </c>
      <c r="C1465" t="inlineStr">
        <is>
          <t>Biblioteca Institucional</t>
        </is>
      </c>
      <c r="D1465" t="inlineStr">
        <is>
          <t>Trimestral</t>
        </is>
      </c>
      <c r="E1465" t="inlineStr">
        <is>
          <t>Positivo</t>
        </is>
      </c>
      <c r="F1465" s="108" t="n">
        <v>46022</v>
      </c>
      <c r="G1465" t="n">
        <v>2025</v>
      </c>
      <c r="H1465" t="inlineStr">
        <is>
          <t>Diciembre</t>
        </is>
      </c>
      <c r="I1465" t="inlineStr">
        <is>
          <t>2025-2</t>
        </is>
      </c>
      <c r="J1465" t="n">
        <v>15</v>
      </c>
      <c r="K1465" t="n">
        <v>15.01</v>
      </c>
      <c r="L1465" s="39">
        <f>IFERROR(IF(OR(J1465=0,K1465=""),"",IF(E1465="Positivo",MIN(MAX(K1465/J1465,0),1.3),MIN(MAX(J1465/K1465,0),1.3))),"") </f>
        <v/>
      </c>
      <c r="M1465" s="39">
        <f>IFERROR(IF(OR(J1465=0,K1465=""),"",IF(E1465="Positivo",MAX(K1465/J1465,0),MAX(J1465/K1465,0))),"") </f>
        <v/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0</v>
      </c>
      <c r="R1465" t="inlineStr">
        <is>
          <t>447-2025-12-31</t>
        </is>
      </c>
    </row>
    <row r="1466" hidden="1">
      <c r="A1466" t="n">
        <v>448</v>
      </c>
      <c r="B1466" t="inlineStr">
        <is>
          <t>Participación en actividades de formación</t>
        </is>
      </c>
      <c r="C1466" t="inlineStr">
        <is>
          <t>Biblioteca Institucional</t>
        </is>
      </c>
      <c r="D1466" t="inlineStr">
        <is>
          <t>Semestral</t>
        </is>
      </c>
      <c r="E1466" t="inlineStr">
        <is>
          <t>Positivo</t>
        </is>
      </c>
      <c r="F1466" s="108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9</v>
      </c>
      <c r="K1466" t="n">
        <v>18.93</v>
      </c>
      <c r="L1466" s="39">
        <f>IFERROR(IF(OR(J1466=0,K1466=""),"",IF(E1466="Positivo",MIN(MAX(K1466/J1466,0),1.3),MIN(MAX(J1466/K1466,0),1.3))),"") </f>
        <v/>
      </c>
      <c r="M1466" s="39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448-2024-06-30</t>
        </is>
      </c>
    </row>
    <row r="1467" hidden="1">
      <c r="A1467" t="n">
        <v>448</v>
      </c>
      <c r="B1467" t="inlineStr">
        <is>
          <t>Participación en actividades de formación</t>
        </is>
      </c>
      <c r="C1467" t="inlineStr">
        <is>
          <t>Biblioteca Institucional</t>
        </is>
      </c>
      <c r="D1467" t="inlineStr">
        <is>
          <t>Semestral</t>
        </is>
      </c>
      <c r="E1467" t="inlineStr">
        <is>
          <t>Positivo</t>
        </is>
      </c>
      <c r="F1467" s="108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9</v>
      </c>
      <c r="K1467" t="n">
        <v>9.32</v>
      </c>
      <c r="L1467" s="39">
        <f>IFERROR(IF(OR(J1467=0,K1467=""),"",IF(E1467="Positivo",MIN(MAX(K1467/J1467,0),1.3),MIN(MAX(J1467/K1467,0),1.3))),"") </f>
        <v/>
      </c>
      <c r="M1467" s="39">
        <f>IFERROR(IF(OR(J1467=0,K1467=""),"",IF(E1467="Positivo",MAX(K1467/J1467,0),MAX(J1467/K1467,0))),"") </f>
        <v/>
      </c>
      <c r="P1467" t="n">
        <v>0</v>
      </c>
      <c r="Q1467" t="n">
        <v>0</v>
      </c>
      <c r="R1467" t="inlineStr">
        <is>
          <t>448-2024-12-31</t>
        </is>
      </c>
    </row>
    <row r="1468" hidden="1">
      <c r="A1468" t="n">
        <v>448</v>
      </c>
      <c r="B1468" t="inlineStr">
        <is>
          <t>Participación en actividades de formación</t>
        </is>
      </c>
      <c r="C1468" t="inlineStr">
        <is>
          <t>Biblioteca Institucional</t>
        </is>
      </c>
      <c r="D1468" t="inlineStr">
        <is>
          <t>Trimestral</t>
        </is>
      </c>
      <c r="E1468" t="inlineStr">
        <is>
          <t>Positivo</t>
        </is>
      </c>
      <c r="F1468" s="108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17</v>
      </c>
      <c r="K1468" t="n">
        <v>39.62</v>
      </c>
      <c r="L1468" s="39">
        <f>IFERROR(IF(OR(J1468=0,K1468=""),"",IF(E1468="Positivo",MIN(MAX(K1468/J1468,0),1.3),MIN(MAX(J1468/K1468,0),1.3))),"") </f>
        <v/>
      </c>
      <c r="M1468" s="39">
        <f>IFERROR(IF(OR(J1468=0,K1468=""),"",IF(E1468="Positivo",MAX(K1468/J1468,0),MAX(J1468/K1468,0))),"") </f>
        <v/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1</v>
      </c>
      <c r="R1468" t="inlineStr">
        <is>
          <t>448-2025-06-30</t>
        </is>
      </c>
    </row>
    <row r="1469" hidden="1">
      <c r="A1469" t="n">
        <v>448</v>
      </c>
      <c r="B1469" t="inlineStr">
        <is>
          <t>Participación en actividades de formación</t>
        </is>
      </c>
      <c r="C1469" t="inlineStr">
        <is>
          <t>Biblioteca Institucional</t>
        </is>
      </c>
      <c r="D1469" t="inlineStr">
        <is>
          <t>Trimestral</t>
        </is>
      </c>
      <c r="E1469" t="inlineStr">
        <is>
          <t>Positivo</t>
        </is>
      </c>
      <c r="F1469" s="108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17</v>
      </c>
      <c r="K1469" t="n">
        <v>59.36</v>
      </c>
      <c r="L1469" s="39">
        <f>IFERROR(IF(OR(J1469=0,K1469=""),"",IF(E1469="Positivo",MIN(MAX(K1469/J1469,0),1.3),MIN(MAX(J1469/K1469,0),1.3))),"") </f>
        <v/>
      </c>
      <c r="M1469" s="39">
        <f>IFERROR(IF(OR(J1469=0,K1469=""),"",IF(E1469="Positivo",MAX(K1469/J1469,0),MAX(J1469/K1469,0))),"") </f>
        <v/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1</v>
      </c>
      <c r="R1469" t="inlineStr">
        <is>
          <t>448-2025-12-31</t>
        </is>
      </c>
    </row>
    <row r="1470" hidden="1">
      <c r="A1470" t="n">
        <v>449</v>
      </c>
      <c r="B1470" t="inlineStr">
        <is>
          <t>Cumplimiento en la supervisión y monitoreo a los planes de tratamiento de los riesgos institucionales en nivel alto y extremo</t>
        </is>
      </c>
      <c r="C1470" t="inlineStr">
        <is>
          <t>GESTIÓN DE RIESGOS</t>
        </is>
      </c>
      <c r="D1470" t="inlineStr">
        <is>
          <t>Trimestral</t>
        </is>
      </c>
      <c r="E1470" t="inlineStr">
        <is>
          <t>Positivo</t>
        </is>
      </c>
      <c r="F1470" s="108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40</v>
      </c>
      <c r="K1470" t="n">
        <v>53.85</v>
      </c>
      <c r="L1470" s="39">
        <f>IFERROR(IF(OR(J1470=0,K1470=""),"",IF(E1470="Positivo",MIN(MAX(K1470/J1470,0),1.3),MIN(MAX(J1470/K1470,0),1.3))),"") </f>
        <v/>
      </c>
      <c r="M1470" s="3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449-2024-06-30</t>
        </is>
      </c>
    </row>
    <row r="1471" hidden="1">
      <c r="A1471" t="n">
        <v>449</v>
      </c>
      <c r="B1471" t="inlineStr">
        <is>
          <t>Cumplimiento en la supervisión y monitoreo a los planes de tratamiento de los riesgos institucionales en nivel alto y extremo</t>
        </is>
      </c>
      <c r="C1471" t="inlineStr">
        <is>
          <t>GESTIÓN DE RIESGOS</t>
        </is>
      </c>
      <c r="D1471" t="inlineStr">
        <is>
          <t>Trimestral</t>
        </is>
      </c>
      <c r="E1471" t="inlineStr">
        <is>
          <t>Positivo</t>
        </is>
      </c>
      <c r="F1471" s="108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100</v>
      </c>
      <c r="K1471" t="n">
        <v>100</v>
      </c>
      <c r="L1471" s="39">
        <f>IFERROR(IF(OR(J1471=0,K1471=""),"",IF(E1471="Positivo",MIN(MAX(K1471/J1471,0),1.3),MIN(MAX(J1471/K1471,0),1.3))),"") </f>
        <v/>
      </c>
      <c r="M1471" s="3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449-2024-12-31</t>
        </is>
      </c>
    </row>
    <row r="1472" hidden="1">
      <c r="A1472" t="n">
        <v>451</v>
      </c>
      <c r="B1472" t="inlineStr">
        <is>
          <t>% Participación de publicaciones positiva</t>
        </is>
      </c>
      <c r="C1472" t="inlineStr">
        <is>
          <t>Comunicaciones Externas</t>
        </is>
      </c>
      <c r="D1472" t="inlineStr">
        <is>
          <t>Semestral</t>
        </is>
      </c>
      <c r="E1472" t="inlineStr">
        <is>
          <t>Positivo</t>
        </is>
      </c>
      <c r="F1472" s="108" t="n">
        <v>45473</v>
      </c>
      <c r="G1472" t="n">
        <v>2024</v>
      </c>
      <c r="H1472" t="inlineStr">
        <is>
          <t>Junio</t>
        </is>
      </c>
      <c r="I1472" t="inlineStr">
        <is>
          <t>2024-1</t>
        </is>
      </c>
      <c r="J1472" t="n">
        <v>0</v>
      </c>
      <c r="K1472" t="n">
        <v>34.9</v>
      </c>
      <c r="L1472" s="39">
        <f>IFERROR(IF(OR(J1472=0,K1472=""),"",IF(E1472="Positivo",MIN(MAX(K1472/J1472,0),1.3),MIN(MAX(J1472/K1472,0),1.3))),"") </f>
        <v/>
      </c>
      <c r="M1472" s="39">
        <f>IFERROR(IF(OR(J1472=0,K1472=""),"",IF(E1472="Positivo",MAX(K1472/J1472,0),MAX(J1472/K1472,0))),"") </f>
        <v/>
      </c>
      <c r="P1472" t="n">
        <v>0</v>
      </c>
      <c r="Q1472" t="n">
        <v>0</v>
      </c>
      <c r="R1472" t="inlineStr">
        <is>
          <t>451-2024-06-30</t>
        </is>
      </c>
    </row>
    <row r="1473" hidden="1">
      <c r="A1473" t="n">
        <v>451</v>
      </c>
      <c r="B1473" t="inlineStr">
        <is>
          <t>% Participación de publicaciones positiva</t>
        </is>
      </c>
      <c r="C1473" t="inlineStr">
        <is>
          <t>Comunicaciones Externas</t>
        </is>
      </c>
      <c r="D1473" t="inlineStr">
        <is>
          <t>Semestral</t>
        </is>
      </c>
      <c r="E1473" t="inlineStr">
        <is>
          <t>Positivo</t>
        </is>
      </c>
      <c r="F1473" s="108" t="n">
        <v>45657</v>
      </c>
      <c r="G1473" t="n">
        <v>2024</v>
      </c>
      <c r="H1473" t="inlineStr">
        <is>
          <t>Diciembre</t>
        </is>
      </c>
      <c r="I1473" t="inlineStr">
        <is>
          <t>2024-2</t>
        </is>
      </c>
      <c r="J1473" t="n">
        <v>0</v>
      </c>
      <c r="K1473" t="n">
        <v>42.7</v>
      </c>
      <c r="L1473" s="39">
        <f>IFERROR(IF(OR(J1473=0,K1473=""),"",IF(E1473="Positivo",MIN(MAX(K1473/J1473,0),1.3),MIN(MAX(J1473/K1473,0),1.3))),"") </f>
        <v/>
      </c>
      <c r="M1473" s="39">
        <f>IFERROR(IF(OR(J1473=0,K1473=""),"",IF(E1473="Positivo",MAX(K1473/J1473,0),MAX(J1473/K1473,0))),"") </f>
        <v/>
      </c>
      <c r="P1473" t="n">
        <v>0</v>
      </c>
      <c r="Q1473" t="n">
        <v>0</v>
      </c>
      <c r="R1473" t="inlineStr">
        <is>
          <t>451-2024-12-31</t>
        </is>
      </c>
    </row>
    <row r="1474" hidden="1">
      <c r="A1474" t="n">
        <v>451</v>
      </c>
      <c r="B1474" t="inlineStr">
        <is>
          <t>% de publicaciones con sentimiento positivo</t>
        </is>
      </c>
      <c r="C1474" t="inlineStr">
        <is>
          <t>Comunicaciones Externas</t>
        </is>
      </c>
      <c r="D1474" t="inlineStr">
        <is>
          <t>Trimestral</t>
        </is>
      </c>
      <c r="E1474" t="inlineStr">
        <is>
          <t>Positivo</t>
        </is>
      </c>
      <c r="F1474" s="108" t="n">
        <v>45838</v>
      </c>
      <c r="G1474" t="n">
        <v>2025</v>
      </c>
      <c r="H1474" t="inlineStr">
        <is>
          <t>Junio</t>
        </is>
      </c>
      <c r="I1474" t="inlineStr">
        <is>
          <t>2025-1</t>
        </is>
      </c>
      <c r="J1474" t="n">
        <v>100</v>
      </c>
      <c r="K1474" t="n">
        <v>119.5</v>
      </c>
      <c r="L1474" s="39">
        <f>IFERROR(IF(OR(J1474=0,K1474=""),"",IF(E1474="Positivo",MIN(MAX(K1474/J1474,0),1.3),MIN(MAX(J1474/K1474,0),1.3))),"") </f>
        <v/>
      </c>
      <c r="M1474" s="39">
        <f>IFERROR(IF(OR(J1474=0,K1474=""),"",IF(E1474="Positivo",MAX(K1474/J1474,0),MAX(J1474/K1474,0))),"") </f>
        <v/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0</v>
      </c>
      <c r="R1474" t="inlineStr">
        <is>
          <t>451-2025-06-30</t>
        </is>
      </c>
    </row>
    <row r="1475" hidden="1">
      <c r="A1475" t="n">
        <v>451</v>
      </c>
      <c r="B1475" t="inlineStr">
        <is>
          <t>% de publicaciones con sentimiento positivo</t>
        </is>
      </c>
      <c r="C1475" t="inlineStr">
        <is>
          <t>Comunicaciones Externas</t>
        </is>
      </c>
      <c r="D1475" t="inlineStr">
        <is>
          <t>Trimestral</t>
        </is>
      </c>
      <c r="E1475" t="inlineStr">
        <is>
          <t>Positivo</t>
        </is>
      </c>
      <c r="F1475" s="108" t="n">
        <v>46022</v>
      </c>
      <c r="G1475" t="n">
        <v>2025</v>
      </c>
      <c r="H1475" t="inlineStr">
        <is>
          <t>Diciembre</t>
        </is>
      </c>
      <c r="I1475" t="inlineStr">
        <is>
          <t>2025-2</t>
        </is>
      </c>
      <c r="J1475" t="n">
        <v>100</v>
      </c>
      <c r="K1475" t="n">
        <v>130.8</v>
      </c>
      <c r="L1475" s="39">
        <f>IFERROR(IF(OR(J1475=0,K1475=""),"",IF(E1475="Positivo",MIN(MAX(K1475/J1475,0),1.3),MIN(MAX(J1475/K1475,0),1.3))),"") </f>
        <v/>
      </c>
      <c r="M1475" s="39">
        <f>IFERROR(IF(OR(J1475=0,K1475=""),"",IF(E1475="Positivo",MAX(K1475/J1475,0),MAX(J1475/K1475,0))),"") </f>
        <v/>
      </c>
      <c r="N1475" t="inlineStr">
        <is>
          <t>%</t>
        </is>
      </c>
      <c r="O1475" t="inlineStr">
        <is>
          <t>%</t>
        </is>
      </c>
      <c r="P1475" t="n">
        <v>0</v>
      </c>
      <c r="Q1475" t="n">
        <v>0</v>
      </c>
      <c r="R1475" t="inlineStr">
        <is>
          <t>451-2025-12-31</t>
        </is>
      </c>
    </row>
    <row r="1476" hidden="1">
      <c r="A1476" t="n">
        <v>452</v>
      </c>
      <c r="B1476" t="inlineStr">
        <is>
          <t>Seguimiento a eventos internos y externos institucionales</t>
        </is>
      </c>
      <c r="C1476" t="inlineStr">
        <is>
          <t>Comunicaciones Externas</t>
        </is>
      </c>
      <c r="D1476" t="inlineStr">
        <is>
          <t>Semestral</t>
        </is>
      </c>
      <c r="E1476" t="inlineStr">
        <is>
          <t>Positivo</t>
        </is>
      </c>
      <c r="F1476" s="108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100</v>
      </c>
      <c r="K1476" t="n">
        <v>100</v>
      </c>
      <c r="L1476" s="39">
        <f>IFERROR(IF(OR(J1476=0,K1476=""),"",IF(E1476="Positivo",MIN(MAX(K1476/J1476,0),1.3),MIN(MAX(J1476/K1476,0),1.3))),"") </f>
        <v/>
      </c>
      <c r="M1476" s="39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452-2024-06-30</t>
        </is>
      </c>
    </row>
    <row r="1477" hidden="1">
      <c r="A1477" t="n">
        <v>452</v>
      </c>
      <c r="B1477" t="inlineStr">
        <is>
          <t>Seguimiento a eventos internos y externos institucionales</t>
        </is>
      </c>
      <c r="C1477" t="inlineStr">
        <is>
          <t>Comunicaciones Externas</t>
        </is>
      </c>
      <c r="D1477" t="inlineStr">
        <is>
          <t>Semestral</t>
        </is>
      </c>
      <c r="E1477" t="inlineStr">
        <is>
          <t>Positivo</t>
        </is>
      </c>
      <c r="F1477" s="108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100</v>
      </c>
      <c r="K1477" t="n">
        <v>160</v>
      </c>
      <c r="L1477" s="39">
        <f>IFERROR(IF(OR(J1477=0,K1477=""),"",IF(E1477="Positivo",MIN(MAX(K1477/J1477,0),1.3),MIN(MAX(J1477/K1477,0),1.3))),"") </f>
        <v/>
      </c>
      <c r="M1477" s="39">
        <f>IFERROR(IF(OR(J1477=0,K1477=""),"",IF(E1477="Positivo",MAX(K1477/J1477,0),MAX(J1477/K1477,0))),"") </f>
        <v/>
      </c>
      <c r="P1477" t="n">
        <v>0</v>
      </c>
      <c r="Q1477" t="n">
        <v>0</v>
      </c>
      <c r="R1477" t="inlineStr">
        <is>
          <t>452-2024-12-31</t>
        </is>
      </c>
    </row>
    <row r="1478" hidden="1">
      <c r="A1478" t="n">
        <v>452</v>
      </c>
      <c r="B1478" t="inlineStr">
        <is>
          <t>Seguimiento a eventos internos y externos institucionales</t>
        </is>
      </c>
      <c r="C1478" t="inlineStr">
        <is>
          <t>Comunicaciones Externas</t>
        </is>
      </c>
      <c r="D1478" t="inlineStr">
        <is>
          <t>Trimestral</t>
        </is>
      </c>
      <c r="E1478" t="inlineStr">
        <is>
          <t>Positivo</t>
        </is>
      </c>
      <c r="F1478" s="108" t="n">
        <v>45838</v>
      </c>
      <c r="G1478" t="n">
        <v>2025</v>
      </c>
      <c r="H1478" t="inlineStr">
        <is>
          <t>Junio</t>
        </is>
      </c>
      <c r="I1478" t="inlineStr">
        <is>
          <t>2025-1</t>
        </is>
      </c>
      <c r="J1478" t="n">
        <v>100</v>
      </c>
      <c r="K1478" t="n">
        <v>102.27</v>
      </c>
      <c r="L1478" s="39">
        <f>IFERROR(IF(OR(J1478=0,K1478=""),"",IF(E1478="Positivo",MIN(MAX(K1478/J1478,0),1.3),MIN(MAX(J1478/K1478,0),1.3))),"") </f>
        <v/>
      </c>
      <c r="M1478" s="39">
        <f>IFERROR(IF(OR(J1478=0,K1478=""),"",IF(E1478="Positivo",MAX(K1478/J1478,0),MAX(J1478/K1478,0))),"") </f>
        <v/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452-2025-06-30</t>
        </is>
      </c>
    </row>
    <row r="1479" hidden="1">
      <c r="A1479" t="n">
        <v>452</v>
      </c>
      <c r="B1479" t="inlineStr">
        <is>
          <t>Seguimiento a eventos internos y externos institucionales</t>
        </is>
      </c>
      <c r="C1479" t="inlineStr">
        <is>
          <t>Comunicaciones Externas</t>
        </is>
      </c>
      <c r="D1479" t="inlineStr">
        <is>
          <t>Trimestral</t>
        </is>
      </c>
      <c r="E1479" t="inlineStr">
        <is>
          <t>Positivo</t>
        </is>
      </c>
      <c r="F1479" s="108" t="n">
        <v>46022</v>
      </c>
      <c r="G1479" t="n">
        <v>2025</v>
      </c>
      <c r="H1479" t="inlineStr">
        <is>
          <t>Diciembre</t>
        </is>
      </c>
      <c r="I1479" t="inlineStr">
        <is>
          <t>2025-2</t>
        </is>
      </c>
      <c r="J1479" t="n">
        <v>100</v>
      </c>
      <c r="K1479" t="n">
        <v>200</v>
      </c>
      <c r="L1479" s="39">
        <f>IFERROR(IF(OR(J1479=0,K1479=""),"",IF(E1479="Positivo",MIN(MAX(K1479/J1479,0),1.3),MIN(MAX(J1479/K1479,0),1.3))),"") </f>
        <v/>
      </c>
      <c r="M1479" s="39">
        <f>IFERROR(IF(OR(J1479=0,K1479=""),"",IF(E1479="Positivo",MAX(K1479/J1479,0),MAX(J1479/K1479,0))),"") </f>
        <v/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452-2025-12-31</t>
        </is>
      </c>
    </row>
    <row r="1480" hidden="1">
      <c r="A1480" t="n">
        <v>453</v>
      </c>
      <c r="B1480" t="inlineStr">
        <is>
          <t>Número de cursos diseñados</t>
        </is>
      </c>
      <c r="C1480" t="inlineStr">
        <is>
          <t>Diseño de Contenido Virtual</t>
        </is>
      </c>
      <c r="D1480" t="inlineStr">
        <is>
          <t>Trimestral</t>
        </is>
      </c>
      <c r="E1480" t="inlineStr">
        <is>
          <t>Positivo</t>
        </is>
      </c>
      <c r="F1480" s="108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J1480" t="n">
        <v>100</v>
      </c>
      <c r="K1480" t="n">
        <v>192</v>
      </c>
      <c r="L1480" s="39">
        <f>IFERROR(IF(OR(J1480=0,K1480=""),"",IF(E1480="Positivo",MIN(MAX(K1480/J1480,0),1.3),MIN(MAX(J1480/K1480,0),1.3))),"") </f>
        <v/>
      </c>
      <c r="M1480" s="39">
        <f>IFERROR(IF(OR(J1480=0,K1480=""),"",IF(E1480="Positivo",MAX(K1480/J1480,0),MAX(J1480/K1480,0))),"") </f>
        <v/>
      </c>
      <c r="P1480" t="n">
        <v>0</v>
      </c>
      <c r="Q1480" t="n">
        <v>0</v>
      </c>
      <c r="R1480" t="inlineStr">
        <is>
          <t>453-2024-06-30</t>
        </is>
      </c>
    </row>
    <row r="1481" hidden="1">
      <c r="A1481" t="n">
        <v>453</v>
      </c>
      <c r="B1481" t="inlineStr">
        <is>
          <t>Número de cursos diseñados</t>
        </is>
      </c>
      <c r="C1481" t="inlineStr">
        <is>
          <t>Diseño de Contenido Virtual</t>
        </is>
      </c>
      <c r="D1481" t="inlineStr">
        <is>
          <t>Trimestral</t>
        </is>
      </c>
      <c r="E1481" t="inlineStr">
        <is>
          <t>Positivo</t>
        </is>
      </c>
      <c r="F1481" s="108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200</v>
      </c>
      <c r="K1481" t="n">
        <v>448</v>
      </c>
      <c r="L1481" s="39">
        <f>IFERROR(IF(OR(J1481=0,K1481=""),"",IF(E1481="Positivo",MIN(MAX(K1481/J1481,0),1.3),MIN(MAX(J1481/K1481,0),1.3))),"") </f>
        <v/>
      </c>
      <c r="M1481" s="39">
        <f>IFERROR(IF(OR(J1481=0,K1481=""),"",IF(E1481="Positivo",MAX(K1481/J1481,0),MAX(J1481/K1481,0))),"") </f>
        <v/>
      </c>
      <c r="P1481" t="n">
        <v>0</v>
      </c>
      <c r="Q1481" t="n">
        <v>0</v>
      </c>
      <c r="R1481" t="inlineStr">
        <is>
          <t>453-2024-12-31</t>
        </is>
      </c>
    </row>
    <row r="1482" hidden="1">
      <c r="A1482" t="n">
        <v>453</v>
      </c>
      <c r="B1482" t="inlineStr">
        <is>
          <t>Número de cursos diseñados</t>
        </is>
      </c>
      <c r="C1482" t="inlineStr">
        <is>
          <t>Diseño de Contenido Virtual</t>
        </is>
      </c>
      <c r="D1482" t="inlineStr">
        <is>
          <t>Semestral</t>
        </is>
      </c>
      <c r="E1482" t="inlineStr">
        <is>
          <t>Positivo</t>
        </is>
      </c>
      <c r="F1482" s="108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200</v>
      </c>
      <c r="K1482" t="n">
        <v>148</v>
      </c>
      <c r="L1482" s="39">
        <f>IFERROR(IF(OR(J1482=0,K1482=""),"",IF(E1482="Positivo",MIN(MAX(K1482/J1482,0),1.3),MIN(MAX(J1482/K1482,0),1.3))),"") </f>
        <v/>
      </c>
      <c r="M1482" s="39">
        <f>IFERROR(IF(OR(J1482=0,K1482=""),"",IF(E1482="Positivo",MAX(K1482/J1482,0),MAX(J1482/K1482,0))),"") </f>
        <v/>
      </c>
      <c r="P1482" t="n">
        <v>0</v>
      </c>
      <c r="Q1482" t="n">
        <v>0</v>
      </c>
      <c r="R1482" t="inlineStr">
        <is>
          <t>453-2025-06-30</t>
        </is>
      </c>
    </row>
    <row r="1483" hidden="1">
      <c r="A1483" t="n">
        <v>453</v>
      </c>
      <c r="B1483" t="inlineStr">
        <is>
          <t>Número de cursos diseñados</t>
        </is>
      </c>
      <c r="C1483" t="inlineStr">
        <is>
          <t>Diseño de Contenido Virtual</t>
        </is>
      </c>
      <c r="D1483" t="inlineStr">
        <is>
          <t>Semestral</t>
        </is>
      </c>
      <c r="E1483" t="inlineStr">
        <is>
          <t>Positivo</t>
        </is>
      </c>
      <c r="F1483" s="108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200</v>
      </c>
      <c r="K1483" t="n">
        <v>200</v>
      </c>
      <c r="L1483" s="39">
        <f>IFERROR(IF(OR(J1483=0,K1483=""),"",IF(E1483="Positivo",MIN(MAX(K1483/J1483,0),1.3),MIN(MAX(J1483/K1483,0),1.3))),"") </f>
        <v/>
      </c>
      <c r="M1483" s="39">
        <f>IFERROR(IF(OR(J1483=0,K1483=""),"",IF(E1483="Positivo",MAX(K1483/J1483,0),MAX(J1483/K1483,0))),"") </f>
        <v/>
      </c>
      <c r="P1483" t="n">
        <v>0</v>
      </c>
      <c r="Q1483" t="n">
        <v>0</v>
      </c>
      <c r="R1483" t="inlineStr">
        <is>
          <t>453-2025-12-31</t>
        </is>
      </c>
    </row>
    <row r="1484" hidden="1">
      <c r="A1484" t="n">
        <v>454</v>
      </c>
      <c r="B1484" t="inlineStr">
        <is>
          <t>Satisfacción de la calidad del contenido</t>
        </is>
      </c>
      <c r="C1484" t="inlineStr">
        <is>
          <t>Diseño de Contenido Virtual</t>
        </is>
      </c>
      <c r="D1484" t="inlineStr">
        <is>
          <t>Trimestral</t>
        </is>
      </c>
      <c r="E1484" t="inlineStr">
        <is>
          <t>Positivo</t>
        </is>
      </c>
      <c r="F1484" s="108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L1484" s="39" t="n"/>
      <c r="M1484" s="39" t="n"/>
      <c r="P1484" t="n">
        <v>0</v>
      </c>
      <c r="Q1484" t="n">
        <v>0</v>
      </c>
      <c r="R1484" t="inlineStr">
        <is>
          <t>454-2024-06-30</t>
        </is>
      </c>
    </row>
    <row r="1485" hidden="1">
      <c r="A1485" t="n">
        <v>454</v>
      </c>
      <c r="B1485" t="inlineStr">
        <is>
          <t>Satisfacción de la calidad del contenido</t>
        </is>
      </c>
      <c r="C1485" t="inlineStr">
        <is>
          <t>Diseño de Contenido Virtual</t>
        </is>
      </c>
      <c r="D1485" t="inlineStr">
        <is>
          <t>Trimestral</t>
        </is>
      </c>
      <c r="E1485" t="inlineStr">
        <is>
          <t>Positivo</t>
        </is>
      </c>
      <c r="F1485" s="108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0</v>
      </c>
      <c r="K1485" t="n">
        <v>88</v>
      </c>
      <c r="L1485" s="39">
        <f>IFERROR(IF(OR(J1485=0,K1485=""),"",IF(E1485="Positivo",MIN(MAX(K1485/J1485,0),1.3),MIN(MAX(J1485/K1485,0),1.3))),"") </f>
        <v/>
      </c>
      <c r="M1485" s="39">
        <f>IFERROR(IF(OR(J1485=0,K1485=""),"",IF(E1485="Positivo",MAX(K1485/J1485,0),MAX(J1485/K1485,0))),"") </f>
        <v/>
      </c>
      <c r="P1485" t="n">
        <v>0</v>
      </c>
      <c r="Q1485" t="n">
        <v>0</v>
      </c>
      <c r="R1485" t="inlineStr">
        <is>
          <t>454-2024-12-31</t>
        </is>
      </c>
    </row>
    <row r="1486" hidden="1">
      <c r="A1486" t="n">
        <v>455</v>
      </c>
      <c r="B1486" t="inlineStr">
        <is>
          <t>ANS Diseño de contenidos virtuales</t>
        </is>
      </c>
      <c r="C1486" t="inlineStr">
        <is>
          <t>Diseño de Contenido Virtual</t>
        </is>
      </c>
      <c r="D1486" t="inlineStr">
        <is>
          <t>Trimestral</t>
        </is>
      </c>
      <c r="E1486" t="inlineStr">
        <is>
          <t>Positivo</t>
        </is>
      </c>
      <c r="F1486" s="108" t="n">
        <v>45473</v>
      </c>
      <c r="G1486" t="n">
        <v>2024</v>
      </c>
      <c r="H1486" t="inlineStr">
        <is>
          <t>Junio</t>
        </is>
      </c>
      <c r="I1486" t="inlineStr">
        <is>
          <t>2024-1</t>
        </is>
      </c>
      <c r="L1486" s="39" t="n"/>
      <c r="M1486" s="39" t="n"/>
      <c r="P1486" t="n">
        <v>0</v>
      </c>
      <c r="Q1486" t="n">
        <v>0</v>
      </c>
      <c r="R1486" t="inlineStr">
        <is>
          <t>455-2024-06-30</t>
        </is>
      </c>
    </row>
    <row r="1487" hidden="1">
      <c r="A1487" t="n">
        <v>455</v>
      </c>
      <c r="B1487" t="inlineStr">
        <is>
          <t>ANS Diseño de contenidos virtuales</t>
        </is>
      </c>
      <c r="C1487" t="inlineStr">
        <is>
          <t>Diseño de Contenido Virtual</t>
        </is>
      </c>
      <c r="D1487" t="inlineStr">
        <is>
          <t>Trimestral</t>
        </is>
      </c>
      <c r="E1487" t="inlineStr">
        <is>
          <t>Positivo</t>
        </is>
      </c>
      <c r="F1487" s="108" t="n">
        <v>45657</v>
      </c>
      <c r="G1487" t="n">
        <v>2024</v>
      </c>
      <c r="H1487" t="inlineStr">
        <is>
          <t>Diciembre</t>
        </is>
      </c>
      <c r="I1487" t="inlineStr">
        <is>
          <t>2024-2</t>
        </is>
      </c>
      <c r="J1487" t="n">
        <v>90</v>
      </c>
      <c r="K1487" t="n">
        <v>100</v>
      </c>
      <c r="L1487" s="39">
        <f>IFERROR(IF(OR(J1487=0,K1487=""),"",IF(E1487="Positivo",MIN(MAX(K1487/J1487,0),1.3),MIN(MAX(J1487/K1487,0),1.3))),"") </f>
        <v/>
      </c>
      <c r="M1487" s="39">
        <f>IFERROR(IF(OR(J1487=0,K1487=""),"",IF(E1487="Positivo",MAX(K1487/J1487,0),MAX(J1487/K1487,0))),"") </f>
        <v/>
      </c>
      <c r="P1487" t="n">
        <v>0</v>
      </c>
      <c r="Q1487" t="n">
        <v>0</v>
      </c>
      <c r="R1487" t="inlineStr">
        <is>
          <t>455-2024-12-31</t>
        </is>
      </c>
    </row>
    <row r="1488" hidden="1">
      <c r="A1488" t="n">
        <v>455</v>
      </c>
      <c r="B1488" t="inlineStr">
        <is>
          <t>ANS Diseño de contenidos virtuales</t>
        </is>
      </c>
      <c r="C1488" t="inlineStr">
        <is>
          <t>Diseño de Contenido Virtual</t>
        </is>
      </c>
      <c r="D1488" t="inlineStr">
        <is>
          <t>Semestral</t>
        </is>
      </c>
      <c r="E1488" t="inlineStr">
        <is>
          <t>Positivo</t>
        </is>
      </c>
      <c r="F1488" s="108" t="n">
        <v>45838</v>
      </c>
      <c r="G1488" t="n">
        <v>2025</v>
      </c>
      <c r="H1488" t="inlineStr">
        <is>
          <t>Junio</t>
        </is>
      </c>
      <c r="I1488" t="inlineStr">
        <is>
          <t>2025-1</t>
        </is>
      </c>
      <c r="J1488" t="n">
        <v>100</v>
      </c>
      <c r="K1488" t="n">
        <v>100</v>
      </c>
      <c r="L1488" s="39">
        <f>IFERROR(IF(OR(J1488=0,K1488=""),"",IF(E1488="Positivo",MIN(MAX(K1488/J1488,0),1.3),MIN(MAX(J1488/K1488,0),1.3))),"") </f>
        <v/>
      </c>
      <c r="M1488" s="39">
        <f>IFERROR(IF(OR(J1488=0,K1488=""),"",IF(E1488="Positivo",MAX(K1488/J1488,0),MAX(J1488/K1488,0))),"") </f>
        <v/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455-2025-06-30</t>
        </is>
      </c>
    </row>
    <row r="1489" hidden="1">
      <c r="A1489" t="n">
        <v>455</v>
      </c>
      <c r="B1489" t="inlineStr">
        <is>
          <t>ANS Diseño de contenidos virtuales</t>
        </is>
      </c>
      <c r="C1489" t="inlineStr">
        <is>
          <t>Diseño de Contenido Virtual</t>
        </is>
      </c>
      <c r="D1489" t="inlineStr">
        <is>
          <t>Semestral</t>
        </is>
      </c>
      <c r="E1489" t="inlineStr">
        <is>
          <t>Positivo</t>
        </is>
      </c>
      <c r="F1489" s="108" t="n">
        <v>46022</v>
      </c>
      <c r="G1489" t="n">
        <v>2025</v>
      </c>
      <c r="H1489" t="inlineStr">
        <is>
          <t>Diciembre</t>
        </is>
      </c>
      <c r="I1489" t="inlineStr">
        <is>
          <t>2025-2</t>
        </is>
      </c>
      <c r="J1489" t="n">
        <v>100</v>
      </c>
      <c r="K1489" t="n">
        <v>100</v>
      </c>
      <c r="L1489" s="39">
        <f>IFERROR(IF(OR(J1489=0,K1489=""),"",IF(E1489="Positivo",MIN(MAX(K1489/J1489,0),1.3),MIN(MAX(J1489/K1489,0),1.3))),"") </f>
        <v/>
      </c>
      <c r="M1489" s="39">
        <f>IFERROR(IF(OR(J1489=0,K1489=""),"",IF(E1489="Positivo",MAX(K1489/J1489,0),MAX(J1489/K1489,0))),"") </f>
        <v/>
      </c>
      <c r="N1489" t="inlineStr">
        <is>
          <t>%</t>
        </is>
      </c>
      <c r="O1489" t="inlineStr">
        <is>
          <t>%</t>
        </is>
      </c>
      <c r="P1489" t="n">
        <v>0</v>
      </c>
      <c r="Q1489" t="n">
        <v>0</v>
      </c>
      <c r="R1489" t="inlineStr">
        <is>
          <t>455-2025-12-31</t>
        </is>
      </c>
    </row>
    <row r="1490" hidden="1">
      <c r="A1490" t="n">
        <v>456</v>
      </c>
      <c r="B1490" t="inlineStr">
        <is>
          <t>Impacto de campañas de Mailing</t>
        </is>
      </c>
      <c r="C1490" t="inlineStr">
        <is>
          <t>Comunicaciones Internas</t>
        </is>
      </c>
      <c r="D1490" t="inlineStr">
        <is>
          <t>Semestral</t>
        </is>
      </c>
      <c r="E1490" t="inlineStr">
        <is>
          <t>Positivo</t>
        </is>
      </c>
      <c r="F1490" s="108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J1490" t="n">
        <v>100</v>
      </c>
      <c r="K1490" t="n">
        <v>100</v>
      </c>
      <c r="L1490" s="39">
        <f>IFERROR(IF(OR(J1490=0,K1490=""),"",IF(E1490="Positivo",MIN(MAX(K1490/J1490,0),1.3),MIN(MAX(J1490/K1490,0),1.3))),"") </f>
        <v/>
      </c>
      <c r="M1490" s="39">
        <f>IFERROR(IF(OR(J1490=0,K1490=""),"",IF(E1490="Positivo",MAX(K1490/J1490,0),MAX(J1490/K1490,0))),"") </f>
        <v/>
      </c>
      <c r="P1490" t="n">
        <v>0</v>
      </c>
      <c r="Q1490" t="n">
        <v>0</v>
      </c>
      <c r="R1490" t="inlineStr">
        <is>
          <t>456-2024-06-30</t>
        </is>
      </c>
    </row>
    <row r="1491" hidden="1">
      <c r="A1491" t="n">
        <v>456</v>
      </c>
      <c r="B1491" t="inlineStr">
        <is>
          <t>Impacto de campañas de Mailing</t>
        </is>
      </c>
      <c r="C1491" t="inlineStr">
        <is>
          <t>Comunicaciones Internas</t>
        </is>
      </c>
      <c r="D1491" t="inlineStr">
        <is>
          <t>Semestral</t>
        </is>
      </c>
      <c r="E1491" t="inlineStr">
        <is>
          <t>Positivo</t>
        </is>
      </c>
      <c r="F1491" s="108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100</v>
      </c>
      <c r="K1491" t="n">
        <v>94.69</v>
      </c>
      <c r="L1491" s="39">
        <f>IFERROR(IF(OR(J1491=0,K1491=""),"",IF(E1491="Positivo",MIN(MAX(K1491/J1491,0),1.3),MIN(MAX(J1491/K1491,0),1.3))),"") </f>
        <v/>
      </c>
      <c r="M1491" s="39">
        <f>IFERROR(IF(OR(J1491=0,K1491=""),"",IF(E1491="Positivo",MAX(K1491/J1491,0),MAX(J1491/K1491,0))),"") </f>
        <v/>
      </c>
      <c r="P1491" t="n">
        <v>0</v>
      </c>
      <c r="Q1491" t="n">
        <v>0</v>
      </c>
      <c r="R1491" t="inlineStr">
        <is>
          <t>456-2024-12-31</t>
        </is>
      </c>
    </row>
    <row r="1492" hidden="1">
      <c r="A1492" t="n">
        <v>456</v>
      </c>
      <c r="B1492" t="inlineStr">
        <is>
          <t>Impacto de campañas de Mailing</t>
        </is>
      </c>
      <c r="C1492" t="inlineStr">
        <is>
          <t>Comunicaciones Internas</t>
        </is>
      </c>
      <c r="D1492" t="inlineStr">
        <is>
          <t>Semestral</t>
        </is>
      </c>
      <c r="E1492" t="inlineStr">
        <is>
          <t>Positivo</t>
        </is>
      </c>
      <c r="F1492" s="108" t="n">
        <v>45838</v>
      </c>
      <c r="G1492" t="n">
        <v>2025</v>
      </c>
      <c r="H1492" t="inlineStr">
        <is>
          <t>Junio</t>
        </is>
      </c>
      <c r="I1492" t="inlineStr">
        <is>
          <t>2025-1</t>
        </is>
      </c>
      <c r="J1492" t="n">
        <v>100</v>
      </c>
      <c r="K1492" t="n">
        <v>105.185</v>
      </c>
      <c r="L1492" s="39">
        <f>IFERROR(IF(OR(J1492=0,K1492=""),"",IF(E1492="Positivo",MIN(MAX(K1492/J1492,0),1.3),MIN(MAX(J1492/K1492,0),1.3))),"") </f>
        <v/>
      </c>
      <c r="M1492" s="39">
        <f>IFERROR(IF(OR(J1492=0,K1492=""),"",IF(E1492="Positivo",MAX(K1492/J1492,0),MAX(J1492/K1492,0))),"") </f>
        <v/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456-2025-06-30</t>
        </is>
      </c>
    </row>
    <row r="1493" hidden="1">
      <c r="A1493" t="n">
        <v>456</v>
      </c>
      <c r="B1493" t="inlineStr">
        <is>
          <t>Impacto de campañas de Mailing</t>
        </is>
      </c>
      <c r="C1493" t="inlineStr">
        <is>
          <t>Comunicaciones Internas</t>
        </is>
      </c>
      <c r="D1493" t="inlineStr">
        <is>
          <t>Semestral</t>
        </is>
      </c>
      <c r="E1493" t="inlineStr">
        <is>
          <t>Positivo</t>
        </is>
      </c>
      <c r="F1493" s="108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100</v>
      </c>
      <c r="K1493" t="n">
        <v>118</v>
      </c>
      <c r="L1493" s="39">
        <f>IFERROR(IF(OR(J1493=0,K1493=""),"",IF(E1493="Positivo",MIN(MAX(K1493/J1493,0),1.3),MIN(MAX(J1493/K1493,0),1.3))),"") </f>
        <v/>
      </c>
      <c r="M1493" s="39">
        <f>IFERROR(IF(OR(J1493=0,K1493=""),"",IF(E1493="Positivo",MAX(K1493/J1493,0),MAX(J1493/K1493,0))),"") </f>
        <v/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456-2025-12-31</t>
        </is>
      </c>
    </row>
    <row r="1494" hidden="1">
      <c r="A1494" t="n">
        <v>457</v>
      </c>
      <c r="B1494" t="inlineStr">
        <is>
          <t>Apertura de enlaces en mensajes de texto</t>
        </is>
      </c>
      <c r="C1494" t="inlineStr">
        <is>
          <t>Comunicaciones Internas</t>
        </is>
      </c>
      <c r="D1494" t="inlineStr">
        <is>
          <t>Semestral</t>
        </is>
      </c>
      <c r="E1494" t="inlineStr">
        <is>
          <t>Positivo</t>
        </is>
      </c>
      <c r="F1494" s="108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100</v>
      </c>
      <c r="K1494" t="n">
        <v>90</v>
      </c>
      <c r="L1494" s="39">
        <f>IFERROR(IF(OR(J1494=0,K1494=""),"",IF(E1494="Positivo",MIN(MAX(K1494/J1494,0),1.3),MIN(MAX(J1494/K1494,0),1.3))),"") </f>
        <v/>
      </c>
      <c r="M1494" s="39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457-2024-06-30</t>
        </is>
      </c>
    </row>
    <row r="1495" hidden="1">
      <c r="A1495" t="n">
        <v>457</v>
      </c>
      <c r="B1495" t="inlineStr">
        <is>
          <t>Apertura de enlaces en mensajes de texto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08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100</v>
      </c>
      <c r="K1495" t="n">
        <v>70</v>
      </c>
      <c r="L1495" s="39">
        <f>IFERROR(IF(OR(J1495=0,K1495=""),"",IF(E1495="Positivo",MIN(MAX(K1495/J1495,0),1.3),MIN(MAX(J1495/K1495,0),1.3))),"") </f>
        <v/>
      </c>
      <c r="M1495" s="3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457-2024-12-31</t>
        </is>
      </c>
    </row>
    <row r="1496" hidden="1">
      <c r="A1496" t="n">
        <v>457</v>
      </c>
      <c r="B1496" t="inlineStr">
        <is>
          <t>Apertura de enlaces en mensajes de texto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08" t="n">
        <v>45838</v>
      </c>
      <c r="G1496" t="n">
        <v>2025</v>
      </c>
      <c r="H1496" t="inlineStr">
        <is>
          <t>Junio</t>
        </is>
      </c>
      <c r="I1496" t="inlineStr">
        <is>
          <t>2025-1</t>
        </is>
      </c>
      <c r="J1496" t="n">
        <v>100</v>
      </c>
      <c r="K1496" t="n">
        <v>141.665</v>
      </c>
      <c r="L1496" s="39">
        <f>IFERROR(IF(OR(J1496=0,K1496=""),"",IF(E1496="Positivo",MIN(MAX(K1496/J1496,0),1.3),MIN(MAX(J1496/K1496,0),1.3))),"") </f>
        <v/>
      </c>
      <c r="M1496" s="39">
        <f>IFERROR(IF(OR(J1496=0,K1496=""),"",IF(E1496="Positivo",MAX(K1496/J1496,0),MAX(J1496/K1496,0))),"") </f>
        <v/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457-2025-06-30</t>
        </is>
      </c>
    </row>
    <row r="1497" hidden="1">
      <c r="A1497" t="n">
        <v>457</v>
      </c>
      <c r="B1497" t="inlineStr">
        <is>
          <t>Apertura de enlaces en mensajes de texto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08" t="n">
        <v>46022</v>
      </c>
      <c r="G1497" t="n">
        <v>2025</v>
      </c>
      <c r="H1497" t="inlineStr">
        <is>
          <t>Diciembre</t>
        </is>
      </c>
      <c r="I1497" t="inlineStr">
        <is>
          <t>2025-2</t>
        </is>
      </c>
      <c r="J1497" t="n">
        <v>100</v>
      </c>
      <c r="K1497" t="n">
        <v>84.52</v>
      </c>
      <c r="L1497" s="39">
        <f>IFERROR(IF(OR(J1497=0,K1497=""),"",IF(E1497="Positivo",MIN(MAX(K1497/J1497,0),1.3),MIN(MAX(J1497/K1497,0),1.3))),"") </f>
        <v/>
      </c>
      <c r="M1497" s="39">
        <f>IFERROR(IF(OR(J1497=0,K1497=""),"",IF(E1497="Positivo",MAX(K1497/J1497,0),MAX(J1497/K1497,0))),"") </f>
        <v/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457-2025-12-31</t>
        </is>
      </c>
    </row>
    <row r="1498" hidden="1">
      <c r="A1498" t="n">
        <v>459</v>
      </c>
      <c r="B1498" t="inlineStr">
        <is>
          <t>Número de publicaciones e historias</t>
        </is>
      </c>
      <c r="C1498" t="inlineStr">
        <is>
          <t>Comunicaciones Externas</t>
        </is>
      </c>
      <c r="D1498" t="inlineStr">
        <is>
          <t>Trimestral</t>
        </is>
      </c>
      <c r="E1498" t="inlineStr">
        <is>
          <t>Positivo</t>
        </is>
      </c>
      <c r="F1498" s="108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130.43</v>
      </c>
      <c r="L1498" s="39">
        <f>IFERROR(IF(OR(J1498=0,K1498=""),"",IF(E1498="Positivo",MIN(MAX(K1498/J1498,0),1.3),MIN(MAX(J1498/K1498,0),1.3))),"") </f>
        <v/>
      </c>
      <c r="M1498" s="39">
        <f>IFERROR(IF(OR(J1498=0,K1498=""),"",IF(E1498="Positivo",MAX(K1498/J1498,0),MAX(J1498/K1498,0))),"") </f>
        <v/>
      </c>
      <c r="P1498" t="n">
        <v>0</v>
      </c>
      <c r="Q1498" t="n">
        <v>0</v>
      </c>
      <c r="R1498" t="inlineStr">
        <is>
          <t>459-2024-06-30</t>
        </is>
      </c>
    </row>
    <row r="1499" hidden="1">
      <c r="A1499" t="n">
        <v>459</v>
      </c>
      <c r="B1499" t="inlineStr">
        <is>
          <t>Número de publicaciones e historias</t>
        </is>
      </c>
      <c r="C1499" t="inlineStr">
        <is>
          <t>Comunicaciones Externas</t>
        </is>
      </c>
      <c r="D1499" t="inlineStr">
        <is>
          <t>Trimestral</t>
        </is>
      </c>
      <c r="E1499" t="inlineStr">
        <is>
          <t>Positivo</t>
        </is>
      </c>
      <c r="F1499" s="108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L1499" s="39" t="n"/>
      <c r="M1499" s="39" t="n"/>
      <c r="N1499" t="inlineStr">
        <is>
          <t>ENT</t>
        </is>
      </c>
      <c r="O1499" t="inlineStr">
        <is>
          <t>N/A</t>
        </is>
      </c>
      <c r="P1499" t="n">
        <v>0</v>
      </c>
      <c r="Q1499" t="n">
        <v>0</v>
      </c>
      <c r="R1499" t="inlineStr">
        <is>
          <t>459-2024-12-31</t>
        </is>
      </c>
    </row>
    <row r="1500" hidden="1">
      <c r="A1500" t="n">
        <v>460</v>
      </c>
      <c r="B1500" t="inlineStr">
        <is>
          <t>% de profesores (Contrato Indefinido- Fijo) impactados plan de desarrollo docente</t>
        </is>
      </c>
      <c r="C1500" t="inlineStr">
        <is>
          <t>GESTIÓN Y DESARROLLO DEL TALENTO HUMANO</t>
        </is>
      </c>
      <c r="D1500" t="inlineStr">
        <is>
          <t>Anual</t>
        </is>
      </c>
      <c r="E1500" t="inlineStr">
        <is>
          <t>Positivo</t>
        </is>
      </c>
      <c r="F1500" s="108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80</v>
      </c>
      <c r="K1500" t="n">
        <v>91.43968871595332</v>
      </c>
      <c r="L1500" s="39">
        <f>IFERROR(IF(OR(J1500=0,K1500=""),"",IF(E1500="Positivo",MIN(MAX(K1500/J1500,0),1.3),MIN(MAX(J1500/K1500,0),1.3))),"") </f>
        <v/>
      </c>
      <c r="M1500" s="3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460-2024-12-31</t>
        </is>
      </c>
    </row>
    <row r="1501" hidden="1">
      <c r="A1501" t="n">
        <v>460</v>
      </c>
      <c r="B1501" t="inlineStr">
        <is>
          <t>% de profesores (Contrato Indefinido- Fijo) impactados plan de desarrollo docente</t>
        </is>
      </c>
      <c r="C1501" t="inlineStr">
        <is>
          <t>GESTIÓN Y DESARROLLO DEL TALENTO HUMANO</t>
        </is>
      </c>
      <c r="D1501" t="inlineStr">
        <is>
          <t>Anual</t>
        </is>
      </c>
      <c r="E1501" t="inlineStr">
        <is>
          <t>Positivo</t>
        </is>
      </c>
      <c r="F1501" s="108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80</v>
      </c>
      <c r="K1501" t="n">
        <v>84.18000000000001</v>
      </c>
      <c r="L1501" s="39">
        <f>IFERROR(IF(OR(J1501=0,K1501=""),"",IF(E1501="Positivo",MIN(MAX(K1501/J1501,0),1.3),MIN(MAX(J1501/K1501,0),1.3))),"") </f>
        <v/>
      </c>
      <c r="M1501" s="39">
        <f>IFERROR(IF(OR(J1501=0,K1501=""),"",IF(E1501="Positivo",MAX(K1501/J1501,0),MAX(J1501/K1501,0))),"") </f>
        <v/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1</v>
      </c>
      <c r="R1501" t="inlineStr">
        <is>
          <t>460-2025-12-31</t>
        </is>
      </c>
    </row>
    <row r="1502" hidden="1">
      <c r="A1502" t="n">
        <v>462</v>
      </c>
      <c r="B1502" t="inlineStr">
        <is>
          <t>Nivel Esfuerzo Editorial</t>
        </is>
      </c>
      <c r="C1502" t="inlineStr">
        <is>
          <t>Editorial y Publicaciones</t>
        </is>
      </c>
      <c r="D1502" t="inlineStr">
        <is>
          <t>Semestral</t>
        </is>
      </c>
      <c r="E1502" t="inlineStr">
        <is>
          <t>Positivo</t>
        </is>
      </c>
      <c r="F1502" s="108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85</v>
      </c>
      <c r="K1502" t="n">
        <v>100</v>
      </c>
      <c r="L1502" s="39">
        <f>IFERROR(IF(OR(J1502=0,K1502=""),"",IF(E1502="Positivo",MIN(MAX(K1502/J1502,0),1.3),MIN(MAX(J1502/K1502,0),1.3))),"") </f>
        <v/>
      </c>
      <c r="M1502" s="39">
        <f>IFERROR(IF(OR(J1502=0,K1502=""),"",IF(E1502="Positivo",MAX(K1502/J1502,0),MAX(J1502/K1502,0))),"") </f>
        <v/>
      </c>
      <c r="P1502" t="n">
        <v>0</v>
      </c>
      <c r="Q1502" t="n">
        <v>0</v>
      </c>
      <c r="R1502" t="inlineStr">
        <is>
          <t>462-2024-06-30</t>
        </is>
      </c>
    </row>
    <row r="1503" hidden="1">
      <c r="A1503" t="n">
        <v>462</v>
      </c>
      <c r="B1503" t="inlineStr">
        <is>
          <t>Nivel Esfuerzo Editorial</t>
        </is>
      </c>
      <c r="C1503" t="inlineStr">
        <is>
          <t>Editorial y Publicaciones</t>
        </is>
      </c>
      <c r="D1503" t="inlineStr">
        <is>
          <t>Semestral</t>
        </is>
      </c>
      <c r="E1503" t="inlineStr">
        <is>
          <t>Positivo</t>
        </is>
      </c>
      <c r="F1503" s="108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85</v>
      </c>
      <c r="K1503" t="n">
        <v>100</v>
      </c>
      <c r="L1503" s="39">
        <f>IFERROR(IF(OR(J1503=0,K1503=""),"",IF(E1503="Positivo",MIN(MAX(K1503/J1503,0),1.3),MIN(MAX(J1503/K1503,0),1.3))),"") </f>
        <v/>
      </c>
      <c r="M1503" s="39">
        <f>IFERROR(IF(OR(J1503=0,K1503=""),"",IF(E1503="Positivo",MAX(K1503/J1503,0),MAX(J1503/K1503,0))),"") </f>
        <v/>
      </c>
      <c r="P1503" t="n">
        <v>0</v>
      </c>
      <c r="Q1503" t="n">
        <v>0</v>
      </c>
      <c r="R1503" t="inlineStr">
        <is>
          <t>462-2024-12-31</t>
        </is>
      </c>
    </row>
    <row r="1504" hidden="1">
      <c r="A1504" t="n">
        <v>463</v>
      </c>
      <c r="B1504" t="inlineStr">
        <is>
          <t>Cumplimiento de las acciones del Plan de mejoramiento GPW</t>
        </is>
      </c>
      <c r="C1504" t="inlineStr">
        <is>
          <t>GESTIÓN Y DESARROLLO DEL TALENTO HUMANO</t>
        </is>
      </c>
      <c r="D1504" t="inlineStr">
        <is>
          <t>Semestral</t>
        </is>
      </c>
      <c r="E1504" t="inlineStr">
        <is>
          <t>Positivo</t>
        </is>
      </c>
      <c r="F1504" s="108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100</v>
      </c>
      <c r="K1504" t="n">
        <v>95</v>
      </c>
      <c r="L1504" s="39">
        <f>IFERROR(IF(OR(J1504=0,K1504=""),"",IF(E1504="Positivo",MIN(MAX(K1504/J1504,0),1.0),MIN(MAX(J1504/K1504,0),1.0))),"") </f>
        <v/>
      </c>
      <c r="M1504" s="39">
        <f>IFERROR(IF(OR(J1504=0,K1504=""),"",IF(E1504="Positivo",MAX(K1504/J1504,0),MAX(J1504/K1504,0))),"") </f>
        <v/>
      </c>
      <c r="P1504" t="n">
        <v>0</v>
      </c>
      <c r="Q1504" t="n">
        <v>0</v>
      </c>
      <c r="R1504" t="inlineStr">
        <is>
          <t>463-2024-06-30</t>
        </is>
      </c>
    </row>
    <row r="1505" hidden="1">
      <c r="A1505" t="n">
        <v>463</v>
      </c>
      <c r="B1505" t="inlineStr">
        <is>
          <t>Cumplimiento de las acciones del Plan de mejoramiento GPW</t>
        </is>
      </c>
      <c r="C1505" t="inlineStr">
        <is>
          <t>GESTIÓN Y DESARROLLO DEL TALENTO HUMANO</t>
        </is>
      </c>
      <c r="D1505" t="inlineStr">
        <is>
          <t>Semestral</t>
        </is>
      </c>
      <c r="E1505" t="inlineStr">
        <is>
          <t>Positivo</t>
        </is>
      </c>
      <c r="F1505" s="108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100</v>
      </c>
      <c r="K1505" t="n">
        <v>100</v>
      </c>
      <c r="L1505" s="39">
        <f>IFERROR(IF(OR(J1505=0,K1505=""),"",IF(E1505="Positivo",MIN(MAX(K1505/J1505,0),1.0),MIN(MAX(J1505/K1505,0),1.0))),"") </f>
        <v/>
      </c>
      <c r="M1505" s="3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463-2024-12-31</t>
        </is>
      </c>
    </row>
    <row r="1506" hidden="1">
      <c r="A1506" t="n">
        <v>465</v>
      </c>
      <c r="B1506" t="inlineStr">
        <is>
          <t>% de depuración histórico  SNIES</t>
        </is>
      </c>
      <c r="C1506" t="inlineStr">
        <is>
          <t>DATOS Y ANALÍTICA</t>
        </is>
      </c>
      <c r="D1506" t="inlineStr">
        <is>
          <t>Semestral</t>
        </is>
      </c>
      <c r="E1506" t="inlineStr">
        <is>
          <t>Positivo</t>
        </is>
      </c>
      <c r="F1506" s="108" t="n">
        <v>45473</v>
      </c>
      <c r="G1506" t="n">
        <v>2024</v>
      </c>
      <c r="H1506" t="inlineStr">
        <is>
          <t>Junio</t>
        </is>
      </c>
      <c r="I1506" t="inlineStr">
        <is>
          <t>2024-1</t>
        </is>
      </c>
      <c r="J1506" t="n">
        <v>70</v>
      </c>
      <c r="K1506" t="n">
        <v>57.86</v>
      </c>
      <c r="L1506" s="39">
        <f>IFERROR(IF(OR(J1506=0,K1506=""),"",IF(E1506="Positivo",MIN(MAX(K1506/J1506,0),1.3),MIN(MAX(J1506/K1506,0),1.3))),"") </f>
        <v/>
      </c>
      <c r="M1506" s="39">
        <f>IFERROR(IF(OR(J1506=0,K1506=""),"",IF(E1506="Positivo",MAX(K1506/J1506,0),MAX(J1506/K1506,0))),"") </f>
        <v/>
      </c>
      <c r="P1506" t="n">
        <v>0</v>
      </c>
      <c r="Q1506" t="n">
        <v>0</v>
      </c>
      <c r="R1506" t="inlineStr">
        <is>
          <t>465-2024-06-30</t>
        </is>
      </c>
    </row>
    <row r="1507" hidden="1">
      <c r="A1507" t="n">
        <v>465</v>
      </c>
      <c r="B1507" t="inlineStr">
        <is>
          <t>% de depuración histórico  SNIES</t>
        </is>
      </c>
      <c r="C1507" t="inlineStr">
        <is>
          <t>DATOS Y ANALÍTICA</t>
        </is>
      </c>
      <c r="D1507" t="inlineStr">
        <is>
          <t>Semestral</t>
        </is>
      </c>
      <c r="E1507" t="inlineStr">
        <is>
          <t>Positivo</t>
        </is>
      </c>
      <c r="F1507" s="108" t="n">
        <v>45657</v>
      </c>
      <c r="G1507" t="n">
        <v>2024</v>
      </c>
      <c r="H1507" t="inlineStr">
        <is>
          <t>Diciembre</t>
        </is>
      </c>
      <c r="I1507" t="inlineStr">
        <is>
          <t>2024-2</t>
        </is>
      </c>
      <c r="J1507" t="n">
        <v>100</v>
      </c>
      <c r="K1507" t="n">
        <v>56.83</v>
      </c>
      <c r="L1507" s="39">
        <f>IFERROR(IF(OR(J1507=0,K1507=""),"",IF(E1507="Positivo",MIN(MAX(K1507/J1507,0),1.3),MIN(MAX(J1507/K1507,0),1.3))),"") </f>
        <v/>
      </c>
      <c r="M1507" s="39">
        <f>IFERROR(IF(OR(J1507=0,K1507=""),"",IF(E1507="Positivo",MAX(K1507/J1507,0),MAX(J1507/K1507,0))),"") </f>
        <v/>
      </c>
      <c r="P1507" t="n">
        <v>0</v>
      </c>
      <c r="Q1507" t="n">
        <v>0</v>
      </c>
      <c r="R1507" t="inlineStr">
        <is>
          <t>465-2024-12-31</t>
        </is>
      </c>
    </row>
    <row r="1508" hidden="1">
      <c r="A1508" t="n">
        <v>466</v>
      </c>
      <c r="B1508" t="inlineStr">
        <is>
          <t>NPS Estudiantes</t>
        </is>
      </c>
      <c r="C1508" t="inlineStr">
        <is>
          <t>Servicio</t>
        </is>
      </c>
      <c r="D1508" t="inlineStr">
        <is>
          <t>Semestral</t>
        </is>
      </c>
      <c r="E1508" t="inlineStr">
        <is>
          <t>Positivo</t>
        </is>
      </c>
      <c r="F1508" s="108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119.2</v>
      </c>
      <c r="L1508" s="39">
        <f>IFERROR(IF(OR(J1508=0,K1508=""),"",IF(E1508="Positivo",MIN(MAX(K1508/J1508,0),1.3),MIN(MAX(J1508/K1508,0),1.3))),"") </f>
        <v/>
      </c>
      <c r="M1508" s="39">
        <f>IFERROR(IF(OR(J1508=0,K1508=""),"",IF(E1508="Positivo",MAX(K1508/J1508,0),MAX(J1508/K1508,0))),"") </f>
        <v/>
      </c>
      <c r="N1508" t="inlineStr">
        <is>
          <t>ENT</t>
        </is>
      </c>
      <c r="O1508" t="inlineStr">
        <is>
          <t>DEC</t>
        </is>
      </c>
      <c r="P1508" t="n">
        <v>1</v>
      </c>
      <c r="Q1508" t="n">
        <v>1</v>
      </c>
      <c r="R1508" t="inlineStr">
        <is>
          <t>466-2024-06-30</t>
        </is>
      </c>
    </row>
    <row r="1509" hidden="1">
      <c r="A1509" t="n">
        <v>466</v>
      </c>
      <c r="B1509" t="inlineStr">
        <is>
          <t>NPS Estudiantes</t>
        </is>
      </c>
      <c r="C1509" t="inlineStr">
        <is>
          <t>EXPERIENCIA INSTITUCIONAL</t>
        </is>
      </c>
      <c r="D1509" t="inlineStr">
        <is>
          <t>Semestral</t>
        </is>
      </c>
      <c r="E1509" t="inlineStr">
        <is>
          <t>Positivo</t>
        </is>
      </c>
      <c r="F1509" s="108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107.6</v>
      </c>
      <c r="L1509" s="39">
        <f>IFERROR(IF(OR(J1509=0,K1509=""),"",IF(E1509="Positivo",MIN(MAX(K1509/J1509,0),1.3),MIN(MAX(J1509/K1509,0),1.3))),"") </f>
        <v/>
      </c>
      <c r="M1509" s="39">
        <f>IFERROR(IF(OR(J1509=0,K1509=""),"",IF(E1509="Positivo",MAX(K1509/J1509,0),MAX(J1509/K1509,0))),"") </f>
        <v/>
      </c>
      <c r="O1509" t="inlineStr">
        <is>
          <t>DEC</t>
        </is>
      </c>
      <c r="P1509" t="n">
        <v>0</v>
      </c>
      <c r="Q1509" t="n">
        <v>0</v>
      </c>
      <c r="R1509" t="inlineStr">
        <is>
          <t>466-2024-12-31</t>
        </is>
      </c>
    </row>
    <row r="1510" hidden="1">
      <c r="A1510" t="n">
        <v>466</v>
      </c>
      <c r="B1510" t="inlineStr">
        <is>
          <t>NPS Estudiantes</t>
        </is>
      </c>
      <c r="C1510" t="inlineStr">
        <is>
          <t>EXPERIENCIA INSTITUCIONAL</t>
        </is>
      </c>
      <c r="D1510" t="inlineStr">
        <is>
          <t>Semestral</t>
        </is>
      </c>
      <c r="E1510" t="inlineStr">
        <is>
          <t>Positivo</t>
        </is>
      </c>
      <c r="F1510" s="108" t="n">
        <v>46022</v>
      </c>
      <c r="G1510" t="n">
        <v>2025</v>
      </c>
      <c r="H1510" t="inlineStr">
        <is>
          <t>Diciembre</t>
        </is>
      </c>
      <c r="I1510" t="inlineStr">
        <is>
          <t>2025-2</t>
        </is>
      </c>
      <c r="J1510" t="n">
        <v>100</v>
      </c>
      <c r="K1510" t="n">
        <v>106.55</v>
      </c>
      <c r="L1510" s="39">
        <f>IFERROR(IF(OR(J1510=0,K1510=""),"",IF(E1510="Positivo",MIN(MAX(K1510/J1510,0),1.3),MIN(MAX(J1510/K1510,0),1.3))),"") </f>
        <v/>
      </c>
      <c r="M1510" s="39">
        <f>IFERROR(IF(OR(J1510=0,K1510=""),"",IF(E1510="Positivo",MAX(K1510/J1510,0),MAX(J1510/K1510,0))),"") </f>
        <v/>
      </c>
      <c r="O1510" t="inlineStr">
        <is>
          <t>DEC</t>
        </is>
      </c>
      <c r="P1510" t="n">
        <v>0</v>
      </c>
      <c r="Q1510" t="n">
        <v>0</v>
      </c>
      <c r="R1510" t="inlineStr">
        <is>
          <t>466-2025-12-31</t>
        </is>
      </c>
    </row>
    <row r="1511" hidden="1">
      <c r="A1511" t="n">
        <v>467</v>
      </c>
      <c r="B1511" t="inlineStr">
        <is>
          <t>NPS Graduados</t>
        </is>
      </c>
      <c r="C1511" t="inlineStr">
        <is>
          <t>EXPERIENCIA INSTITUCIONAL</t>
        </is>
      </c>
      <c r="D1511" t="inlineStr">
        <is>
          <t>Semestral</t>
        </is>
      </c>
      <c r="E1511" t="inlineStr">
        <is>
          <t>Positivo</t>
        </is>
      </c>
      <c r="F1511" s="108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121.25</v>
      </c>
      <c r="L1511" s="39">
        <f>IFERROR(IF(OR(J1511=0,K1511=""),"",IF(E1511="Positivo",MIN(MAX(K1511/J1511,0),1.3),MIN(MAX(J1511/K1511,0),1.3))),"") </f>
        <v/>
      </c>
      <c r="M1511" s="39">
        <f>IFERROR(IF(OR(J1511=0,K1511=""),"",IF(E1511="Positivo",MAX(K1511/J1511,0),MAX(J1511/K1511,0))),"") </f>
        <v/>
      </c>
      <c r="P1511" t="n">
        <v>0</v>
      </c>
      <c r="Q1511" t="n">
        <v>0</v>
      </c>
      <c r="R1511" t="inlineStr">
        <is>
          <t>467-2024-06-30</t>
        </is>
      </c>
    </row>
    <row r="1512" hidden="1">
      <c r="A1512" t="n">
        <v>467</v>
      </c>
      <c r="B1512" t="inlineStr">
        <is>
          <t>NPS Graduados</t>
        </is>
      </c>
      <c r="C1512" t="inlineStr">
        <is>
          <t>EXPERIENCIA INSTITUCIONAL</t>
        </is>
      </c>
      <c r="D1512" t="inlineStr">
        <is>
          <t>Semestral</t>
        </is>
      </c>
      <c r="E1512" t="inlineStr">
        <is>
          <t>Positivo</t>
        </is>
      </c>
      <c r="F1512" s="108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121.83</v>
      </c>
      <c r="L1512" s="39">
        <f>IFERROR(IF(OR(J1512=0,K1512=""),"",IF(E1512="Positivo",MIN(MAX(K1512/J1512,0),1.3),MIN(MAX(J1512/K1512,0),1.3))),"") </f>
        <v/>
      </c>
      <c r="M1512" s="39">
        <f>IFERROR(IF(OR(J1512=0,K1512=""),"",IF(E1512="Positivo",MAX(K1512/J1512,0),MAX(J1512/K1512,0))),"") </f>
        <v/>
      </c>
      <c r="P1512" t="n">
        <v>0</v>
      </c>
      <c r="Q1512" t="n">
        <v>0</v>
      </c>
      <c r="R1512" t="inlineStr">
        <is>
          <t>467-2024-12-31</t>
        </is>
      </c>
    </row>
    <row r="1513" hidden="1">
      <c r="A1513" t="n">
        <v>467</v>
      </c>
      <c r="B1513" t="inlineStr">
        <is>
          <t>NPS Graduados</t>
        </is>
      </c>
      <c r="C1513" t="inlineStr">
        <is>
          <t>EXPERIENCIA INSTITUCIONAL</t>
        </is>
      </c>
      <c r="D1513" t="inlineStr">
        <is>
          <t>Trimestral</t>
        </is>
      </c>
      <c r="E1513" t="inlineStr">
        <is>
          <t>Positivo</t>
        </is>
      </c>
      <c r="F1513" s="108" t="n">
        <v>45838</v>
      </c>
      <c r="G1513" t="n">
        <v>2025</v>
      </c>
      <c r="H1513" t="inlineStr">
        <is>
          <t>Junio</t>
        </is>
      </c>
      <c r="I1513" t="inlineStr">
        <is>
          <t>2025-1</t>
        </is>
      </c>
      <c r="J1513" t="n">
        <v>100</v>
      </c>
      <c r="K1513" t="n">
        <v>118</v>
      </c>
      <c r="L1513" s="39">
        <f>IFERROR(IF(OR(J1513=0,K1513=""),"",IF(E1513="Positivo",MIN(MAX(K1513/J1513,0),1.3),MIN(MAX(J1513/K1513,0),1.3))),"") </f>
        <v/>
      </c>
      <c r="M1513" s="39">
        <f>IFERROR(IF(OR(J1513=0,K1513=""),"",IF(E1513="Positivo",MAX(K1513/J1513,0),MAX(J1513/K1513,0))),"") </f>
        <v/>
      </c>
      <c r="N1513" t="inlineStr">
        <is>
          <t>ENT</t>
        </is>
      </c>
      <c r="O1513" t="inlineStr">
        <is>
          <t>DEC</t>
        </is>
      </c>
      <c r="P1513" t="n">
        <v>0</v>
      </c>
      <c r="Q1513" t="n">
        <v>1</v>
      </c>
      <c r="R1513" t="inlineStr">
        <is>
          <t>467-2025-06-30</t>
        </is>
      </c>
    </row>
    <row r="1514" hidden="1">
      <c r="A1514" t="n">
        <v>467</v>
      </c>
      <c r="B1514" t="inlineStr">
        <is>
          <t>NPS Graduados</t>
        </is>
      </c>
      <c r="C1514" t="inlineStr">
        <is>
          <t>EXPERIENCIA INSTITUCIONAL</t>
        </is>
      </c>
      <c r="D1514" t="inlineStr">
        <is>
          <t>Trimestral</t>
        </is>
      </c>
      <c r="E1514" t="inlineStr">
        <is>
          <t>Positivo</t>
        </is>
      </c>
      <c r="F1514" s="108" t="n">
        <v>46022</v>
      </c>
      <c r="G1514" t="n">
        <v>2025</v>
      </c>
      <c r="H1514" t="inlineStr">
        <is>
          <t>Diciembre</t>
        </is>
      </c>
      <c r="I1514" t="inlineStr">
        <is>
          <t>2025-2</t>
        </is>
      </c>
      <c r="J1514" t="n">
        <v>100</v>
      </c>
      <c r="K1514" t="n">
        <v>99.5</v>
      </c>
      <c r="L1514" s="39">
        <f>IFERROR(IF(OR(J1514=0,K1514=""),"",IF(E1514="Positivo",MIN(MAX(K1514/J1514,0),1.3),MIN(MAX(J1514/K1514,0),1.3))),"") </f>
        <v/>
      </c>
      <c r="M1514" s="39">
        <f>IFERROR(IF(OR(J1514=0,K1514=""),"",IF(E1514="Positivo",MAX(K1514/J1514,0),MAX(J1514/K1514,0))),"") </f>
        <v/>
      </c>
      <c r="N1514" t="inlineStr">
        <is>
          <t>ENT</t>
        </is>
      </c>
      <c r="O1514" t="inlineStr">
        <is>
          <t>DEC</t>
        </is>
      </c>
      <c r="P1514" t="n">
        <v>0</v>
      </c>
      <c r="Q1514" t="n">
        <v>1</v>
      </c>
      <c r="R1514" t="inlineStr">
        <is>
          <t>467-2025-12-31</t>
        </is>
      </c>
    </row>
    <row r="1515" hidden="1">
      <c r="A1515" t="n">
        <v>468</v>
      </c>
      <c r="B1515" t="inlineStr">
        <is>
          <t>CES General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Negativo</t>
        </is>
      </c>
      <c r="F1515" s="108" t="n">
        <v>45473</v>
      </c>
      <c r="G1515" t="n">
        <v>2024</v>
      </c>
      <c r="H1515" t="inlineStr">
        <is>
          <t>Junio</t>
        </is>
      </c>
      <c r="I1515" t="inlineStr">
        <is>
          <t>2024-1</t>
        </is>
      </c>
      <c r="J1515" t="n">
        <v>3</v>
      </c>
      <c r="K1515" t="n">
        <v>2.85</v>
      </c>
      <c r="L1515" s="39">
        <f>IFERROR(IF(OR(J1515=0,K1515=""),"",IF(E1515="Positivo",MIN(MAX(K1515/J1515,0),1.3),MIN(MAX(J1515/K1515,0),1.3))),"") </f>
        <v/>
      </c>
      <c r="M1515" s="39">
        <f>IFERROR(IF(OR(J1515=0,K1515=""),"",IF(E1515="Positivo",MAX(K1515/J1515,0),MAX(J1515/K1515,0))),"") </f>
        <v/>
      </c>
      <c r="P1515" t="n">
        <v>0</v>
      </c>
      <c r="Q1515" t="n">
        <v>0</v>
      </c>
      <c r="R1515" t="inlineStr">
        <is>
          <t>468-2024-06-30</t>
        </is>
      </c>
    </row>
    <row r="1516" hidden="1">
      <c r="A1516" t="n">
        <v>468</v>
      </c>
      <c r="B1516" t="inlineStr">
        <is>
          <t>CES General</t>
        </is>
      </c>
      <c r="C1516" t="inlineStr">
        <is>
          <t>EXPERIENCIA INSTITUCIONAL</t>
        </is>
      </c>
      <c r="D1516" t="inlineStr">
        <is>
          <t>Semestral</t>
        </is>
      </c>
      <c r="E1516" t="inlineStr">
        <is>
          <t>Negativo</t>
        </is>
      </c>
      <c r="F1516" s="108" t="n">
        <v>45657</v>
      </c>
      <c r="G1516" t="n">
        <v>2024</v>
      </c>
      <c r="H1516" t="inlineStr">
        <is>
          <t>Diciembre</t>
        </is>
      </c>
      <c r="I1516" t="inlineStr">
        <is>
          <t>2024-2</t>
        </is>
      </c>
      <c r="J1516" t="n">
        <v>3</v>
      </c>
      <c r="K1516" t="n">
        <v>2.6</v>
      </c>
      <c r="L1516" s="39">
        <f>IFERROR(IF(OR(J1516=0,K1516=""),"",IF(E1516="Positivo",MIN(MAX(K1516/J1516,0),1.3),MIN(MAX(J1516/K1516,0),1.3))),"") </f>
        <v/>
      </c>
      <c r="M1516" s="3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468-2024-12-31</t>
        </is>
      </c>
    </row>
    <row r="1517" hidden="1">
      <c r="A1517" t="n">
        <v>468</v>
      </c>
      <c r="B1517" t="inlineStr">
        <is>
          <t>CES General</t>
        </is>
      </c>
      <c r="C1517" t="inlineStr">
        <is>
          <t>EXPERIENCIA INSTITUCIONAL</t>
        </is>
      </c>
      <c r="D1517" t="inlineStr">
        <is>
          <t>Trimestral</t>
        </is>
      </c>
      <c r="E1517" t="inlineStr">
        <is>
          <t>Negativo</t>
        </is>
      </c>
      <c r="F1517" s="108" t="n">
        <v>45838</v>
      </c>
      <c r="G1517" t="n">
        <v>2025</v>
      </c>
      <c r="H1517" t="inlineStr">
        <is>
          <t>Junio</t>
        </is>
      </c>
      <c r="I1517" t="inlineStr">
        <is>
          <t>2025-1</t>
        </is>
      </c>
      <c r="J1517" t="n">
        <v>2.5</v>
      </c>
      <c r="K1517" t="n">
        <v>2.4</v>
      </c>
      <c r="L1517" s="39">
        <f>IFERROR(IF(OR(J1517=0,K1517=""),"",IF(E1517="Positivo",MIN(MAX(K1517/J1517,0),1.3),MIN(MAX(J1517/K1517,0),1.3))),"") </f>
        <v/>
      </c>
      <c r="M1517" s="39">
        <f>IFERROR(IF(OR(J1517=0,K1517=""),"",IF(E1517="Positivo",MAX(K1517/J1517,0),MAX(J1517/K1517,0))),"") </f>
        <v/>
      </c>
      <c r="N1517" t="inlineStr">
        <is>
          <t>DEC</t>
        </is>
      </c>
      <c r="O1517" t="inlineStr">
        <is>
          <t>DEC</t>
        </is>
      </c>
      <c r="P1517" t="n">
        <v>1</v>
      </c>
      <c r="Q1517" t="n">
        <v>1</v>
      </c>
      <c r="R1517" t="inlineStr">
        <is>
          <t>468-2025-06-30</t>
        </is>
      </c>
    </row>
    <row r="1518" hidden="1">
      <c r="A1518" t="n">
        <v>468</v>
      </c>
      <c r="B1518" t="inlineStr">
        <is>
          <t>CES General</t>
        </is>
      </c>
      <c r="C1518" t="inlineStr">
        <is>
          <t>EXPERIENCIA INSTITUCIONAL</t>
        </is>
      </c>
      <c r="D1518" t="inlineStr">
        <is>
          <t>Trimestral</t>
        </is>
      </c>
      <c r="E1518" t="inlineStr">
        <is>
          <t>Negativo</t>
        </is>
      </c>
      <c r="F1518" s="108" t="n">
        <v>46022</v>
      </c>
      <c r="G1518" t="n">
        <v>2025</v>
      </c>
      <c r="H1518" t="inlineStr">
        <is>
          <t>Diciembre</t>
        </is>
      </c>
      <c r="I1518" t="inlineStr">
        <is>
          <t>2025-2</t>
        </is>
      </c>
      <c r="J1518" t="n">
        <v>2.5</v>
      </c>
      <c r="K1518" t="n">
        <v>2.1</v>
      </c>
      <c r="L1518" s="39">
        <f>IFERROR(IF(OR(J1518=0,K1518=""),"",IF(E1518="Positivo",MIN(MAX(K1518/J1518,0),1.3),MIN(MAX(J1518/K1518,0),1.3))),"") </f>
        <v/>
      </c>
      <c r="M1518" s="39">
        <f>IFERROR(IF(OR(J1518=0,K1518=""),"",IF(E1518="Positivo",MAX(K1518/J1518,0),MAX(J1518/K1518,0))),"") </f>
        <v/>
      </c>
      <c r="N1518" t="inlineStr">
        <is>
          <t>DEC</t>
        </is>
      </c>
      <c r="O1518" t="inlineStr">
        <is>
          <t>DEC</t>
        </is>
      </c>
      <c r="P1518" t="n">
        <v>1</v>
      </c>
      <c r="Q1518" t="n">
        <v>1</v>
      </c>
      <c r="R1518" t="inlineStr">
        <is>
          <t>468-2025-12-31</t>
        </is>
      </c>
    </row>
    <row r="1519" hidden="1">
      <c r="A1519" t="n">
        <v>469</v>
      </c>
      <c r="B1519" t="inlineStr">
        <is>
          <t>Cumplimiento Plan Anual Áreas sede Medellín</t>
        </is>
      </c>
      <c r="C1519" t="inlineStr">
        <is>
          <t>Planeación Estratégica</t>
        </is>
      </c>
      <c r="D1519" t="inlineStr">
        <is>
          <t>Trimestral</t>
        </is>
      </c>
      <c r="E1519" t="inlineStr">
        <is>
          <t>Positivo</t>
        </is>
      </c>
      <c r="F1519" s="108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100</v>
      </c>
      <c r="K1519" t="n">
        <v>114.33</v>
      </c>
      <c r="L1519" s="39">
        <f>IFERROR(IF(OR(J1519=0,K1519=""),"",IF(E1519="Positivo",MIN(MAX(K1519/J1519,0),1.3),MIN(MAX(J1519/K1519,0),1.3))),"") </f>
        <v/>
      </c>
      <c r="M1519" s="39">
        <f>IFERROR(IF(OR(J1519=0,K1519=""),"",IF(E1519="Positivo",MAX(K1519/J1519,0),MAX(J1519/K1519,0))),"") </f>
        <v/>
      </c>
      <c r="P1519" t="n">
        <v>0</v>
      </c>
      <c r="Q1519" t="n">
        <v>0</v>
      </c>
      <c r="R1519" t="inlineStr">
        <is>
          <t>469-2024-06-30</t>
        </is>
      </c>
    </row>
    <row r="1520" hidden="1">
      <c r="A1520" t="n">
        <v>469</v>
      </c>
      <c r="B1520" t="inlineStr">
        <is>
          <t>Cumplimiento Plan Anual Áreas sede Medellín</t>
        </is>
      </c>
      <c r="C1520" t="inlineStr">
        <is>
          <t>Planeación Estratégica</t>
        </is>
      </c>
      <c r="D1520" t="inlineStr">
        <is>
          <t>Trimestral</t>
        </is>
      </c>
      <c r="E1520" t="inlineStr">
        <is>
          <t>Positivo</t>
        </is>
      </c>
      <c r="F1520" s="108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100</v>
      </c>
      <c r="K1520" t="n">
        <v>99.7</v>
      </c>
      <c r="L1520" s="39">
        <f>IFERROR(IF(OR(J1520=0,K1520=""),"",IF(E1520="Positivo",MIN(MAX(K1520/J1520,0),1.3),MIN(MAX(J1520/K1520,0),1.3))),"") </f>
        <v/>
      </c>
      <c r="M1520" s="3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469-2024-12-31</t>
        </is>
      </c>
    </row>
    <row r="1521" hidden="1">
      <c r="A1521" t="n">
        <v>469</v>
      </c>
      <c r="B1521" t="inlineStr">
        <is>
          <t>Cumplimiento Plan Anual Áreas sede Medellín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8" t="n">
        <v>45838</v>
      </c>
      <c r="G1521" t="n">
        <v>2025</v>
      </c>
      <c r="H1521" t="inlineStr">
        <is>
          <t>Junio</t>
        </is>
      </c>
      <c r="I1521" t="inlineStr">
        <is>
          <t>2025-1</t>
        </is>
      </c>
      <c r="J1521" t="n">
        <v>100</v>
      </c>
      <c r="K1521" t="n">
        <v>103.52</v>
      </c>
      <c r="L1521" s="39">
        <f>IFERROR(IF(OR(J1521=0,K1521=""),"",IF(E1521="Positivo",MIN(MAX(K1521/J1521,0),1.3),MIN(MAX(J1521/K1521,0),1.3))),"") </f>
        <v/>
      </c>
      <c r="M1521" s="39">
        <f>IFERROR(IF(OR(J1521=0,K1521=""),"",IF(E1521="Positivo",MAX(K1521/J1521,0),MAX(J1521/K1521,0))),"") </f>
        <v/>
      </c>
      <c r="N1521" t="inlineStr">
        <is>
          <t>%</t>
        </is>
      </c>
      <c r="O1521" t="inlineStr">
        <is>
          <t>%</t>
        </is>
      </c>
      <c r="P1521" t="n">
        <v>0</v>
      </c>
      <c r="Q1521" t="n">
        <v>0</v>
      </c>
      <c r="R1521" t="inlineStr">
        <is>
          <t>469-2025-06-30</t>
        </is>
      </c>
    </row>
    <row r="1522" hidden="1">
      <c r="A1522" t="n">
        <v>469</v>
      </c>
      <c r="B1522" t="inlineStr">
        <is>
          <t>Cumplimiento Plan Anual Áreas sede Medellín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8" t="n">
        <v>46022</v>
      </c>
      <c r="G1522" t="n">
        <v>2025</v>
      </c>
      <c r="H1522" t="inlineStr">
        <is>
          <t>Diciembre</t>
        </is>
      </c>
      <c r="I1522" t="inlineStr">
        <is>
          <t>2025-2</t>
        </is>
      </c>
      <c r="J1522" t="n">
        <v>100</v>
      </c>
      <c r="K1522" t="n">
        <v>99.13</v>
      </c>
      <c r="L1522" s="39">
        <f>IFERROR(IF(OR(J1522=0,K1522=""),"",IF(E1522="Positivo",MIN(MAX(K1522/J1522,0),1.3),MIN(MAX(J1522/K1522,0),1.3))),"") </f>
        <v/>
      </c>
      <c r="M1522" s="39">
        <f>IFERROR(IF(OR(J1522=0,K1522=""),"",IF(E1522="Positivo",MAX(K1522/J1522,0),MAX(J1522/K1522,0))),"") </f>
        <v/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469-2025-12-31</t>
        </is>
      </c>
    </row>
    <row r="1523" hidden="1">
      <c r="A1523" t="n">
        <v>470</v>
      </c>
      <c r="B1523" t="inlineStr">
        <is>
          <t>Cumplimiento plan anual Secretaria académica y de extensión</t>
        </is>
      </c>
      <c r="C1523" t="inlineStr">
        <is>
          <t>Planeación Estratégica</t>
        </is>
      </c>
      <c r="D1523" t="inlineStr">
        <is>
          <t>Trimestral</t>
        </is>
      </c>
      <c r="E1523" t="inlineStr">
        <is>
          <t>Positivo</t>
        </is>
      </c>
      <c r="F1523" s="108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118.1</v>
      </c>
      <c r="L1523" s="39">
        <f>IFERROR(IF(OR(J1523=0,K1523=""),"",IF(E1523="Positivo",MIN(MAX(K1523/J1523,0),1.3),MIN(MAX(J1523/K1523,0),1.3))),"") </f>
        <v/>
      </c>
      <c r="M1523" s="39">
        <f>IFERROR(IF(OR(J1523=0,K1523=""),"",IF(E1523="Positivo",MAX(K1523/J1523,0),MAX(J1523/K1523,0))),"") </f>
        <v/>
      </c>
      <c r="P1523" t="n">
        <v>0</v>
      </c>
      <c r="Q1523" t="n">
        <v>0</v>
      </c>
      <c r="R1523" t="inlineStr">
        <is>
          <t>470-2024-06-30</t>
        </is>
      </c>
    </row>
    <row r="1524" hidden="1">
      <c r="A1524" t="n">
        <v>470</v>
      </c>
      <c r="B1524" t="inlineStr">
        <is>
          <t>Cumplimiento plan anual Secretaria académica y de extensión</t>
        </is>
      </c>
      <c r="C1524" t="inlineStr">
        <is>
          <t>Planeación Estratégica</t>
        </is>
      </c>
      <c r="D1524" t="inlineStr">
        <is>
          <t>Trimestral</t>
        </is>
      </c>
      <c r="E1524" t="inlineStr">
        <is>
          <t>Positivo</t>
        </is>
      </c>
      <c r="F1524" s="108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100</v>
      </c>
      <c r="L1524" s="39">
        <f>IFERROR(IF(OR(J1524=0,K1524=""),"",IF(E1524="Positivo",MIN(MAX(K1524/J1524,0),1.3),MIN(MAX(J1524/K1524,0),1.3))),"") </f>
        <v/>
      </c>
      <c r="M1524" s="3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470-2024-12-31</t>
        </is>
      </c>
    </row>
    <row r="1525" hidden="1">
      <c r="A1525" t="n">
        <v>470</v>
      </c>
      <c r="B1525" t="inlineStr">
        <is>
          <t>Cumplimiento plan anual Secretaria académica y de extensión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8" t="n">
        <v>45838</v>
      </c>
      <c r="G1525" t="n">
        <v>2025</v>
      </c>
      <c r="H1525" t="inlineStr">
        <is>
          <t>Junio</t>
        </is>
      </c>
      <c r="I1525" t="inlineStr">
        <is>
          <t>2025-1</t>
        </is>
      </c>
      <c r="J1525" t="n">
        <v>100</v>
      </c>
      <c r="K1525" t="n">
        <v>148.38</v>
      </c>
      <c r="L1525" s="39">
        <f>IFERROR(IF(OR(J1525=0,K1525=""),"",IF(E1525="Positivo",MIN(MAX(K1525/J1525,0),1.3),MIN(MAX(J1525/K1525,0),1.3))),"") </f>
        <v/>
      </c>
      <c r="M1525" s="39">
        <f>IFERROR(IF(OR(J1525=0,K1525=""),"",IF(E1525="Positivo",MAX(K1525/J1525,0),MAX(J1525/K1525,0))),"") </f>
        <v/>
      </c>
      <c r="N1525" t="inlineStr">
        <is>
          <t>%</t>
        </is>
      </c>
      <c r="O1525" t="inlineStr">
        <is>
          <t>%</t>
        </is>
      </c>
      <c r="P1525" t="n">
        <v>0</v>
      </c>
      <c r="Q1525" t="n">
        <v>0</v>
      </c>
      <c r="R1525" t="inlineStr">
        <is>
          <t>470-2025-06-30</t>
        </is>
      </c>
    </row>
    <row r="1526" hidden="1">
      <c r="A1526" t="n">
        <v>470</v>
      </c>
      <c r="B1526" t="inlineStr">
        <is>
          <t>Cumplimiento plan anual Secretaria académica y de extensión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8" t="n">
        <v>46022</v>
      </c>
      <c r="G1526" t="n">
        <v>2025</v>
      </c>
      <c r="H1526" t="inlineStr">
        <is>
          <t>Diciembre</t>
        </is>
      </c>
      <c r="I1526" t="inlineStr">
        <is>
          <t>2025-2</t>
        </is>
      </c>
      <c r="J1526" t="n">
        <v>100</v>
      </c>
      <c r="K1526" t="n">
        <v>100</v>
      </c>
      <c r="L1526" s="39">
        <f>IFERROR(IF(OR(J1526=0,K1526=""),"",IF(E1526="Positivo",MIN(MAX(K1526/J1526,0),1.3),MIN(MAX(J1526/K1526,0),1.3))),"") </f>
        <v/>
      </c>
      <c r="M1526" s="39">
        <f>IFERROR(IF(OR(J1526=0,K1526=""),"",IF(E1526="Positivo",MAX(K1526/J1526,0),MAX(J1526/K1526,0))),"") </f>
        <v/>
      </c>
      <c r="N1526" t="inlineStr">
        <is>
          <t>%</t>
        </is>
      </c>
      <c r="O1526" t="inlineStr">
        <is>
          <t>%</t>
        </is>
      </c>
      <c r="P1526" t="n">
        <v>0</v>
      </c>
      <c r="Q1526" t="n">
        <v>0</v>
      </c>
      <c r="R1526" t="inlineStr">
        <is>
          <t>470-2025-12-31</t>
        </is>
      </c>
    </row>
    <row r="1527" hidden="1">
      <c r="A1527" t="n">
        <v>471</v>
      </c>
      <c r="B1527" t="inlineStr">
        <is>
          <t>Cumplimiento plan anual Gerencia de Talento Humano</t>
        </is>
      </c>
      <c r="C1527" t="inlineStr">
        <is>
          <t>Planeación Estratégica</t>
        </is>
      </c>
      <c r="D1527" t="inlineStr">
        <is>
          <t>Trimestral</t>
        </is>
      </c>
      <c r="E1527" t="inlineStr">
        <is>
          <t>Positivo</t>
        </is>
      </c>
      <c r="F1527" s="108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105.56</v>
      </c>
      <c r="L1527" s="39">
        <f>IFERROR(IF(OR(J1527=0,K1527=""),"",IF(E1527="Positivo",MIN(MAX(K1527/J1527,0),1.3),MIN(MAX(J1527/K1527,0),1.3))),"") </f>
        <v/>
      </c>
      <c r="M1527" s="39">
        <f>IFERROR(IF(OR(J1527=0,K1527=""),"",IF(E1527="Positivo",MAX(K1527/J1527,0),MAX(J1527/K1527,0))),"") </f>
        <v/>
      </c>
      <c r="P1527" t="n">
        <v>0</v>
      </c>
      <c r="Q1527" t="n">
        <v>0</v>
      </c>
      <c r="R1527" t="inlineStr">
        <is>
          <t>471-2024-06-30</t>
        </is>
      </c>
    </row>
    <row r="1528" hidden="1">
      <c r="A1528" t="n">
        <v>471</v>
      </c>
      <c r="B1528" t="inlineStr">
        <is>
          <t>Cumplimiento plan anual Gerencia de Talento Humano</t>
        </is>
      </c>
      <c r="C1528" t="inlineStr">
        <is>
          <t>Planeación Estratégica</t>
        </is>
      </c>
      <c r="D1528" t="inlineStr">
        <is>
          <t>Trimestral</t>
        </is>
      </c>
      <c r="E1528" t="inlineStr">
        <is>
          <t>Positivo</t>
        </is>
      </c>
      <c r="F1528" s="108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99</v>
      </c>
      <c r="L1528" s="39">
        <f>IFERROR(IF(OR(J1528=0,K1528=""),"",IF(E1528="Positivo",MIN(MAX(K1528/J1528,0),1.3),MIN(MAX(J1528/K1528,0),1.3))),"") </f>
        <v/>
      </c>
      <c r="M1528" s="3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471-2024-12-31</t>
        </is>
      </c>
    </row>
    <row r="1529" hidden="1">
      <c r="A1529" t="n">
        <v>471</v>
      </c>
      <c r="B1529" t="inlineStr">
        <is>
          <t>Cumplimiento plan anual Gerencia de Talento Humano</t>
        </is>
      </c>
      <c r="C1529" t="inlineStr">
        <is>
          <t>Planeación Estratégica</t>
        </is>
      </c>
      <c r="D1529" t="inlineStr">
        <is>
          <t>Semestral</t>
        </is>
      </c>
      <c r="E1529" t="inlineStr">
        <is>
          <t>Positivo</t>
        </is>
      </c>
      <c r="F1529" s="108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94.02</v>
      </c>
      <c r="L1529" s="39">
        <f>IFERROR(IF(OR(J1529=0,K1529=""),"",IF(E1529="Positivo",MIN(MAX(K1529/J1529,0),1.3),MIN(MAX(J1529/K1529,0),1.3))),"") </f>
        <v/>
      </c>
      <c r="M1529" s="39">
        <f>IFERROR(IF(OR(J1529=0,K1529=""),"",IF(E1529="Positivo",MAX(K1529/J1529,0),MAX(J1529/K1529,0))),"") </f>
        <v/>
      </c>
      <c r="N1529" t="inlineStr">
        <is>
          <t>%</t>
        </is>
      </c>
      <c r="O1529" t="inlineStr">
        <is>
          <t>%</t>
        </is>
      </c>
      <c r="P1529" t="n">
        <v>0</v>
      </c>
      <c r="Q1529" t="n">
        <v>0</v>
      </c>
      <c r="R1529" t="inlineStr">
        <is>
          <t>471-2025-06-30</t>
        </is>
      </c>
    </row>
    <row r="1530" hidden="1">
      <c r="A1530" t="n">
        <v>471</v>
      </c>
      <c r="B1530" t="inlineStr">
        <is>
          <t>Cumplimiento plan anual Gerencia de Talento Humano</t>
        </is>
      </c>
      <c r="C1530" t="inlineStr">
        <is>
          <t>Planeación Estratégica</t>
        </is>
      </c>
      <c r="D1530" t="inlineStr">
        <is>
          <t>Semestral</t>
        </is>
      </c>
      <c r="E1530" t="inlineStr">
        <is>
          <t>Positivo</t>
        </is>
      </c>
      <c r="F1530" s="108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99.86</v>
      </c>
      <c r="L1530" s="39">
        <f>IFERROR(IF(OR(J1530=0,K1530=""),"",IF(E1530="Positivo",MIN(MAX(K1530/J1530,0),1.3),MIN(MAX(J1530/K1530,0),1.3))),"") </f>
        <v/>
      </c>
      <c r="M1530" s="39">
        <f>IFERROR(IF(OR(J1530=0,K1530=""),"",IF(E1530="Positivo",MAX(K1530/J1530,0),MAX(J1530/K1530,0))),"") </f>
        <v/>
      </c>
      <c r="N1530" t="inlineStr">
        <is>
          <t>%</t>
        </is>
      </c>
      <c r="O1530" t="inlineStr">
        <is>
          <t>%</t>
        </is>
      </c>
      <c r="P1530" t="n">
        <v>0</v>
      </c>
      <c r="Q1530" t="n">
        <v>0</v>
      </c>
      <c r="R1530" t="inlineStr">
        <is>
          <t>471-2025-12-31</t>
        </is>
      </c>
    </row>
    <row r="1531" hidden="1">
      <c r="A1531" t="n">
        <v>472</v>
      </c>
      <c r="B1531" t="inlineStr">
        <is>
          <t>Cobertura de Recolección de Variables ADA (Arquitectura de datos para la analitica)</t>
        </is>
      </c>
      <c r="C1531" t="inlineStr">
        <is>
          <t>DATOS Y ANALÍTICA</t>
        </is>
      </c>
      <c r="D1531" t="inlineStr">
        <is>
          <t>Semestral</t>
        </is>
      </c>
      <c r="E1531" t="inlineStr">
        <is>
          <t>Positivo</t>
        </is>
      </c>
      <c r="F1531" s="108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82.09999999999999</v>
      </c>
      <c r="L1531" s="39">
        <f>IFERROR(IF(OR(J1531=0,K1531=""),"",IF(E1531="Positivo",MIN(MAX(K1531/J1531,0),1.3),MIN(MAX(J1531/K1531,0),1.3))),"") </f>
        <v/>
      </c>
      <c r="M1531" s="3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472-2024-06-30</t>
        </is>
      </c>
    </row>
    <row r="1532" hidden="1">
      <c r="A1532" t="n">
        <v>472</v>
      </c>
      <c r="B1532" t="inlineStr">
        <is>
          <t>Cobertura de Recolección de Variables ADA (Arquitectura de datos para la analitica)</t>
        </is>
      </c>
      <c r="C1532" t="inlineStr">
        <is>
          <t>DATOS Y ANALÍTICA</t>
        </is>
      </c>
      <c r="D1532" t="inlineStr">
        <is>
          <t>Semestral</t>
        </is>
      </c>
      <c r="E1532" t="inlineStr">
        <is>
          <t>Positivo</t>
        </is>
      </c>
      <c r="F1532" s="108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>
        <f>IFERROR(IF(OR(J1532=0,K1532=""),"",IF(E1532="Positivo",MIN(MAX(K1532/J1532,0),1.3),MIN(MAX(J1532/K1532,0),1.3))),"") </f>
        <v/>
      </c>
      <c r="M1532" s="3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472-2024-12-31</t>
        </is>
      </c>
    </row>
    <row r="1533" hidden="1">
      <c r="A1533" t="n">
        <v>473</v>
      </c>
      <c r="B1533" t="inlineStr">
        <is>
          <t>Programas con alineación curricular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08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100</v>
      </c>
      <c r="K1533" t="n">
        <v>100</v>
      </c>
      <c r="L1533" s="39">
        <f>IFERROR(IF(OR(J1533=0,K1533=""),"",IF(E1533="Positivo",MIN(MAX(K1533/J1533,0),1.0),MIN(MAX(J1533/K1533,0),1.0))),"") </f>
        <v/>
      </c>
      <c r="M1533" s="39">
        <f>IFERROR(IF(OR(J1533=0,K1533=""),"",IF(E1533="Positivo",MAX(K1533/J1533,0),MAX(J1533/K1533,0))),"") </f>
        <v/>
      </c>
      <c r="P1533" t="n">
        <v>0</v>
      </c>
      <c r="Q1533" t="n">
        <v>0</v>
      </c>
      <c r="R1533" t="inlineStr">
        <is>
          <t>473-2024-06-30</t>
        </is>
      </c>
    </row>
    <row r="1534" hidden="1">
      <c r="A1534" t="n">
        <v>473</v>
      </c>
      <c r="B1534" t="inlineStr">
        <is>
          <t>Programas con planes de estudios definidos</t>
        </is>
      </c>
      <c r="C1534" t="inlineStr">
        <is>
          <t>Gestión, Evaluación e Innovación Curricular</t>
        </is>
      </c>
      <c r="D1534" t="inlineStr">
        <is>
          <t>Semestral</t>
        </is>
      </c>
      <c r="E1534" t="inlineStr">
        <is>
          <t>Positivo</t>
        </is>
      </c>
      <c r="F1534" s="108" t="n">
        <v>45657</v>
      </c>
      <c r="G1534" t="n">
        <v>2024</v>
      </c>
      <c r="H1534" t="inlineStr">
        <is>
          <t>Diciembre</t>
        </is>
      </c>
      <c r="I1534" t="inlineStr">
        <is>
          <t>2024-2</t>
        </is>
      </c>
      <c r="J1534" t="n">
        <v>100</v>
      </c>
      <c r="K1534" t="n">
        <v>100</v>
      </c>
      <c r="L1534" s="39">
        <f>IFERROR(IF(OR(J1534=0,K1534=""),"",IF(E1534="Positivo",MIN(MAX(K1534/J1534,0),1.0),MIN(MAX(J1534/K1534,0),1.0))),"") </f>
        <v/>
      </c>
      <c r="M1534" s="39">
        <f>IFERROR(IF(OR(J1534=0,K1534=""),"",IF(E1534="Positivo",MAX(K1534/J1534,0),MAX(J1534/K1534,0))),"") </f>
        <v/>
      </c>
      <c r="P1534" t="n">
        <v>0</v>
      </c>
      <c r="Q1534" t="n">
        <v>0</v>
      </c>
      <c r="R1534" t="inlineStr">
        <is>
          <t>473-2024-12-31</t>
        </is>
      </c>
    </row>
    <row r="1535" hidden="1">
      <c r="A1535" t="n">
        <v>473</v>
      </c>
      <c r="B1535" t="inlineStr">
        <is>
          <t>Programas con planes de estudios definidos</t>
        </is>
      </c>
      <c r="C1535" t="inlineStr">
        <is>
          <t>Gestión, Evaluación e Innovación Curricular</t>
        </is>
      </c>
      <c r="D1535" t="inlineStr">
        <is>
          <t>Semestral</t>
        </is>
      </c>
      <c r="E1535" t="inlineStr">
        <is>
          <t>Positivo</t>
        </is>
      </c>
      <c r="F1535" s="108" t="n">
        <v>45838</v>
      </c>
      <c r="G1535" t="n">
        <v>2025</v>
      </c>
      <c r="H1535" t="inlineStr">
        <is>
          <t>Junio</t>
        </is>
      </c>
      <c r="I1535" t="inlineStr">
        <is>
          <t>2025-1</t>
        </is>
      </c>
      <c r="J1535" t="n">
        <v>100</v>
      </c>
      <c r="K1535" t="n">
        <v>100</v>
      </c>
      <c r="L1535" s="39">
        <f>IFERROR(IF(OR(J1535=0,K1535=""),"",IF(E1535="Positivo",MIN(MAX(K1535/J1535,0),1.0),MIN(MAX(J1535/K1535,0),1.0))),"") </f>
        <v/>
      </c>
      <c r="M1535" s="39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473-2025-06-30</t>
        </is>
      </c>
    </row>
    <row r="1536" hidden="1">
      <c r="A1536" t="n">
        <v>474</v>
      </c>
      <c r="B1536" t="inlineStr">
        <is>
          <t>Programas con planes de estudios definidos por escuela (Nuevos Programas)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08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39">
        <f>IFERROR(IF(OR(J1536=0,K1536=""),"",IF(E1536="Positivo",MIN(MAX(K1536/J1536,0),1.3),MIN(MAX(J1536/K1536,0),1.3))),"") </f>
        <v/>
      </c>
      <c r="M1536" s="3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474-2024-06-30</t>
        </is>
      </c>
    </row>
    <row r="1537" hidden="1">
      <c r="A1537" t="n">
        <v>474</v>
      </c>
      <c r="B1537" t="inlineStr">
        <is>
          <t>Programas con planes de estudios definidos por escuela (Nuevos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08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39">
        <f>IFERROR(IF(OR(J1537=0,K1537=""),"",IF(E1537="Positivo",MIN(MAX(K1537/J1537,0),1.3),MIN(MAX(J1537/K1537,0),1.3))),"") </f>
        <v/>
      </c>
      <c r="M1537" s="39">
        <f>IFERROR(IF(OR(J1537=0,K1537=""),"",IF(E1537="Positivo",MAX(K1537/J1537,0),MAX(J1537/K1537,0))),"") </f>
        <v/>
      </c>
      <c r="P1537" t="n">
        <v>0</v>
      </c>
      <c r="Q1537" t="n">
        <v>0</v>
      </c>
      <c r="R1537" t="inlineStr">
        <is>
          <t>474-2024-12-31</t>
        </is>
      </c>
    </row>
    <row r="1538" hidden="1">
      <c r="A1538" t="n">
        <v>474</v>
      </c>
      <c r="B1538" t="inlineStr">
        <is>
          <t>Programas con planes de estudios definidos por escuela (Nuevos Programas)</t>
        </is>
      </c>
      <c r="C1538" t="inlineStr">
        <is>
          <t>Gestión de Unidades Académicas</t>
        </is>
      </c>
      <c r="D1538" t="inlineStr">
        <is>
          <t>Trimestral</t>
        </is>
      </c>
      <c r="E1538" t="inlineStr">
        <is>
          <t>Positivo</t>
        </is>
      </c>
      <c r="F1538" s="108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K1538" t="n">
        <v>0</v>
      </c>
      <c r="L1538" s="39" t="n"/>
      <c r="M1538" s="39" t="n"/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474-2025-06-30</t>
        </is>
      </c>
    </row>
    <row r="1539" hidden="1">
      <c r="A1539" t="n">
        <v>475</v>
      </c>
      <c r="B1539" t="inlineStr">
        <is>
          <t>Número de renovaciones de registro calificado radicadas al MEN</t>
        </is>
      </c>
      <c r="C1539" t="inlineStr">
        <is>
          <t>Creación, modificación y cierre de programas académicos</t>
        </is>
      </c>
      <c r="D1539" t="inlineStr">
        <is>
          <t>Semestral</t>
        </is>
      </c>
      <c r="E1539" t="inlineStr">
        <is>
          <t>Positivo</t>
        </is>
      </c>
      <c r="F1539" s="108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100</v>
      </c>
      <c r="L1539" s="39" t="n"/>
      <c r="M1539" s="39" t="n"/>
      <c r="P1539" t="n">
        <v>0</v>
      </c>
      <c r="Q1539" t="n">
        <v>0</v>
      </c>
      <c r="R1539" t="inlineStr">
        <is>
          <t>475-2024-06-30</t>
        </is>
      </c>
      <c r="S1539" t="inlineStr">
        <is>
          <t>No Aplica</t>
        </is>
      </c>
    </row>
    <row r="1540" hidden="1">
      <c r="A1540" t="n">
        <v>475</v>
      </c>
      <c r="B1540" t="inlineStr">
        <is>
          <t>Número de renovaciones de registro calificado radicadas al MEN</t>
        </is>
      </c>
      <c r="C1540" t="inlineStr">
        <is>
          <t>Creación, modificación y cierre de programas académicos</t>
        </is>
      </c>
      <c r="D1540" t="inlineStr">
        <is>
          <t>Semestral</t>
        </is>
      </c>
      <c r="E1540" t="inlineStr">
        <is>
          <t>Positivo</t>
        </is>
      </c>
      <c r="F1540" s="108" t="n">
        <v>45657</v>
      </c>
      <c r="G1540" t="n">
        <v>2024</v>
      </c>
      <c r="H1540" t="inlineStr">
        <is>
          <t>Diciembre</t>
        </is>
      </c>
      <c r="I1540" t="inlineStr">
        <is>
          <t>2024-2</t>
        </is>
      </c>
      <c r="J1540" t="n">
        <v>100</v>
      </c>
      <c r="K1540" t="n">
        <v>140</v>
      </c>
      <c r="L1540" s="39">
        <f>IFERROR(IF(OR(J1540=0,K1540=""),"",IF(E1540="Positivo",MIN(MAX(K1540/J1540,0),1.3),MIN(MAX(J1540/K1540,0),1.3))),"") </f>
        <v/>
      </c>
      <c r="M1540" s="39">
        <f>IFERROR(IF(OR(J1540=0,K1540=""),"",IF(E1540="Positivo",MAX(K1540/J1540,0),MAX(J1540/K1540,0))),"") </f>
        <v/>
      </c>
      <c r="N1540" t="inlineStr">
        <is>
          <t>ENT</t>
        </is>
      </c>
      <c r="O1540" t="inlineStr">
        <is>
          <t>ENT</t>
        </is>
      </c>
      <c r="P1540" t="n">
        <v>0</v>
      </c>
      <c r="Q1540" t="n">
        <v>0</v>
      </c>
      <c r="R1540" t="inlineStr">
        <is>
          <t>475-2024-12-31</t>
        </is>
      </c>
    </row>
    <row r="1541" hidden="1">
      <c r="A1541" t="n">
        <v>475</v>
      </c>
      <c r="B1541" t="inlineStr">
        <is>
          <t>Número de renovaciones de registro calificado radicadas al MEN</t>
        </is>
      </c>
      <c r="C1541" t="inlineStr">
        <is>
          <t>Creación, modificación y cierre de programas académicos</t>
        </is>
      </c>
      <c r="D1541" t="inlineStr">
        <is>
          <t>Trimestral</t>
        </is>
      </c>
      <c r="E1541" t="inlineStr">
        <is>
          <t>Positivo</t>
        </is>
      </c>
      <c r="F1541" s="108" t="n">
        <v>46022</v>
      </c>
      <c r="G1541" t="n">
        <v>2025</v>
      </c>
      <c r="H1541" t="inlineStr">
        <is>
          <t>Diciembre</t>
        </is>
      </c>
      <c r="I1541" t="inlineStr">
        <is>
          <t>2025-2</t>
        </is>
      </c>
      <c r="J1541" t="n">
        <v>100</v>
      </c>
      <c r="K1541" t="n">
        <v>100</v>
      </c>
      <c r="L1541" s="39">
        <f>IFERROR(IF(OR(J1541=0,K1541=""),"",IF(E1541="Positivo",MIN(MAX(K1541/J1541,0),1.3),MIN(MAX(J1541/K1541,0),1.3))),"") </f>
        <v/>
      </c>
      <c r="M1541" s="39">
        <f>IFERROR(IF(OR(J1541=0,K1541=""),"",IF(E1541="Positivo",MAX(K1541/J1541,0),MAX(J1541/K1541,0))),"") </f>
        <v/>
      </c>
      <c r="N1541" t="inlineStr">
        <is>
          <t>ENT</t>
        </is>
      </c>
      <c r="O1541" t="inlineStr">
        <is>
          <t>ENT</t>
        </is>
      </c>
      <c r="P1541" t="n">
        <v>0</v>
      </c>
      <c r="Q1541" t="n">
        <v>0</v>
      </c>
      <c r="R1541" t="inlineStr">
        <is>
          <t>475-2025-12-31</t>
        </is>
      </c>
    </row>
    <row r="1542" hidden="1">
      <c r="A1542" t="n">
        <v>476</v>
      </c>
      <c r="B1542" t="inlineStr">
        <is>
          <t>Programas con resultados de aprendizaje definidos</t>
        </is>
      </c>
      <c r="C1542" t="inlineStr">
        <is>
          <t>Gestión, Evaluación e Innovación Curricular</t>
        </is>
      </c>
      <c r="D1542" t="inlineStr">
        <is>
          <t>Semestral</t>
        </is>
      </c>
      <c r="E1542" t="inlineStr">
        <is>
          <t>Positivo</t>
        </is>
      </c>
      <c r="F1542" s="108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>
        <f>IFERROR(IF(OR(J1542=0,K1542=""),"",IF(E1542="Positivo",MIN(MAX(K1542/J1542,0),1.3),MIN(MAX(J1542/K1542,0),1.3))),"") </f>
        <v/>
      </c>
      <c r="M1542" s="39">
        <f>IFERROR(IF(OR(J1542=0,K1542=""),"",IF(E1542="Positivo",MAX(K1542/J1542,0),MAX(J1542/K1542,0))),"") </f>
        <v/>
      </c>
      <c r="P1542" t="n">
        <v>0</v>
      </c>
      <c r="Q1542" t="n">
        <v>0</v>
      </c>
      <c r="R1542" t="inlineStr">
        <is>
          <t>476-2024-06-30</t>
        </is>
      </c>
    </row>
    <row r="1543" hidden="1">
      <c r="A1543" t="n">
        <v>476</v>
      </c>
      <c r="B1543" t="inlineStr">
        <is>
          <t>Programas con resultados de aprendizaje definidos</t>
        </is>
      </c>
      <c r="C1543" t="inlineStr">
        <is>
          <t>Gestión, Evaluación e Innovación Curricular</t>
        </is>
      </c>
      <c r="D1543" t="inlineStr">
        <is>
          <t>Semestral</t>
        </is>
      </c>
      <c r="E1543" t="inlineStr">
        <is>
          <t>Positivo</t>
        </is>
      </c>
      <c r="F1543" s="108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>
        <f>IFERROR(IF(OR(J1543=0,K1543=""),"",IF(E1543="Positivo",MIN(MAX(K1543/J1543,0),1.3),MIN(MAX(J1543/K1543,0),1.3))),"") </f>
        <v/>
      </c>
      <c r="M1543" s="3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476-2024-12-31</t>
        </is>
      </c>
    </row>
    <row r="1544" hidden="1">
      <c r="A1544" t="n">
        <v>476</v>
      </c>
      <c r="B1544" t="inlineStr">
        <is>
          <t>Programas con resultados de aprendizaje definidos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08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J1544" t="n">
        <v>100</v>
      </c>
      <c r="K1544" t="n">
        <v>100</v>
      </c>
      <c r="L1544" s="39">
        <f>IFERROR(IF(OR(J1544=0,K1544=""),"",IF(E1544="Positivo",MIN(MAX(K1544/J1544,0),1.3),MIN(MAX(J1544/K1544,0),1.3))),"") </f>
        <v/>
      </c>
      <c r="M1544" s="39">
        <f>IFERROR(IF(OR(J1544=0,K1544=""),"",IF(E1544="Positivo",MAX(K1544/J1544,0),MAX(J1544/K1544,0))),"") </f>
        <v/>
      </c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476-2025-06-30</t>
        </is>
      </c>
    </row>
    <row r="1545" hidden="1">
      <c r="A1545" t="n">
        <v>476</v>
      </c>
      <c r="B1545" t="inlineStr">
        <is>
          <t>Programas con resultados de aprendizaje definidos</t>
        </is>
      </c>
      <c r="C1545" t="inlineStr">
        <is>
          <t>Gestión, Evaluación e Innovación Curricular</t>
        </is>
      </c>
      <c r="D1545" t="inlineStr">
        <is>
          <t>Trimestral</t>
        </is>
      </c>
      <c r="E1545" t="inlineStr">
        <is>
          <t>Positivo</t>
        </is>
      </c>
      <c r="F1545" s="108" t="n">
        <v>46022</v>
      </c>
      <c r="G1545" t="n">
        <v>2025</v>
      </c>
      <c r="H1545" t="inlineStr">
        <is>
          <t>Diciembre</t>
        </is>
      </c>
      <c r="I1545" t="inlineStr">
        <is>
          <t>2025-2</t>
        </is>
      </c>
      <c r="J1545" t="n">
        <v>100</v>
      </c>
      <c r="K1545" t="n">
        <v>100</v>
      </c>
      <c r="L1545" s="39">
        <f>IFERROR(IF(OR(J1545=0,K1545=""),"",IF(E1545="Positivo",MIN(MAX(K1545/J1545,0),1.3),MIN(MAX(J1545/K1545,0),1.3))),"") </f>
        <v/>
      </c>
      <c r="M1545" s="39">
        <f>IFERROR(IF(OR(J1545=0,K1545=""),"",IF(E1545="Positivo",MAX(K1545/J1545,0),MAX(J1545/K1545,0))),"") </f>
        <v/>
      </c>
      <c r="N1545" t="inlineStr">
        <is>
          <t>ENT</t>
        </is>
      </c>
      <c r="O1545" t="inlineStr">
        <is>
          <t>ENT</t>
        </is>
      </c>
      <c r="P1545" t="n">
        <v>0</v>
      </c>
      <c r="Q1545" t="n">
        <v>0</v>
      </c>
      <c r="R1545" t="inlineStr">
        <is>
          <t>476-2025-12-31</t>
        </is>
      </c>
    </row>
    <row r="1546" hidden="1">
      <c r="A1546" t="n">
        <v>477</v>
      </c>
      <c r="B1546" t="inlineStr">
        <is>
          <t>Programas con planes de estudios definidos por escuela (Programas Renovación, modificación y acreditación)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08" t="n">
        <v>45473</v>
      </c>
      <c r="G1546" t="n">
        <v>2024</v>
      </c>
      <c r="H1546" t="inlineStr">
        <is>
          <t>Junio</t>
        </is>
      </c>
      <c r="I1546" t="inlineStr">
        <is>
          <t>2024-1</t>
        </is>
      </c>
      <c r="J1546" t="n">
        <v>100</v>
      </c>
      <c r="K1546" t="n">
        <v>100</v>
      </c>
      <c r="L1546" s="39">
        <f>IFERROR(IF(OR(J1546=0,K1546=""),"",IF(E1546="Positivo",MIN(MAX(K1546/J1546,0),1.3),MIN(MAX(J1546/K1546,0),1.3))),"") </f>
        <v/>
      </c>
      <c r="M1546" s="39">
        <f>IFERROR(IF(OR(J1546=0,K1546=""),"",IF(E1546="Positivo",MAX(K1546/J1546,0),MAX(J1546/K1546,0))),"") </f>
        <v/>
      </c>
      <c r="P1546" t="n">
        <v>0</v>
      </c>
      <c r="Q1546" t="n">
        <v>0</v>
      </c>
      <c r="R1546" t="inlineStr">
        <is>
          <t>477-2024-06-30</t>
        </is>
      </c>
    </row>
    <row r="1547" hidden="1">
      <c r="A1547" t="n">
        <v>477</v>
      </c>
      <c r="B1547" t="inlineStr">
        <is>
          <t>Programas con planes de estudios definidos por escuela (Programas Renovación, modificación y acreditación)</t>
        </is>
      </c>
      <c r="C1547" t="inlineStr">
        <is>
          <t>Gestión de Unidades Académicas</t>
        </is>
      </c>
      <c r="D1547" t="inlineStr">
        <is>
          <t>Semestral</t>
        </is>
      </c>
      <c r="E1547" t="inlineStr">
        <is>
          <t>Positivo</t>
        </is>
      </c>
      <c r="F1547" s="108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100</v>
      </c>
      <c r="K1547" t="n">
        <v>100</v>
      </c>
      <c r="L1547" s="39">
        <f>IFERROR(IF(OR(J1547=0,K1547=""),"",IF(E1547="Positivo",MIN(MAX(K1547/J1547,0),1.3),MIN(MAX(J1547/K1547,0),1.3))),"") </f>
        <v/>
      </c>
      <c r="M1547" s="3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477-2024-12-31</t>
        </is>
      </c>
    </row>
    <row r="1548" hidden="1">
      <c r="A1548" t="n">
        <v>478</v>
      </c>
      <c r="B1548" t="inlineStr">
        <is>
          <t>Programas con planes de estudios definidos por escuela (Mantenimiento de programas)</t>
        </is>
      </c>
      <c r="C1548" t="inlineStr">
        <is>
          <t>Gestión de Unidades Académicas</t>
        </is>
      </c>
      <c r="D1548" t="inlineStr">
        <is>
          <t>Semestral</t>
        </is>
      </c>
      <c r="E1548" t="inlineStr">
        <is>
          <t>Positivo</t>
        </is>
      </c>
      <c r="F1548" s="108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100</v>
      </c>
      <c r="L1548" s="39" t="n"/>
      <c r="M1548" s="39" t="n"/>
      <c r="N1548" t="inlineStr">
        <is>
          <t>ENT</t>
        </is>
      </c>
      <c r="O1548" t="inlineStr">
        <is>
          <t>N/A</t>
        </is>
      </c>
      <c r="P1548" t="n">
        <v>0</v>
      </c>
      <c r="Q1548" t="n">
        <v>0</v>
      </c>
      <c r="R1548" t="inlineStr">
        <is>
          <t>478-2024-06-30</t>
        </is>
      </c>
    </row>
    <row r="1549" hidden="1">
      <c r="A1549" t="n">
        <v>478</v>
      </c>
      <c r="B1549" t="inlineStr">
        <is>
          <t>Programas con planes de estudios definidos por escuela (Mantenimiento de programas)</t>
        </is>
      </c>
      <c r="C1549" t="inlineStr">
        <is>
          <t>Gestión de Unidades Académicas</t>
        </is>
      </c>
      <c r="D1549" t="inlineStr">
        <is>
          <t>Semestral</t>
        </is>
      </c>
      <c r="E1549" t="inlineStr">
        <is>
          <t>Positivo</t>
        </is>
      </c>
      <c r="F1549" s="108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100</v>
      </c>
      <c r="K1549" t="n">
        <v>100</v>
      </c>
      <c r="L1549" s="39">
        <f>IFERROR(IF(OR(J1549=0,K1549=""),"",IF(E1549="Positivo",MIN(MAX(K1549/J1549,0),1.3),MIN(MAX(J1549/K1549,0),1.3))),"") </f>
        <v/>
      </c>
      <c r="M1549" s="39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478-2024-12-31</t>
        </is>
      </c>
    </row>
    <row r="1550" hidden="1">
      <c r="A1550" t="n">
        <v>478</v>
      </c>
      <c r="B1550" t="inlineStr">
        <is>
          <t>Programas con planes de estudios definidos por escuela (Mantenimiento de programas)</t>
        </is>
      </c>
      <c r="C1550" t="inlineStr">
        <is>
          <t>Gestión de Unidades Académicas</t>
        </is>
      </c>
      <c r="D1550" t="inlineStr">
        <is>
          <t>Trimestral</t>
        </is>
      </c>
      <c r="E1550" t="inlineStr">
        <is>
          <t>Positivo</t>
        </is>
      </c>
      <c r="F1550" s="108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K1550" t="n">
        <v>0</v>
      </c>
      <c r="L1550" s="39" t="n"/>
      <c r="M1550" s="39" t="n"/>
      <c r="N1550" t="inlineStr">
        <is>
          <t>ENT</t>
        </is>
      </c>
      <c r="O1550" t="inlineStr">
        <is>
          <t>ENT</t>
        </is>
      </c>
      <c r="P1550" t="n">
        <v>0</v>
      </c>
      <c r="Q1550" t="n">
        <v>0</v>
      </c>
      <c r="R1550" t="inlineStr">
        <is>
          <t>478-2025-06-30</t>
        </is>
      </c>
    </row>
    <row r="1551" hidden="1">
      <c r="A1551" t="n">
        <v>479</v>
      </c>
      <c r="B1551" t="inlineStr">
        <is>
          <t>Programas con resultados de aprendizaje definidos por escuela (Nuevos Programas)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08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K1551" t="n">
        <v>100</v>
      </c>
      <c r="L1551" s="39">
        <f>IFERROR(IF(OR(J1551=0,K1551=""),"",IF(E1551="Positivo",MIN(MAX(K1551/J1551,0),1.3),MIN(MAX(J1551/K1551,0),1.3))),"") </f>
        <v/>
      </c>
      <c r="M1551" s="39">
        <f>IFERROR(IF(OR(J1551=0,K1551=""),"",IF(E1551="Positivo",MAX(K1551/J1551,0),MAX(J1551/K1551,0))),"") </f>
        <v/>
      </c>
      <c r="P1551" t="n">
        <v>0</v>
      </c>
      <c r="Q1551" t="n">
        <v>0</v>
      </c>
      <c r="R1551" t="inlineStr">
        <is>
          <t>479-2024-06-30</t>
        </is>
      </c>
    </row>
    <row r="1552" hidden="1">
      <c r="A1552" t="n">
        <v>479</v>
      </c>
      <c r="B1552" t="inlineStr">
        <is>
          <t>Programas con resultados de aprendizaje definidos por escuela (Nuevos Programas)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08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39">
        <f>IFERROR(IF(OR(J1552=0,K1552=""),"",IF(E1552="Positivo",MIN(MAX(K1552/J1552,0),1.3),MIN(MAX(J1552/K1552,0),1.3))),"") </f>
        <v/>
      </c>
      <c r="M1552" s="39">
        <f>IFERROR(IF(OR(J1552=0,K1552=""),"",IF(E1552="Positivo",MAX(K1552/J1552,0),MAX(J1552/K1552,0))),"") </f>
        <v/>
      </c>
      <c r="P1552" t="n">
        <v>0</v>
      </c>
      <c r="Q1552" t="n">
        <v>0</v>
      </c>
      <c r="R1552" t="inlineStr">
        <is>
          <t>479-2024-12-31</t>
        </is>
      </c>
    </row>
    <row r="1553" hidden="1">
      <c r="A1553" t="n">
        <v>480</v>
      </c>
      <c r="B1553" t="inlineStr">
        <is>
          <t>Programas con resultados de aprendizaje definidos por escuela (Programas Renovación, modificación y acreditación)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08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100</v>
      </c>
      <c r="K1553" t="n">
        <v>100</v>
      </c>
      <c r="L1553" s="39">
        <f>IFERROR(IF(OR(J1553=0,K1553=""),"",IF(E1553="Positivo",MIN(MAX(K1553/J1553,0),1.3),MIN(MAX(J1553/K1553,0),1.3))),"") </f>
        <v/>
      </c>
      <c r="M1553" s="39">
        <f>IFERROR(IF(OR(J1553=0,K1553=""),"",IF(E1553="Positivo",MAX(K1553/J1553,0),MAX(J1553/K1553,0))),"") </f>
        <v/>
      </c>
      <c r="P1553" t="n">
        <v>0</v>
      </c>
      <c r="Q1553" t="n">
        <v>0</v>
      </c>
      <c r="R1553" t="inlineStr">
        <is>
          <t>480-2024-06-30</t>
        </is>
      </c>
    </row>
    <row r="1554" hidden="1">
      <c r="A1554" t="n">
        <v>480</v>
      </c>
      <c r="B1554" t="inlineStr">
        <is>
          <t>Programas con resultados de aprendizaje definidos por escuela (Programas Renovación, modificación y acreditación)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08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100</v>
      </c>
      <c r="K1554" t="n">
        <v>100</v>
      </c>
      <c r="L1554" s="39">
        <f>IFERROR(IF(OR(J1554=0,K1554=""),"",IF(E1554="Positivo",MIN(MAX(K1554/J1554,0),1.3),MIN(MAX(J1554/K1554,0),1.3))),"") </f>
        <v/>
      </c>
      <c r="M1554" s="39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480-2024-12-31</t>
        </is>
      </c>
    </row>
    <row r="1555" hidden="1">
      <c r="A1555" t="n">
        <v>481</v>
      </c>
      <c r="B1555" t="inlineStr">
        <is>
          <t>Solicitudes de documentación completadas</t>
        </is>
      </c>
      <c r="C1555" t="inlineStr">
        <is>
          <t>Gestión, Evaluación e Innovación Curricular</t>
        </is>
      </c>
      <c r="D1555" t="inlineStr">
        <is>
          <t>Semestral</t>
        </is>
      </c>
      <c r="E1555" t="inlineStr">
        <is>
          <t>Positivo</t>
        </is>
      </c>
      <c r="F1555" s="108" t="n">
        <v>45473</v>
      </c>
      <c r="G1555" t="n">
        <v>2024</v>
      </c>
      <c r="H1555" t="inlineStr">
        <is>
          <t>Junio</t>
        </is>
      </c>
      <c r="I1555" t="inlineStr">
        <is>
          <t>2024-1</t>
        </is>
      </c>
      <c r="J1555" t="n">
        <v>100</v>
      </c>
      <c r="K1555" t="n">
        <v>100</v>
      </c>
      <c r="L1555" s="39">
        <f>IFERROR(IF(OR(J1555=0,K1555=""),"",IF(E1555="Positivo",MIN(MAX(K1555/J1555,0),1.3),MIN(MAX(J1555/K1555,0),1.3))),"") </f>
        <v/>
      </c>
      <c r="M1555" s="39">
        <f>IFERROR(IF(OR(J1555=0,K1555=""),"",IF(E1555="Positivo",MAX(K1555/J1555,0),MAX(J1555/K1555,0))),"") </f>
        <v/>
      </c>
      <c r="P1555" t="n">
        <v>0</v>
      </c>
      <c r="Q1555" t="n">
        <v>0</v>
      </c>
      <c r="R1555" t="inlineStr">
        <is>
          <t>481-2024-06-30</t>
        </is>
      </c>
    </row>
    <row r="1556" hidden="1">
      <c r="A1556" t="n">
        <v>481</v>
      </c>
      <c r="B1556" t="inlineStr">
        <is>
          <t>Solicitudes de documentación completadas</t>
        </is>
      </c>
      <c r="C1556" t="inlineStr">
        <is>
          <t>Gestión, Evaluación e Innovación Curricular</t>
        </is>
      </c>
      <c r="D1556" t="inlineStr">
        <is>
          <t>Semestral</t>
        </is>
      </c>
      <c r="E1556" t="inlineStr">
        <is>
          <t>Positivo</t>
        </is>
      </c>
      <c r="F1556" s="108" t="n">
        <v>45657</v>
      </c>
      <c r="G1556" t="n">
        <v>2024</v>
      </c>
      <c r="H1556" t="inlineStr">
        <is>
          <t>Diciembre</t>
        </is>
      </c>
      <c r="I1556" t="inlineStr">
        <is>
          <t>2024-2</t>
        </is>
      </c>
      <c r="J1556" t="n">
        <v>100</v>
      </c>
      <c r="L1556" s="39" t="n"/>
      <c r="M1556" s="39" t="n"/>
      <c r="N1556" t="inlineStr">
        <is>
          <t>ENT</t>
        </is>
      </c>
      <c r="O1556" t="inlineStr">
        <is>
          <t>N/A</t>
        </is>
      </c>
      <c r="P1556" t="n">
        <v>0</v>
      </c>
      <c r="Q1556" t="n">
        <v>0</v>
      </c>
      <c r="R1556" t="inlineStr">
        <is>
          <t>481-2024-12-31</t>
        </is>
      </c>
    </row>
    <row r="1557" hidden="1">
      <c r="A1557" t="n">
        <v>481</v>
      </c>
      <c r="B1557" t="inlineStr">
        <is>
          <t>Solicitudes de documentación completadas</t>
        </is>
      </c>
      <c r="C1557" t="inlineStr">
        <is>
          <t>Gestión, Evaluación e Innovación Curricular</t>
        </is>
      </c>
      <c r="D1557" t="inlineStr">
        <is>
          <t>Trimestral</t>
        </is>
      </c>
      <c r="E1557" t="inlineStr">
        <is>
          <t>Positivo</t>
        </is>
      </c>
      <c r="F1557" s="108" t="n">
        <v>45838</v>
      </c>
      <c r="G1557" t="n">
        <v>2025</v>
      </c>
      <c r="H1557" t="inlineStr">
        <is>
          <t>Junio</t>
        </is>
      </c>
      <c r="I1557" t="inlineStr">
        <is>
          <t>2025-1</t>
        </is>
      </c>
      <c r="J1557" t="n">
        <v>100</v>
      </c>
      <c r="K1557" t="n">
        <v>100</v>
      </c>
      <c r="L1557" s="39">
        <f>IFERROR(IF(OR(J1557=0,K1557=""),"",IF(E1557="Positivo",MIN(MAX(K1557/J1557,0),1.3),MIN(MAX(J1557/K1557,0),1.3))),"") </f>
        <v/>
      </c>
      <c r="M1557" s="39">
        <f>IFERROR(IF(OR(J1557=0,K1557=""),"",IF(E1557="Positivo",MAX(K1557/J1557,0),MAX(J1557/K1557,0))),"") </f>
        <v/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481-2025-06-30</t>
        </is>
      </c>
    </row>
    <row r="1558" hidden="1">
      <c r="A1558" t="n">
        <v>483</v>
      </c>
      <c r="B1558" t="inlineStr">
        <is>
          <t>Tasa de incremento en la resolución de solicitudes de la vicerrectoría de crecimiento</t>
        </is>
      </c>
      <c r="C1558" t="inlineStr">
        <is>
          <t>Gestión de campañas integradas de marketing</t>
        </is>
      </c>
      <c r="D1558" t="inlineStr">
        <is>
          <t>Anual</t>
        </is>
      </c>
      <c r="E1558" t="inlineStr">
        <is>
          <t>Positivo</t>
        </is>
      </c>
      <c r="F1558" s="108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10</v>
      </c>
      <c r="K1558" t="n">
        <v>91.65000000000001</v>
      </c>
      <c r="L1558" s="39">
        <f>IFERROR(IF(OR(J1558=0,K1558=""),"",IF(E1558="Positivo",MIN(MAX(K1558/J1558,0),1.3),MIN(MAX(J1558/K1558,0),1.3))),"") </f>
        <v/>
      </c>
      <c r="M1558" s="39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483-2024-12-31</t>
        </is>
      </c>
    </row>
    <row r="1559" hidden="1">
      <c r="A1559" t="n">
        <v>484</v>
      </c>
      <c r="B1559" t="inlineStr">
        <is>
          <t>Cumplimiento del Programa de la Cultura del Autocuidado</t>
        </is>
      </c>
      <c r="C1559" t="inlineStr">
        <is>
          <t>GESTIÓN DE SEGURIDAD Y SALUD EN EL TRABAJO</t>
        </is>
      </c>
      <c r="D1559" t="inlineStr">
        <is>
          <t>Trimestral</t>
        </is>
      </c>
      <c r="E1559" t="inlineStr">
        <is>
          <t>Positivo</t>
        </is>
      </c>
      <c r="F1559" s="108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90</v>
      </c>
      <c r="K1559" t="n">
        <v>100</v>
      </c>
      <c r="L1559" s="39">
        <f>IFERROR(IF(OR(J1559=0,K1559=""),"",IF(E1559="Positivo",MIN(MAX(K1559/J1559,0),1.3),MIN(MAX(J1559/K1559,0),1.3))),"") </f>
        <v/>
      </c>
      <c r="M1559" s="39">
        <f>IFERROR(IF(OR(J1559=0,K1559=""),"",IF(E1559="Positivo",MAX(K1559/J1559,0),MAX(J1559/K1559,0))),"") </f>
        <v/>
      </c>
      <c r="P1559" t="n">
        <v>0</v>
      </c>
      <c r="Q1559" t="n">
        <v>0</v>
      </c>
      <c r="R1559" t="inlineStr">
        <is>
          <t>484-2024-06-30</t>
        </is>
      </c>
    </row>
    <row r="1560" hidden="1">
      <c r="A1560" t="n">
        <v>484</v>
      </c>
      <c r="B1560" t="inlineStr">
        <is>
          <t>Cumplimiento del Programa de la Cultura del Autocuidado</t>
        </is>
      </c>
      <c r="C1560" t="inlineStr">
        <is>
          <t>GESTIÓN DE SEGURIDAD Y SALUD EN EL TRABAJO</t>
        </is>
      </c>
      <c r="D1560" t="inlineStr">
        <is>
          <t>Trimestral</t>
        </is>
      </c>
      <c r="E1560" t="inlineStr">
        <is>
          <t>Positivo</t>
        </is>
      </c>
      <c r="F1560" s="108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90</v>
      </c>
      <c r="K1560" t="n">
        <v>100</v>
      </c>
      <c r="L1560" s="39">
        <f>IFERROR(IF(OR(J1560=0,K1560=""),"",IF(E1560="Positivo",MIN(MAX(K1560/J1560,0),1.3),MIN(MAX(J1560/K1560,0),1.3))),"") </f>
        <v/>
      </c>
      <c r="M1560" s="3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484-2024-12-31</t>
        </is>
      </c>
    </row>
    <row r="1561" hidden="1">
      <c r="A1561" t="n">
        <v>484</v>
      </c>
      <c r="B1561" t="inlineStr">
        <is>
          <t>Cumplimiento del Programa de la Cultura del Autocuidado</t>
        </is>
      </c>
      <c r="C1561" t="inlineStr">
        <is>
          <t>GESTIÓN DE SEGURIDAD Y SALUD EN EL TRABAJO</t>
        </is>
      </c>
      <c r="D1561" t="inlineStr">
        <is>
          <t>Trimestral</t>
        </is>
      </c>
      <c r="E1561" t="inlineStr">
        <is>
          <t>Positivo</t>
        </is>
      </c>
      <c r="F1561" s="108" t="n">
        <v>45838</v>
      </c>
      <c r="G1561" t="n">
        <v>2025</v>
      </c>
      <c r="H1561" t="inlineStr">
        <is>
          <t>Junio</t>
        </is>
      </c>
      <c r="I1561" t="inlineStr">
        <is>
          <t>2025-1</t>
        </is>
      </c>
      <c r="J1561" t="n">
        <v>90</v>
      </c>
      <c r="K1561" t="n">
        <v>100</v>
      </c>
      <c r="L1561" s="39">
        <f>IFERROR(IF(OR(J1561=0,K1561=""),"",IF(E1561="Positivo",MIN(MAX(K1561/J1561,0),1.3),MIN(MAX(J1561/K1561,0),1.3))),"") </f>
        <v/>
      </c>
      <c r="M1561" s="39">
        <f>IFERROR(IF(OR(J1561=0,K1561=""),"",IF(E1561="Positivo",MAX(K1561/J1561,0),MAX(J1561/K1561,0))),"") </f>
        <v/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484-2025-06-30</t>
        </is>
      </c>
    </row>
    <row r="1562" hidden="1">
      <c r="A1562" t="n">
        <v>484</v>
      </c>
      <c r="B1562" t="inlineStr">
        <is>
          <t>Cumplimiento del Programa de la Cultura del Autocuidado</t>
        </is>
      </c>
      <c r="C1562" t="inlineStr">
        <is>
          <t>GESTIÓN DE SEGURIDAD Y SALUD EN EL TRABAJO</t>
        </is>
      </c>
      <c r="D1562" t="inlineStr">
        <is>
          <t>Semestral</t>
        </is>
      </c>
      <c r="E1562" t="inlineStr">
        <is>
          <t>Positivo</t>
        </is>
      </c>
      <c r="F1562" s="108" t="n">
        <v>46022</v>
      </c>
      <c r="G1562" t="n">
        <v>2025</v>
      </c>
      <c r="H1562" t="inlineStr">
        <is>
          <t>Diciembre</t>
        </is>
      </c>
      <c r="I1562" t="inlineStr">
        <is>
          <t>2025-2</t>
        </is>
      </c>
      <c r="J1562" t="n">
        <v>90</v>
      </c>
      <c r="K1562" t="n">
        <v>100</v>
      </c>
      <c r="L1562" s="39">
        <f>IFERROR(IF(OR(J1562=0,K1562=""),"",IF(E1562="Positivo",MIN(MAX(K1562/J1562,0),1.3),MIN(MAX(J1562/K1562,0),1.3))),"") </f>
        <v/>
      </c>
      <c r="M1562" s="39">
        <f>IFERROR(IF(OR(J1562=0,K1562=""),"",IF(E1562="Positivo",MAX(K1562/J1562,0),MAX(J1562/K1562,0))),"") </f>
        <v/>
      </c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484-2025-12-31</t>
        </is>
      </c>
    </row>
    <row r="1563" hidden="1">
      <c r="A1563" t="n">
        <v>485</v>
      </c>
      <c r="B1563" t="inlineStr">
        <is>
          <t>Oportunidad en el cierre de acciones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08" t="n">
        <v>45473</v>
      </c>
      <c r="G1563" t="n">
        <v>2024</v>
      </c>
      <c r="H1563" t="inlineStr">
        <is>
          <t>Junio</t>
        </is>
      </c>
      <c r="I1563" t="inlineStr">
        <is>
          <t>2024-1</t>
        </is>
      </c>
      <c r="L1563" s="39" t="n"/>
      <c r="M1563" s="39" t="n"/>
      <c r="P1563" t="n">
        <v>0</v>
      </c>
      <c r="Q1563" t="n">
        <v>0</v>
      </c>
      <c r="R1563" t="inlineStr">
        <is>
          <t>485-2024-06-30</t>
        </is>
      </c>
    </row>
    <row r="1564" hidden="1">
      <c r="A1564" t="n">
        <v>485</v>
      </c>
      <c r="B1564" t="inlineStr">
        <is>
          <t>Oportunidad en el cierre de acciones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08" t="n">
        <v>45657</v>
      </c>
      <c r="G1564" t="n">
        <v>2024</v>
      </c>
      <c r="H1564" t="inlineStr">
        <is>
          <t>Diciembre</t>
        </is>
      </c>
      <c r="I1564" t="inlineStr">
        <is>
          <t>2024-2</t>
        </is>
      </c>
      <c r="J1564" t="n">
        <v>80</v>
      </c>
      <c r="K1564" t="n">
        <v>91.66666666666666</v>
      </c>
      <c r="L1564" s="39">
        <f>IFERROR(IF(OR(J1564=0,K1564=""),"",IF(E1564="Positivo",MIN(MAX(K1564/J1564,0),1.3),MIN(MAX(J1564/K1564,0),1.3))),"") </f>
        <v/>
      </c>
      <c r="M1564" s="39">
        <f>IFERROR(IF(OR(J1564=0,K1564=""),"",IF(E1564="Positivo",MAX(K1564/J1564,0),MAX(J1564/K1564,0))),"") </f>
        <v/>
      </c>
      <c r="P1564" t="n">
        <v>0</v>
      </c>
      <c r="Q1564" t="n">
        <v>0</v>
      </c>
      <c r="R1564" t="inlineStr">
        <is>
          <t>485-2024-12-31</t>
        </is>
      </c>
    </row>
    <row r="1565" hidden="1">
      <c r="A1565" t="n">
        <v>485</v>
      </c>
      <c r="B1565" t="inlineStr">
        <is>
          <t>Oportunidad en el cierre de acciones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08" t="n">
        <v>45838</v>
      </c>
      <c r="G1565" t="n">
        <v>2025</v>
      </c>
      <c r="H1565" t="inlineStr">
        <is>
          <t>Junio</t>
        </is>
      </c>
      <c r="I1565" t="inlineStr">
        <is>
          <t>2025-1</t>
        </is>
      </c>
      <c r="J1565" t="n">
        <v>80</v>
      </c>
      <c r="K1565" t="n">
        <v>86.11166666666666</v>
      </c>
      <c r="L1565" s="39">
        <f>IFERROR(IF(OR(J1565=0,K1565=""),"",IF(E1565="Positivo",MIN(MAX(K1565/J1565,0),1.3),MIN(MAX(J1565/K1565,0),1.3))),"") </f>
        <v/>
      </c>
      <c r="M1565" s="39">
        <f>IFERROR(IF(OR(J1565=0,K1565=""),"",IF(E1565="Positivo",MAX(K1565/J1565,0),MAX(J1565/K1565,0))),"") </f>
        <v/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485-2025-06-30</t>
        </is>
      </c>
    </row>
    <row r="1566" hidden="1">
      <c r="A1566" t="n">
        <v>485</v>
      </c>
      <c r="B1566" t="inlineStr">
        <is>
          <t>Oportunidad en el cierre de acciones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08" t="n">
        <v>46022</v>
      </c>
      <c r="G1566" t="n">
        <v>2025</v>
      </c>
      <c r="H1566" t="inlineStr">
        <is>
          <t>Diciembre</t>
        </is>
      </c>
      <c r="I1566" t="inlineStr">
        <is>
          <t>2025-2</t>
        </is>
      </c>
      <c r="J1566" t="n">
        <v>80</v>
      </c>
      <c r="K1566" t="n">
        <v>72.976</v>
      </c>
      <c r="L1566" s="39">
        <f>IFERROR(IF(OR(J1566=0,K1566=""),"",IF(E1566="Positivo",MIN(MAX(K1566/J1566,0),1.3),MIN(MAX(J1566/K1566,0),1.3))),"") </f>
        <v/>
      </c>
      <c r="M1566" s="39">
        <f>IFERROR(IF(OR(J1566=0,K1566=""),"",IF(E1566="Positivo",MAX(K1566/J1566,0),MAX(J1566/K1566,0))),"") </f>
        <v/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485-2025-12-31</t>
        </is>
      </c>
    </row>
    <row r="1567" hidden="1">
      <c r="A1567" t="n">
        <v>486</v>
      </c>
      <c r="B1567" t="inlineStr">
        <is>
          <t>Número de visitas a la página web</t>
        </is>
      </c>
      <c r="C1567" t="inlineStr">
        <is>
          <t>Comunicaciones Internas</t>
        </is>
      </c>
      <c r="D1567" t="inlineStr">
        <is>
          <t>Semestral</t>
        </is>
      </c>
      <c r="E1567" t="inlineStr">
        <is>
          <t>Positivo</t>
        </is>
      </c>
      <c r="F1567" s="108" t="n">
        <v>45473</v>
      </c>
      <c r="G1567" t="n">
        <v>2024</v>
      </c>
      <c r="H1567" t="inlineStr">
        <is>
          <t>Junio</t>
        </is>
      </c>
      <c r="I1567" t="inlineStr">
        <is>
          <t>2024-1</t>
        </is>
      </c>
      <c r="J1567" t="n">
        <v>0</v>
      </c>
      <c r="K1567" t="n">
        <v>4900000</v>
      </c>
      <c r="L1567" s="39">
        <f>IFERROR(IF(OR(J1567=0,K1567=""),"",IF(E1567="Positivo",MIN(MAX(K1567/J1567,0),1.3),MIN(MAX(J1567/K1567,0),1.3))),"") </f>
        <v/>
      </c>
      <c r="M1567" s="39">
        <f>IFERROR(IF(OR(J1567=0,K1567=""),"",IF(E1567="Positivo",MAX(K1567/J1567,0),MAX(J1567/K1567,0))),"") </f>
        <v/>
      </c>
      <c r="P1567" t="n">
        <v>0</v>
      </c>
      <c r="Q1567" t="n">
        <v>0</v>
      </c>
      <c r="R1567" t="inlineStr">
        <is>
          <t>486-2024-06-30</t>
        </is>
      </c>
    </row>
    <row r="1568" hidden="1">
      <c r="A1568" t="n">
        <v>486</v>
      </c>
      <c r="B1568" t="inlineStr">
        <is>
          <t>Número de visitas a la página web</t>
        </is>
      </c>
      <c r="C1568" t="inlineStr">
        <is>
          <t>Comunicaciones Internas</t>
        </is>
      </c>
      <c r="D1568" t="inlineStr">
        <is>
          <t>Semestral</t>
        </is>
      </c>
      <c r="E1568" t="inlineStr">
        <is>
          <t>Positivo</t>
        </is>
      </c>
      <c r="F1568" s="108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0</v>
      </c>
      <c r="K1568" t="n">
        <v>2700000</v>
      </c>
      <c r="L1568" s="39">
        <f>IFERROR(IF(OR(J1568=0,K1568=""),"",IF(E1568="Positivo",MIN(MAX(K1568/J1568,0),1.3),MIN(MAX(J1568/K1568,0),1.3))),"") </f>
        <v/>
      </c>
      <c r="M1568" s="39">
        <f>IFERROR(IF(OR(J1568=0,K1568=""),"",IF(E1568="Positivo",MAX(K1568/J1568,0),MAX(J1568/K1568,0))),"") </f>
        <v/>
      </c>
      <c r="P1568" t="n">
        <v>0</v>
      </c>
      <c r="Q1568" t="n">
        <v>0</v>
      </c>
      <c r="R1568" t="inlineStr">
        <is>
          <t>486-2024-12-31</t>
        </is>
      </c>
    </row>
    <row r="1569" hidden="1">
      <c r="A1569" t="n">
        <v>486</v>
      </c>
      <c r="B1569" t="inlineStr">
        <is>
          <t>Número de visitas a la página web</t>
        </is>
      </c>
      <c r="C1569" t="inlineStr">
        <is>
          <t>Comunicaciones Internas</t>
        </is>
      </c>
      <c r="D1569" t="inlineStr">
        <is>
          <t>Trimestral</t>
        </is>
      </c>
      <c r="E1569" t="inlineStr">
        <is>
          <t>Positivo</t>
        </is>
      </c>
      <c r="F1569" s="108" t="n">
        <v>45838</v>
      </c>
      <c r="G1569" t="n">
        <v>2025</v>
      </c>
      <c r="H1569" t="inlineStr">
        <is>
          <t>Junio</t>
        </is>
      </c>
      <c r="I1569" t="inlineStr">
        <is>
          <t>2025-1</t>
        </is>
      </c>
      <c r="K1569" t="n">
        <v>2890610</v>
      </c>
      <c r="L1569" s="39" t="n"/>
      <c r="M1569" s="39" t="n"/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486-2025-06-30</t>
        </is>
      </c>
    </row>
    <row r="1570" hidden="1">
      <c r="A1570" t="n">
        <v>486</v>
      </c>
      <c r="B1570" t="inlineStr">
        <is>
          <t>Número de visitas a la página web</t>
        </is>
      </c>
      <c r="C1570" t="inlineStr">
        <is>
          <t>Comunicaciones Internas</t>
        </is>
      </c>
      <c r="D1570" t="inlineStr">
        <is>
          <t>Trimestral</t>
        </is>
      </c>
      <c r="E1570" t="inlineStr">
        <is>
          <t>Positivo</t>
        </is>
      </c>
      <c r="F1570" s="108" t="n">
        <v>46022</v>
      </c>
      <c r="G1570" t="n">
        <v>2025</v>
      </c>
      <c r="H1570" t="inlineStr">
        <is>
          <t>Diciembre</t>
        </is>
      </c>
      <c r="I1570" t="inlineStr">
        <is>
          <t>2025-2</t>
        </is>
      </c>
      <c r="K1570" t="n">
        <v>2703941</v>
      </c>
      <c r="L1570" s="39" t="n"/>
      <c r="M1570" s="39" t="n"/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486-2025-12-31</t>
        </is>
      </c>
    </row>
    <row r="1571" hidden="1">
      <c r="A1571" t="n">
        <v>487</v>
      </c>
      <c r="B1571" t="inlineStr">
        <is>
          <t>Impactados Talleres de formación</t>
        </is>
      </c>
      <c r="C1571" t="inlineStr">
        <is>
          <t>Centro de Medios Audiovisuales</t>
        </is>
      </c>
      <c r="D1571" t="inlineStr">
        <is>
          <t>Anual</t>
        </is>
      </c>
      <c r="E1571" t="inlineStr">
        <is>
          <t>Positivo</t>
        </is>
      </c>
      <c r="F1571" s="108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20</v>
      </c>
      <c r="K1571" t="n">
        <v>6.06</v>
      </c>
      <c r="L1571" s="39">
        <f>IFERROR(IF(OR(J1571=0,K1571=""),"",IF(E1571="Positivo",MIN(MAX(K1571/J1571,0),1.3),MIN(MAX(J1571/K1571,0),1.3))),"") </f>
        <v/>
      </c>
      <c r="M1571" s="39">
        <f>IFERROR(IF(OR(J1571=0,K1571=""),"",IF(E1571="Positivo",MAX(K1571/J1571,0),MAX(J1571/K1571,0))),"") </f>
        <v/>
      </c>
      <c r="P1571" t="n">
        <v>0</v>
      </c>
      <c r="Q1571" t="n">
        <v>0</v>
      </c>
      <c r="R1571" t="inlineStr">
        <is>
          <t>487-2024-12-31</t>
        </is>
      </c>
    </row>
    <row r="1572" hidden="1">
      <c r="A1572" t="n">
        <v>487</v>
      </c>
      <c r="B1572" t="inlineStr">
        <is>
          <t>Número Impactados Talleres de formación</t>
        </is>
      </c>
      <c r="C1572" t="inlineStr">
        <is>
          <t>Centro de Medios Audiovisuales</t>
        </is>
      </c>
      <c r="D1572" t="inlineStr">
        <is>
          <t>Anual</t>
        </is>
      </c>
      <c r="E1572" t="inlineStr">
        <is>
          <t>Positivo</t>
        </is>
      </c>
      <c r="F1572" s="108" t="n">
        <v>46022</v>
      </c>
      <c r="G1572" t="n">
        <v>2025</v>
      </c>
      <c r="H1572" t="inlineStr">
        <is>
          <t>Diciembre</t>
        </is>
      </c>
      <c r="I1572" t="inlineStr">
        <is>
          <t>2025-2</t>
        </is>
      </c>
      <c r="J1572" t="n">
        <v>20</v>
      </c>
      <c r="K1572" t="n">
        <v>58.86</v>
      </c>
      <c r="L1572" s="39">
        <f>IFERROR(IF(OR(J1572=0,K1572=""),"",IF(E1572="Positivo",MIN(MAX(K1572/J1572,0),1.3),MIN(MAX(J1572/K1572,0),1.3))),"") </f>
        <v/>
      </c>
      <c r="M1572" s="39">
        <f>IFERROR(IF(OR(J1572=0,K1572=""),"",IF(E1572="Positivo",MAX(K1572/J1572,0),MAX(J1572/K1572,0))),"") </f>
        <v/>
      </c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487-2025-12-31</t>
        </is>
      </c>
    </row>
    <row r="1573" hidden="1">
      <c r="A1573" t="n">
        <v>488</v>
      </c>
      <c r="B1573" t="inlineStr">
        <is>
          <t>Oportunidad en el cierre de actividades de los planes de mejora</t>
        </is>
      </c>
      <c r="C1573" t="inlineStr">
        <is>
          <t>Gestión de calidad</t>
        </is>
      </c>
      <c r="D1573" t="inlineStr">
        <is>
          <t>Mensual</t>
        </is>
      </c>
      <c r="E1573" t="inlineStr">
        <is>
          <t>Positivo</t>
        </is>
      </c>
      <c r="F1573" s="108" t="n">
        <v>45473</v>
      </c>
      <c r="G1573" t="n">
        <v>2024</v>
      </c>
      <c r="H1573" t="inlineStr">
        <is>
          <t>Junio</t>
        </is>
      </c>
      <c r="I1573" t="inlineStr">
        <is>
          <t>2024-1</t>
        </is>
      </c>
      <c r="L1573" s="39" t="n"/>
      <c r="M1573" s="39" t="n"/>
      <c r="P1573" t="n">
        <v>0</v>
      </c>
      <c r="Q1573" t="n">
        <v>0</v>
      </c>
      <c r="R1573" t="inlineStr">
        <is>
          <t>488-2024-06-30</t>
        </is>
      </c>
    </row>
    <row r="1574" hidden="1">
      <c r="A1574" t="n">
        <v>488</v>
      </c>
      <c r="B1574" t="inlineStr">
        <is>
          <t>Oportunidad en el cierre de actividades de los planes de mejora</t>
        </is>
      </c>
      <c r="C1574" t="inlineStr">
        <is>
          <t>Gestión de calidad</t>
        </is>
      </c>
      <c r="D1574" t="inlineStr">
        <is>
          <t>Mensual</t>
        </is>
      </c>
      <c r="E1574" t="inlineStr">
        <is>
          <t>Positivo</t>
        </is>
      </c>
      <c r="F1574" s="108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85</v>
      </c>
      <c r="K1574" t="n">
        <v>92.96128846079502</v>
      </c>
      <c r="L1574" s="39">
        <f>IFERROR(IF(OR(J1574=0,K1574=""),"",IF(E1574="Positivo",MIN(MAX(K1574/J1574,0),1.3),MIN(MAX(J1574/K1574,0),1.3))),"") </f>
        <v/>
      </c>
      <c r="M1574" s="39">
        <f>IFERROR(IF(OR(J1574=0,K1574=""),"",IF(E1574="Positivo",MAX(K1574/J1574,0),MAX(J1574/K1574,0))),"") </f>
        <v/>
      </c>
      <c r="P1574" t="n">
        <v>0</v>
      </c>
      <c r="Q1574" t="n">
        <v>0</v>
      </c>
      <c r="R1574" t="inlineStr">
        <is>
          <t>488-2024-12-31</t>
        </is>
      </c>
    </row>
    <row r="1575" hidden="1">
      <c r="A1575" t="n">
        <v>488</v>
      </c>
      <c r="B1575" t="inlineStr">
        <is>
          <t>Oportunidad en el cierre de actividades de los planes de mejora</t>
        </is>
      </c>
      <c r="C1575" t="inlineStr">
        <is>
          <t>Gestión de calidad</t>
        </is>
      </c>
      <c r="D1575" t="inlineStr">
        <is>
          <t>Mensual</t>
        </is>
      </c>
      <c r="E1575" t="inlineStr">
        <is>
          <t>Positivo</t>
        </is>
      </c>
      <c r="F1575" s="108" t="n">
        <v>45838</v>
      </c>
      <c r="G1575" t="n">
        <v>2025</v>
      </c>
      <c r="H1575" t="inlineStr">
        <is>
          <t>Junio</t>
        </is>
      </c>
      <c r="I1575" t="inlineStr">
        <is>
          <t>2025-1</t>
        </is>
      </c>
      <c r="J1575" t="n">
        <v>85</v>
      </c>
      <c r="K1575" t="n">
        <v>72.08693256814921</v>
      </c>
      <c r="L1575" s="39">
        <f>IFERROR(IF(OR(J1575=0,K1575=""),"",IF(E1575="Positivo",MIN(MAX(K1575/J1575,0),1.3),MIN(MAX(J1575/K1575,0),1.3))),"") </f>
        <v/>
      </c>
      <c r="M1575" s="39">
        <f>IFERROR(IF(OR(J1575=0,K1575=""),"",IF(E1575="Positivo",MAX(K1575/J1575,0),MAX(J1575/K1575,0))),"") </f>
        <v/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488-2025-06-30</t>
        </is>
      </c>
    </row>
    <row r="1576" hidden="1">
      <c r="A1576" t="n">
        <v>488</v>
      </c>
      <c r="B1576" t="inlineStr">
        <is>
          <t>Oportunidad en el cierre de actividades de los planes de mejora</t>
        </is>
      </c>
      <c r="C1576" t="inlineStr">
        <is>
          <t>Gestión de calidad</t>
        </is>
      </c>
      <c r="D1576" t="inlineStr">
        <is>
          <t>Mensual</t>
        </is>
      </c>
      <c r="E1576" t="inlineStr">
        <is>
          <t>Positivo</t>
        </is>
      </c>
      <c r="F1576" s="108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85</v>
      </c>
      <c r="K1576" t="n">
        <v>81.46166666666666</v>
      </c>
      <c r="L1576" s="39">
        <f>IFERROR(IF(OR(J1576=0,K1576=""),"",IF(E1576="Positivo",MIN(MAX(K1576/J1576,0),1.3),MIN(MAX(J1576/K1576,0),1.3))),"") </f>
        <v/>
      </c>
      <c r="M1576" s="39">
        <f>IFERROR(IF(OR(J1576=0,K1576=""),"",IF(E1576="Positivo",MAX(K1576/J1576,0),MAX(J1576/K1576,0))),"") </f>
        <v/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488-2025-12-31</t>
        </is>
      </c>
    </row>
    <row r="1577" hidden="1">
      <c r="A1577" t="n">
        <v>488</v>
      </c>
      <c r="B1577" t="inlineStr">
        <is>
          <t>Oportunidad en el cierre de actividades de los planes de mejora</t>
        </is>
      </c>
      <c r="C1577" t="inlineStr">
        <is>
          <t>Gestión de calidad</t>
        </is>
      </c>
      <c r="D1577" t="inlineStr">
        <is>
          <t>Mensual</t>
        </is>
      </c>
      <c r="E1577" t="inlineStr">
        <is>
          <t>Positivo</t>
        </is>
      </c>
      <c r="F1577" s="108" t="n">
        <v>46203</v>
      </c>
      <c r="G1577" t="n">
        <v>2026</v>
      </c>
      <c r="H1577" t="inlineStr">
        <is>
          <t>Junio</t>
        </is>
      </c>
      <c r="I1577" t="inlineStr">
        <is>
          <t>2026-1</t>
        </is>
      </c>
      <c r="K1577" t="n">
        <v>72.16</v>
      </c>
      <c r="L1577" s="39" t="n"/>
      <c r="M1577" s="39" t="n"/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488-2026-06-30</t>
        </is>
      </c>
      <c r="S1577" t="inlineStr"/>
    </row>
    <row r="1578" hidden="1">
      <c r="A1578" t="n">
        <v>489</v>
      </c>
      <c r="B1578" t="inlineStr">
        <is>
          <t>Cumplimiento en la evaluación de las oportunidades de mejora (OM)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08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L1578" s="39" t="n"/>
      <c r="M1578" s="39" t="n"/>
      <c r="P1578" t="n">
        <v>0</v>
      </c>
      <c r="Q1578" t="n">
        <v>0</v>
      </c>
      <c r="R1578" t="inlineStr">
        <is>
          <t>489-2024-06-30</t>
        </is>
      </c>
    </row>
    <row r="1579" hidden="1">
      <c r="A1579" t="n">
        <v>489</v>
      </c>
      <c r="B1579" t="inlineStr">
        <is>
          <t>Cumplimiento en la evaluación de las oportunidades de mejora (OM)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08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100</v>
      </c>
      <c r="L1579" s="39">
        <f>IFERROR(IF(OR(J1579=0,K1579=""),"",IF(E1579="Positivo",MIN(MAX(K1579/J1579,0),1.3),MIN(MAX(J1579/K1579,0),1.3))),"") </f>
        <v/>
      </c>
      <c r="M1579" s="39">
        <f>IFERROR(IF(OR(J1579=0,K1579=""),"",IF(E1579="Positivo",MAX(K1579/J1579,0),MAX(J1579/K1579,0))),"") </f>
        <v/>
      </c>
      <c r="P1579" t="n">
        <v>0</v>
      </c>
      <c r="Q1579" t="n">
        <v>0</v>
      </c>
      <c r="R1579" t="inlineStr">
        <is>
          <t>489-2024-12-31</t>
        </is>
      </c>
    </row>
    <row r="1580" hidden="1">
      <c r="A1580" t="n">
        <v>490</v>
      </c>
      <c r="B1580" t="inlineStr">
        <is>
          <t>Nivel de Satisfacción Servicios Prestados - Planeación Estratégica</t>
        </is>
      </c>
      <c r="C1580" t="inlineStr">
        <is>
          <t>Planeación Estratégica</t>
        </is>
      </c>
      <c r="D1580" t="inlineStr">
        <is>
          <t>Anual</t>
        </is>
      </c>
      <c r="E1580" t="inlineStr">
        <is>
          <t>Positivo</t>
        </is>
      </c>
      <c r="F1580" s="108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>
        <f>IFERROR(IF(OR(J1580=0,K1580=""),"",IF(E1580="Positivo",MIN(MAX(K1580/J1580,0),1.3),MIN(MAX(J1580/K1580,0),1.3))),"") </f>
        <v/>
      </c>
      <c r="M1580" s="39">
        <f>IFERROR(IF(OR(J1580=0,K1580=""),"",IF(E1580="Positivo",MAX(K1580/J1580,0),MAX(J1580/K1580,0))),"") </f>
        <v/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490-2024-12-31</t>
        </is>
      </c>
    </row>
    <row r="1581" hidden="1">
      <c r="A1581" t="n">
        <v>490</v>
      </c>
      <c r="B1581" t="inlineStr">
        <is>
          <t>Nivel de Satisfacción Servicios Prestados - Planeación Estratégica</t>
        </is>
      </c>
      <c r="C1581" t="inlineStr">
        <is>
          <t>Planeación Estratégica</t>
        </is>
      </c>
      <c r="D1581" t="inlineStr">
        <is>
          <t>Anual</t>
        </is>
      </c>
      <c r="E1581" t="inlineStr">
        <is>
          <t>Positivo</t>
        </is>
      </c>
      <c r="F1581" s="108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>
        <f>IFERROR(IF(OR(J1581=0,K1581=""),"",IF(E1581="Positivo",MIN(MAX(K1581/J1581,0),1.3),MIN(MAX(J1581/K1581,0),1.3))),"") </f>
        <v/>
      </c>
      <c r="M1581" s="39">
        <f>IFERROR(IF(OR(J1581=0,K1581=""),"",IF(E1581="Positivo",MAX(K1581/J1581,0),MAX(J1581/K1581,0))),"") </f>
        <v/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490-2025-12-31</t>
        </is>
      </c>
    </row>
    <row r="1582" hidden="1">
      <c r="A1582" t="n">
        <v>491</v>
      </c>
      <c r="B1582" t="inlineStr">
        <is>
          <t>Nivel de Satisfacción Servicios Prestados - Gestión de proyectos</t>
        </is>
      </c>
      <c r="C1582" t="inlineStr">
        <is>
          <t>Gestión de Proyectos</t>
        </is>
      </c>
      <c r="D1582" t="inlineStr">
        <is>
          <t>Anual</t>
        </is>
      </c>
      <c r="E1582" t="inlineStr">
        <is>
          <t>Positivo</t>
        </is>
      </c>
      <c r="F1582" s="108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88</v>
      </c>
      <c r="L1582" s="39">
        <f>IFERROR(IF(OR(J1582=0,K1582=""),"",IF(E1582="Positivo",MIN(MAX(K1582/J1582,0),1.3),MIN(MAX(J1582/K1582,0),1.3))),"") </f>
        <v/>
      </c>
      <c r="M1582" s="39">
        <f>IFERROR(IF(OR(J1582=0,K1582=""),"",IF(E1582="Positivo",MAX(K1582/J1582,0),MAX(J1582/K1582,0))),"") </f>
        <v/>
      </c>
      <c r="P1582" t="n">
        <v>0</v>
      </c>
      <c r="Q1582" t="n">
        <v>0</v>
      </c>
      <c r="R1582" t="inlineStr">
        <is>
          <t>491-2024-12-31</t>
        </is>
      </c>
    </row>
    <row r="1583" hidden="1">
      <c r="A1583" t="n">
        <v>491</v>
      </c>
      <c r="B1583" t="inlineStr">
        <is>
          <t>Nivel de Satisfacción Servicios Prestados - Gestión de proyectos</t>
        </is>
      </c>
      <c r="C1583" t="inlineStr">
        <is>
          <t>Gestión de Proyectos</t>
        </is>
      </c>
      <c r="D1583" t="inlineStr">
        <is>
          <t>Anual</t>
        </is>
      </c>
      <c r="E1583" t="inlineStr">
        <is>
          <t>Positivo</t>
        </is>
      </c>
      <c r="F1583" s="108" t="n">
        <v>46022</v>
      </c>
      <c r="G1583" t="n">
        <v>2025</v>
      </c>
      <c r="H1583" t="inlineStr">
        <is>
          <t>Diciembre</t>
        </is>
      </c>
      <c r="I1583" t="inlineStr">
        <is>
          <t>2025-2</t>
        </is>
      </c>
      <c r="J1583" t="n">
        <v>80</v>
      </c>
      <c r="K1583" t="n">
        <v>100</v>
      </c>
      <c r="L1583" s="39">
        <f>IFERROR(IF(OR(J1583=0,K1583=""),"",IF(E1583="Positivo",MIN(MAX(K1583/J1583,0),1.3),MIN(MAX(J1583/K1583,0),1.3))),"") </f>
        <v/>
      </c>
      <c r="M1583" s="39">
        <f>IFERROR(IF(OR(J1583=0,K1583=""),"",IF(E1583="Positivo",MAX(K1583/J1583,0),MAX(J1583/K1583,0))),"") </f>
        <v/>
      </c>
      <c r="N1583" t="inlineStr">
        <is>
          <t>%</t>
        </is>
      </c>
      <c r="O1583" t="inlineStr">
        <is>
          <t>%</t>
        </is>
      </c>
      <c r="P1583" t="n">
        <v>0</v>
      </c>
      <c r="Q1583" t="n">
        <v>0</v>
      </c>
      <c r="R1583" t="inlineStr">
        <is>
          <t>491-2025-12-31</t>
        </is>
      </c>
    </row>
    <row r="1584" hidden="1">
      <c r="A1584" t="n">
        <v>492</v>
      </c>
      <c r="B1584" t="inlineStr">
        <is>
          <t>Nivel de Satisfacción Servicios Prestados - Desempeño Institucional</t>
        </is>
      </c>
      <c r="C1584" t="inlineStr">
        <is>
          <t>Desempeño Institucional</t>
        </is>
      </c>
      <c r="D1584" t="inlineStr">
        <is>
          <t>Anual</t>
        </is>
      </c>
      <c r="E1584" t="inlineStr">
        <is>
          <t>Positivo</t>
        </is>
      </c>
      <c r="F1584" s="108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80</v>
      </c>
      <c r="K1584" t="n">
        <v>83</v>
      </c>
      <c r="L1584" s="39">
        <f>IFERROR(IF(OR(J1584=0,K1584=""),"",IF(E1584="Positivo",MIN(MAX(K1584/J1584,0),1.3),MIN(MAX(J1584/K1584,0),1.3))),"") </f>
        <v/>
      </c>
      <c r="M1584" s="39">
        <f>IFERROR(IF(OR(J1584=0,K1584=""),"",IF(E1584="Positivo",MAX(K1584/J1584,0),MAX(J1584/K1584,0))),"") </f>
        <v/>
      </c>
      <c r="P1584" t="n">
        <v>0</v>
      </c>
      <c r="Q1584" t="n">
        <v>0</v>
      </c>
      <c r="R1584" t="inlineStr">
        <is>
          <t>492-2024-12-31</t>
        </is>
      </c>
    </row>
    <row r="1585" hidden="1">
      <c r="A1585" t="n">
        <v>492</v>
      </c>
      <c r="B1585" t="inlineStr">
        <is>
          <t>Nivel de Satisfacción Servicios Prestados - Desempeño Institucional</t>
        </is>
      </c>
      <c r="C1585" t="inlineStr">
        <is>
          <t>Desempeño Institucional</t>
        </is>
      </c>
      <c r="D1585" t="inlineStr">
        <is>
          <t>Anual</t>
        </is>
      </c>
      <c r="E1585" t="inlineStr">
        <is>
          <t>Positivo</t>
        </is>
      </c>
      <c r="F1585" s="108" t="n">
        <v>46022</v>
      </c>
      <c r="G1585" t="n">
        <v>2025</v>
      </c>
      <c r="H1585" t="inlineStr">
        <is>
          <t>Diciembre</t>
        </is>
      </c>
      <c r="I1585" t="inlineStr">
        <is>
          <t>2025-2</t>
        </is>
      </c>
      <c r="J1585" t="n">
        <v>80</v>
      </c>
      <c r="K1585" t="n">
        <v>95</v>
      </c>
      <c r="L1585" s="39">
        <f>IFERROR(IF(OR(J1585=0,K1585=""),"",IF(E1585="Positivo",MIN(MAX(K1585/J1585,0),1.3),MIN(MAX(J1585/K1585,0),1.3))),"") </f>
        <v/>
      </c>
      <c r="M1585" s="39">
        <f>IFERROR(IF(OR(J1585=0,K1585=""),"",IF(E1585="Positivo",MAX(K1585/J1585,0),MAX(J1585/K1585,0))),"") </f>
        <v/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492-2025-12-31</t>
        </is>
      </c>
    </row>
    <row r="1586" hidden="1">
      <c r="A1586" t="n">
        <v>493</v>
      </c>
      <c r="B1586" t="inlineStr">
        <is>
          <t>Nivel de Satisfacción Servicios Prestados - Gestión Jurídica Y Normativa</t>
        </is>
      </c>
      <c r="C1586" t="inlineStr">
        <is>
          <t>GESTIÓN JURÍDICA Y NORMATIVA</t>
        </is>
      </c>
      <c r="D1586" t="inlineStr">
        <is>
          <t>Anual</t>
        </is>
      </c>
      <c r="E1586" t="inlineStr">
        <is>
          <t>Positivo</t>
        </is>
      </c>
      <c r="F1586" s="108" t="n">
        <v>45657</v>
      </c>
      <c r="G1586" t="n">
        <v>2024</v>
      </c>
      <c r="H1586" t="inlineStr">
        <is>
          <t>Diciembre</t>
        </is>
      </c>
      <c r="I1586" t="inlineStr">
        <is>
          <t>2024-2</t>
        </is>
      </c>
      <c r="J1586" t="n">
        <v>80</v>
      </c>
      <c r="K1586" t="n">
        <v>81</v>
      </c>
      <c r="L1586" s="39">
        <f>IFERROR(IF(OR(J1586=0,K1586=""),"",IF(E1586="Positivo",MIN(MAX(K1586/J1586,0),1.3),MIN(MAX(J1586/K1586,0),1.3))),"") </f>
        <v/>
      </c>
      <c r="M1586" s="39">
        <f>IFERROR(IF(OR(J1586=0,K1586=""),"",IF(E1586="Positivo",MAX(K1586/J1586,0),MAX(J1586/K1586,0))),"") </f>
        <v/>
      </c>
      <c r="P1586" t="n">
        <v>0</v>
      </c>
      <c r="Q1586" t="n">
        <v>0</v>
      </c>
      <c r="R1586" t="inlineStr">
        <is>
          <t>493-2024-12-31</t>
        </is>
      </c>
    </row>
    <row r="1587" hidden="1">
      <c r="A1587" t="n">
        <v>493</v>
      </c>
      <c r="B1587" t="inlineStr">
        <is>
          <t>Nivel de Satisfacción Servicios Prestados - Gestión Jurídica Y Normativa</t>
        </is>
      </c>
      <c r="C1587" t="inlineStr">
        <is>
          <t>GESTIÓN JURÍDICA Y NORMATIVA</t>
        </is>
      </c>
      <c r="D1587" t="inlineStr">
        <is>
          <t>Anual</t>
        </is>
      </c>
      <c r="E1587" t="inlineStr">
        <is>
          <t>Positivo</t>
        </is>
      </c>
      <c r="F1587" s="108" t="n">
        <v>46022</v>
      </c>
      <c r="G1587" t="n">
        <v>2025</v>
      </c>
      <c r="H1587" t="inlineStr">
        <is>
          <t>Diciembre</t>
        </is>
      </c>
      <c r="I1587" t="inlineStr">
        <is>
          <t>2025-2</t>
        </is>
      </c>
      <c r="J1587" t="n">
        <v>80</v>
      </c>
      <c r="K1587" t="n">
        <v>77</v>
      </c>
      <c r="L1587" s="39">
        <f>IFERROR(IF(OR(J1587=0,K1587=""),"",IF(E1587="Positivo",MIN(MAX(K1587/J1587,0),1.3),MIN(MAX(J1587/K1587,0),1.3))),"") </f>
        <v/>
      </c>
      <c r="M1587" s="39">
        <f>IFERROR(IF(OR(J1587=0,K1587=""),"",IF(E1587="Positivo",MAX(K1587/J1587,0),MAX(J1587/K1587,0))),"") </f>
        <v/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493-2025-12-31</t>
        </is>
      </c>
    </row>
    <row r="1588" hidden="1">
      <c r="A1588" t="n">
        <v>494</v>
      </c>
      <c r="B1588" t="inlineStr">
        <is>
          <t>Nivel de Satisfacción Servicios Prestados - Administración De Servicios Generales</t>
        </is>
      </c>
      <c r="C1588" t="inlineStr">
        <is>
          <t>Administración de Servicios Generales</t>
        </is>
      </c>
      <c r="D1588" t="inlineStr">
        <is>
          <t>Anual</t>
        </is>
      </c>
      <c r="E1588" t="inlineStr">
        <is>
          <t>Positivo</t>
        </is>
      </c>
      <c r="F1588" s="108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89</v>
      </c>
      <c r="L1588" s="39">
        <f>IFERROR(IF(OR(J1588=0,K1588=""),"",IF(E1588="Positivo",MIN(MAX(K1588/J1588,0),1.3),MIN(MAX(J1588/K1588,0),1.3))),"") </f>
        <v/>
      </c>
      <c r="M1588" s="39">
        <f>IFERROR(IF(OR(J1588=0,K1588=""),"",IF(E1588="Positivo",MAX(K1588/J1588,0),MAX(J1588/K1588,0))),"") </f>
        <v/>
      </c>
      <c r="P1588" t="n">
        <v>0</v>
      </c>
      <c r="Q1588" t="n">
        <v>0</v>
      </c>
      <c r="R1588" t="inlineStr">
        <is>
          <t>494-2024-12-31</t>
        </is>
      </c>
    </row>
    <row r="1589" hidden="1">
      <c r="A1589" t="n">
        <v>494</v>
      </c>
      <c r="B1589" t="inlineStr">
        <is>
          <t>Nivel de Satisfacción Servicios Prestados - Administración De Servicios Generales</t>
        </is>
      </c>
      <c r="C1589" t="inlineStr">
        <is>
          <t>Administración de Servicios Generales</t>
        </is>
      </c>
      <c r="D1589" t="inlineStr">
        <is>
          <t>Anual</t>
        </is>
      </c>
      <c r="E1589" t="inlineStr">
        <is>
          <t>Positivo</t>
        </is>
      </c>
      <c r="F1589" s="108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93</v>
      </c>
      <c r="L1589" s="39">
        <f>IFERROR(IF(OR(J1589=0,K1589=""),"",IF(E1589="Positivo",MIN(MAX(K1589/J1589,0),1.3),MIN(MAX(J1589/K1589,0),1.3))),"") </f>
        <v/>
      </c>
      <c r="M1589" s="39">
        <f>IFERROR(IF(OR(J1589=0,K1589=""),"",IF(E1589="Positivo",MAX(K1589/J1589,0),MAX(J1589/K1589,0))),"") </f>
        <v/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494-2025-12-31</t>
        </is>
      </c>
    </row>
    <row r="1590" hidden="1">
      <c r="A1590" t="n">
        <v>495</v>
      </c>
      <c r="B1590" t="inlineStr">
        <is>
          <t>Nivel de Satisfacción Servicios Prestados - Contabilidad</t>
        </is>
      </c>
      <c r="C1590" t="inlineStr">
        <is>
          <t>Contabilidad</t>
        </is>
      </c>
      <c r="D1590" t="inlineStr">
        <is>
          <t>Anual</t>
        </is>
      </c>
      <c r="E1590" t="inlineStr">
        <is>
          <t>Positivo</t>
        </is>
      </c>
      <c r="F1590" s="108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92</v>
      </c>
      <c r="L1590" s="39">
        <f>IFERROR(IF(OR(J1590=0,K1590=""),"",IF(E1590="Positivo",MIN(MAX(K1590/J1590,0),1.3),MIN(MAX(J1590/K1590,0),1.3))),"") </f>
        <v/>
      </c>
      <c r="M1590" s="39">
        <f>IFERROR(IF(OR(J1590=0,K1590=""),"",IF(E1590="Positivo",MAX(K1590/J1590,0),MAX(J1590/K1590,0))),"") </f>
        <v/>
      </c>
      <c r="P1590" t="n">
        <v>0</v>
      </c>
      <c r="Q1590" t="n">
        <v>0</v>
      </c>
      <c r="R1590" t="inlineStr">
        <is>
          <t>495-2024-12-31</t>
        </is>
      </c>
    </row>
    <row r="1591" hidden="1">
      <c r="A1591" t="n">
        <v>495</v>
      </c>
      <c r="B1591" t="inlineStr">
        <is>
          <t>Nivel de Satisfacción Servicios Prestados - Contabilidad</t>
        </is>
      </c>
      <c r="C1591" t="inlineStr">
        <is>
          <t>Contabilidad</t>
        </is>
      </c>
      <c r="D1591" t="inlineStr">
        <is>
          <t>Anual</t>
        </is>
      </c>
      <c r="E1591" t="inlineStr">
        <is>
          <t>Positivo</t>
        </is>
      </c>
      <c r="F1591" s="108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63</v>
      </c>
      <c r="L1591" s="39">
        <f>IFERROR(IF(OR(J1591=0,K1591=""),"",IF(E1591="Positivo",MIN(MAX(K1591/J1591,0),1.3),MIN(MAX(J1591/K1591,0),1.3))),"") </f>
        <v/>
      </c>
      <c r="M1591" s="39">
        <f>IFERROR(IF(OR(J1591=0,K1591=""),"",IF(E1591="Positivo",MAX(K1591/J1591,0),MAX(J1591/K1591,0))),"") </f>
        <v/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495-2025-12-31</t>
        </is>
      </c>
    </row>
    <row r="1592" hidden="1">
      <c r="A1592" t="n">
        <v>496</v>
      </c>
      <c r="B1592" t="inlineStr">
        <is>
          <t>Nivel de Satisfacción Servicios Prestados - Planeación Financiera</t>
        </is>
      </c>
      <c r="C1592" t="inlineStr">
        <is>
          <t>Planeación Financiera</t>
        </is>
      </c>
      <c r="D1592" t="inlineStr">
        <is>
          <t>Anual</t>
        </is>
      </c>
      <c r="E1592" t="inlineStr">
        <is>
          <t>Positivo</t>
        </is>
      </c>
      <c r="F1592" s="108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88</v>
      </c>
      <c r="L1592" s="39">
        <f>IFERROR(IF(OR(J1592=0,K1592=""),"",IF(E1592="Positivo",MIN(MAX(K1592/J1592,0),1.3),MIN(MAX(J1592/K1592,0),1.3))),"") </f>
        <v/>
      </c>
      <c r="M1592" s="39">
        <f>IFERROR(IF(OR(J1592=0,K1592=""),"",IF(E1592="Positivo",MAX(K1592/J1592,0),MAX(J1592/K1592,0))),"") </f>
        <v/>
      </c>
      <c r="P1592" t="n">
        <v>0</v>
      </c>
      <c r="Q1592" t="n">
        <v>0</v>
      </c>
      <c r="R1592" t="inlineStr">
        <is>
          <t>496-2024-12-31</t>
        </is>
      </c>
    </row>
    <row r="1593" hidden="1">
      <c r="A1593" t="n">
        <v>496</v>
      </c>
      <c r="B1593" t="inlineStr">
        <is>
          <t>Nivel de Satisfacción Servicios Prestados - Planeación Financiera</t>
        </is>
      </c>
      <c r="C1593" t="inlineStr">
        <is>
          <t>Planeación Financiera</t>
        </is>
      </c>
      <c r="D1593" t="inlineStr">
        <is>
          <t>Anual</t>
        </is>
      </c>
      <c r="E1593" t="inlineStr">
        <is>
          <t>Positivo</t>
        </is>
      </c>
      <c r="F1593" s="108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39">
        <f>IFERROR(IF(OR(J1593=0,K1593=""),"",IF(E1593="Positivo",MIN(MAX(K1593/J1593,0),1.3),MIN(MAX(J1593/K1593,0),1.3))),"") </f>
        <v/>
      </c>
      <c r="M1593" s="39">
        <f>IFERROR(IF(OR(J1593=0,K1593=""),"",IF(E1593="Positivo",MAX(K1593/J1593,0),MAX(J1593/K1593,0))),"") </f>
        <v/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496-2025-12-31</t>
        </is>
      </c>
    </row>
    <row r="1594" hidden="1">
      <c r="A1594" t="n">
        <v>497</v>
      </c>
      <c r="B1594" t="inlineStr">
        <is>
          <t>Nivel de Satisfacción Servicios Prestados - Tesorería</t>
        </is>
      </c>
      <c r="C1594" t="inlineStr">
        <is>
          <t>Tesorería</t>
        </is>
      </c>
      <c r="D1594" t="inlineStr">
        <is>
          <t>Anual</t>
        </is>
      </c>
      <c r="E1594" t="inlineStr">
        <is>
          <t>Positivo</t>
        </is>
      </c>
      <c r="F1594" s="108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83</v>
      </c>
      <c r="L1594" s="39">
        <f>IFERROR(IF(OR(J1594=0,K1594=""),"",IF(E1594="Positivo",MIN(MAX(K1594/J1594,0),1.3),MIN(MAX(J1594/K1594,0),1.3))),"") </f>
        <v/>
      </c>
      <c r="M1594" s="39">
        <f>IFERROR(IF(OR(J1594=0,K1594=""),"",IF(E1594="Positivo",MAX(K1594/J1594,0),MAX(J1594/K1594,0))),"") </f>
        <v/>
      </c>
      <c r="P1594" t="n">
        <v>0</v>
      </c>
      <c r="Q1594" t="n">
        <v>0</v>
      </c>
      <c r="R1594" t="inlineStr">
        <is>
          <t>497-2024-12-31</t>
        </is>
      </c>
    </row>
    <row r="1595" hidden="1">
      <c r="A1595" t="n">
        <v>498</v>
      </c>
      <c r="B1595" t="inlineStr">
        <is>
          <t>Nivel de Satisfacción Servicios Prestados - Centro de Medios Audiovisuales</t>
        </is>
      </c>
      <c r="C1595" t="inlineStr">
        <is>
          <t>Centro de Medios Audiovisuales</t>
        </is>
      </c>
      <c r="D1595" t="inlineStr">
        <is>
          <t>Anual</t>
        </is>
      </c>
      <c r="E1595" t="inlineStr">
        <is>
          <t>Positivo</t>
        </is>
      </c>
      <c r="F1595" s="108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92</v>
      </c>
      <c r="L1595" s="39">
        <f>IFERROR(IF(OR(J1595=0,K1595=""),"",IF(E1595="Positivo",MIN(MAX(K1595/J1595,0),1.3),MIN(MAX(J1595/K1595,0),1.3))),"") </f>
        <v/>
      </c>
      <c r="M1595" s="3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498-2024-12-31</t>
        </is>
      </c>
    </row>
    <row r="1596" hidden="1">
      <c r="A1596" t="n">
        <v>498</v>
      </c>
      <c r="B1596" t="inlineStr">
        <is>
          <t>Nivel de Satisfacción Servicios Prestados - Centro de Medios Audiovisuales</t>
        </is>
      </c>
      <c r="C1596" t="inlineStr">
        <is>
          <t>Centro de Medios Audiovisuales</t>
        </is>
      </c>
      <c r="D1596" t="inlineStr">
        <is>
          <t>Anual</t>
        </is>
      </c>
      <c r="E1596" t="inlineStr">
        <is>
          <t>Positivo</t>
        </is>
      </c>
      <c r="F1596" s="108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95</v>
      </c>
      <c r="L1596" s="39">
        <f>IFERROR(IF(OR(J1596=0,K1596=""),"",IF(E1596="Positivo",MIN(MAX(K1596/J1596,0),1.3),MIN(MAX(J1596/K1596,0),1.3))),"") </f>
        <v/>
      </c>
      <c r="M1596" s="3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498-2025-12-31</t>
        </is>
      </c>
    </row>
    <row r="1597" hidden="1">
      <c r="A1597" t="n">
        <v>499</v>
      </c>
      <c r="B1597" t="inlineStr">
        <is>
          <t>Nivel de Satisfacción Servicios Prestados - Datos y analítica</t>
        </is>
      </c>
      <c r="C1597" t="inlineStr">
        <is>
          <t>DATOS Y ANALÍTICA</t>
        </is>
      </c>
      <c r="D1597" t="inlineStr">
        <is>
          <t>Anual</t>
        </is>
      </c>
      <c r="E1597" t="inlineStr">
        <is>
          <t>Positivo</t>
        </is>
      </c>
      <c r="F1597" s="108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87</v>
      </c>
      <c r="L1597" s="39">
        <f>IFERROR(IF(OR(J1597=0,K1597=""),"",IF(E1597="Positivo",MIN(MAX(K1597/J1597,0),1.3),MIN(MAX(J1597/K1597,0),1.3))),"") </f>
        <v/>
      </c>
      <c r="M1597" s="39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499-2024-12-31</t>
        </is>
      </c>
    </row>
    <row r="1598" hidden="1">
      <c r="A1598" t="n">
        <v>499</v>
      </c>
      <c r="B1598" t="inlineStr">
        <is>
          <t>Nivel de Satisfacción Servicios Prestados - Datos y analítica</t>
        </is>
      </c>
      <c r="C1598" t="inlineStr">
        <is>
          <t>DATOS Y ANALÍTICA</t>
        </is>
      </c>
      <c r="D1598" t="inlineStr">
        <is>
          <t>Anual</t>
        </is>
      </c>
      <c r="E1598" t="inlineStr">
        <is>
          <t>Positivo</t>
        </is>
      </c>
      <c r="F1598" s="108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L1598" s="39" t="n"/>
      <c r="M1598" s="39" t="n"/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499-2025-12-31</t>
        </is>
      </c>
      <c r="S1598" t="inlineStr">
        <is>
          <t>No Aplica</t>
        </is>
      </c>
    </row>
    <row r="1599" hidden="1">
      <c r="A1599" t="n">
        <v>500</v>
      </c>
      <c r="B1599" t="inlineStr">
        <is>
          <t>Nivel de Satisfacción Servicios Prestados -Servicio de Salud</t>
        </is>
      </c>
      <c r="C1599" t="inlineStr">
        <is>
          <t>Servicio de Salud</t>
        </is>
      </c>
      <c r="D1599" t="inlineStr">
        <is>
          <t>Anual</t>
        </is>
      </c>
      <c r="E1599" t="inlineStr">
        <is>
          <t>Positivo</t>
        </is>
      </c>
      <c r="F1599" s="108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89</v>
      </c>
      <c r="L1599" s="39">
        <f>IFERROR(IF(OR(J1599=0,K1599=""),"",IF(E1599="Positivo",MIN(MAX(K1599/J1599,0),1.3),MIN(MAX(J1599/K1599,0),1.3))),"") </f>
        <v/>
      </c>
      <c r="M1599" s="3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500-2024-12-31</t>
        </is>
      </c>
    </row>
    <row r="1600" hidden="1">
      <c r="A1600" t="n">
        <v>500</v>
      </c>
      <c r="B1600" t="inlineStr">
        <is>
          <t>Nivel de Satisfacción Servicios Prestados -Servicio de Salud</t>
        </is>
      </c>
      <c r="C1600" t="inlineStr">
        <is>
          <t>Servicio de Salud</t>
        </is>
      </c>
      <c r="D1600" t="inlineStr">
        <is>
          <t>Anual</t>
        </is>
      </c>
      <c r="E1600" t="inlineStr">
        <is>
          <t>Positivo</t>
        </is>
      </c>
      <c r="F1600" s="108" t="n">
        <v>46022</v>
      </c>
      <c r="G1600" t="n">
        <v>2025</v>
      </c>
      <c r="H1600" t="inlineStr">
        <is>
          <t>Diciembre</t>
        </is>
      </c>
      <c r="I1600" t="inlineStr">
        <is>
          <t>2025-2</t>
        </is>
      </c>
      <c r="J1600" t="n">
        <v>80</v>
      </c>
      <c r="K1600" t="n">
        <v>100</v>
      </c>
      <c r="L1600" s="39">
        <f>IFERROR(IF(OR(J1600=0,K1600=""),"",IF(E1600="Positivo",MIN(MAX(K1600/J1600,0),1.3),MIN(MAX(J1600/K1600,0),1.3))),"") </f>
        <v/>
      </c>
      <c r="M1600" s="3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500-2025-12-31</t>
        </is>
      </c>
    </row>
    <row r="1601" hidden="1">
      <c r="A1601" t="n">
        <v>501</v>
      </c>
      <c r="B1601" t="inlineStr">
        <is>
          <t>Nivel de Satisfacción Servicios Prestados -Gestión, evaluación e innovación curricular</t>
        </is>
      </c>
      <c r="C1601" t="inlineStr">
        <is>
          <t>Gestión, Evaluación e Innovación Curricular</t>
        </is>
      </c>
      <c r="D1601" t="inlineStr">
        <is>
          <t>Anual</t>
        </is>
      </c>
      <c r="E1601" t="inlineStr">
        <is>
          <t>Positivo</t>
        </is>
      </c>
      <c r="F1601" s="108" t="n">
        <v>45657</v>
      </c>
      <c r="G1601" t="n">
        <v>2024</v>
      </c>
      <c r="H1601" t="inlineStr">
        <is>
          <t>Diciembre</t>
        </is>
      </c>
      <c r="I1601" t="inlineStr">
        <is>
          <t>2024-2</t>
        </is>
      </c>
      <c r="J1601" t="n">
        <v>80</v>
      </c>
      <c r="K1601" t="n">
        <v>88</v>
      </c>
      <c r="L1601" s="39">
        <f>IFERROR(IF(OR(J1601=0,K1601=""),"",IF(E1601="Positivo",MIN(MAX(K1601/J1601,0),1.3),MIN(MAX(J1601/K1601,0),1.3))),"") </f>
        <v/>
      </c>
      <c r="M1601" s="39">
        <f>IFERROR(IF(OR(J1601=0,K1601=""),"",IF(E1601="Positivo",MAX(K1601/J1601,0),MAX(J1601/K1601,0))),"") </f>
        <v/>
      </c>
      <c r="P1601" t="n">
        <v>0</v>
      </c>
      <c r="Q1601" t="n">
        <v>0</v>
      </c>
      <c r="R1601" t="inlineStr">
        <is>
          <t>501-2024-12-31</t>
        </is>
      </c>
    </row>
    <row r="1602" hidden="1">
      <c r="A1602" t="n">
        <v>501</v>
      </c>
      <c r="B1602" t="inlineStr">
        <is>
          <t>Nivel de Satisfacción Servicios Prestados -Gestión, evaluación e innovación curricular</t>
        </is>
      </c>
      <c r="C1602" t="inlineStr">
        <is>
          <t>Gestión, Evaluación e Innovación Curricular</t>
        </is>
      </c>
      <c r="D1602" t="inlineStr">
        <is>
          <t>Anual</t>
        </is>
      </c>
      <c r="E1602" t="inlineStr">
        <is>
          <t>Positivo</t>
        </is>
      </c>
      <c r="F1602" s="108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80</v>
      </c>
      <c r="K1602" t="n">
        <v>100</v>
      </c>
      <c r="L1602" s="39">
        <f>IFERROR(IF(OR(J1602=0,K1602=""),"",IF(E1602="Positivo",MIN(MAX(K1602/J1602,0),1.3),MIN(MAX(J1602/K1602,0),1.3))),"") </f>
        <v/>
      </c>
      <c r="M1602" s="39">
        <f>IFERROR(IF(OR(J1602=0,K1602=""),"",IF(E1602="Positivo",MAX(K1602/J1602,0),MAX(J1602/K1602,0))),"") </f>
        <v/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501-2025-12-31</t>
        </is>
      </c>
    </row>
    <row r="1603" hidden="1">
      <c r="A1603" t="n">
        <v>502</v>
      </c>
      <c r="B1603" t="inlineStr">
        <is>
          <t>Nivel de Satisfacción Servicios Prestados -Formación para la investigación, creación e innovación</t>
        </is>
      </c>
      <c r="C1603" t="inlineStr">
        <is>
          <t>Formación para la investigación, creación e innovación</t>
        </is>
      </c>
      <c r="D1603" t="inlineStr">
        <is>
          <t>Anual</t>
        </is>
      </c>
      <c r="E1603" t="inlineStr">
        <is>
          <t>Positivo</t>
        </is>
      </c>
      <c r="F1603" s="108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90</v>
      </c>
      <c r="L1603" s="39">
        <f>IFERROR(IF(OR(J1603=0,K1603=""),"",IF(E1603="Positivo",MIN(MAX(K1603/J1603,0),1.3),MIN(MAX(J1603/K1603,0),1.3))),"") </f>
        <v/>
      </c>
      <c r="M1603" s="39">
        <f>IFERROR(IF(OR(J1603=0,K1603=""),"",IF(E1603="Positivo",MAX(K1603/J1603,0),MAX(J1603/K1603,0))),"") </f>
        <v/>
      </c>
      <c r="P1603" t="n">
        <v>0</v>
      </c>
      <c r="Q1603" t="n">
        <v>0</v>
      </c>
      <c r="R1603" t="inlineStr">
        <is>
          <t>502-2024-12-31</t>
        </is>
      </c>
    </row>
    <row r="1604" hidden="1">
      <c r="A1604" t="n">
        <v>502</v>
      </c>
      <c r="B1604" t="inlineStr">
        <is>
          <t>Nivel de Satisfacción Servicios Prestados -Formación para la investigación, creación e innovación</t>
        </is>
      </c>
      <c r="C1604" t="inlineStr">
        <is>
          <t>Formación para la investigación, creación e innovación</t>
        </is>
      </c>
      <c r="D1604" t="inlineStr">
        <is>
          <t>Anual</t>
        </is>
      </c>
      <c r="E1604" t="inlineStr">
        <is>
          <t>Positivo</t>
        </is>
      </c>
      <c r="F1604" s="108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97</v>
      </c>
      <c r="L1604" s="39">
        <f>IFERROR(IF(OR(J1604=0,K1604=""),"",IF(E1604="Positivo",MIN(MAX(K1604/J1604,0),1.3),MIN(MAX(J1604/K1604,0),1.3))),"") </f>
        <v/>
      </c>
      <c r="M1604" s="39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502-2025-12-31</t>
        </is>
      </c>
    </row>
    <row r="1605" hidden="1">
      <c r="A1605" t="n">
        <v>503</v>
      </c>
      <c r="B1605" t="inlineStr">
        <is>
          <t>Nivel de Satisfacción Servicios Prestados -Gestión de Unidades Académicas</t>
        </is>
      </c>
      <c r="C1605" t="inlineStr">
        <is>
          <t>Gestión de Unidades Académicas</t>
        </is>
      </c>
      <c r="D1605" t="inlineStr">
        <is>
          <t>Anual</t>
        </is>
      </c>
      <c r="E1605" t="inlineStr">
        <is>
          <t>Positivo</t>
        </is>
      </c>
      <c r="F1605" s="108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86</v>
      </c>
      <c r="L1605" s="39">
        <f>IFERROR(IF(OR(J1605=0,K1605=""),"",IF(E1605="Positivo",MIN(MAX(K1605/J1605,0),1.3),MIN(MAX(J1605/K1605,0),1.3))),"") </f>
        <v/>
      </c>
      <c r="M1605" s="3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503-2024-12-31</t>
        </is>
      </c>
    </row>
    <row r="1606" hidden="1">
      <c r="A1606" t="n">
        <v>503</v>
      </c>
      <c r="B1606" t="inlineStr">
        <is>
          <t>Nivel de Satisfacción Servicios Prestados -Gestión de Unidades Académicas</t>
        </is>
      </c>
      <c r="C1606" t="inlineStr">
        <is>
          <t>Gestión de Unidades Académicas</t>
        </is>
      </c>
      <c r="D1606" t="inlineStr">
        <is>
          <t>Anual</t>
        </is>
      </c>
      <c r="E1606" t="inlineStr">
        <is>
          <t>Positivo</t>
        </is>
      </c>
      <c r="F1606" s="108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94</v>
      </c>
      <c r="L1606" s="39">
        <f>IFERROR(IF(OR(J1606=0,K1606=""),"",IF(E1606="Positivo",MIN(MAX(K1606/J1606,0),1.3),MIN(MAX(J1606/K1606,0),1.3))),"") </f>
        <v/>
      </c>
      <c r="M1606" s="3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503-2025-12-31</t>
        </is>
      </c>
    </row>
    <row r="1607" hidden="1">
      <c r="A1607" t="n">
        <v>504</v>
      </c>
      <c r="B1607" t="inlineStr">
        <is>
          <t>Nivel de Satisfacción Servicios Prestados - LEI</t>
        </is>
      </c>
      <c r="C1607" t="inlineStr">
        <is>
          <t>LEI</t>
        </is>
      </c>
      <c r="D1607" t="inlineStr">
        <is>
          <t>Anual</t>
        </is>
      </c>
      <c r="E1607" t="inlineStr">
        <is>
          <t>Positivo</t>
        </is>
      </c>
      <c r="F1607" s="108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88</v>
      </c>
      <c r="L1607" s="39">
        <f>IFERROR(IF(OR(J1607=0,K1607=""),"",IF(E1607="Positivo",MIN(MAX(K1607/J1607,0),1.3),MIN(MAX(J1607/K1607,0),1.3))),"") </f>
        <v/>
      </c>
      <c r="M1607" s="39">
        <f>IFERROR(IF(OR(J1607=0,K1607=""),"",IF(E1607="Positivo",MAX(K1607/J1607,0),MAX(J1607/K1607,0))),"") </f>
        <v/>
      </c>
      <c r="P1607" t="n">
        <v>0</v>
      </c>
      <c r="Q1607" t="n">
        <v>0</v>
      </c>
      <c r="R1607" t="inlineStr">
        <is>
          <t>504-2024-12-31</t>
        </is>
      </c>
    </row>
    <row r="1608" hidden="1">
      <c r="A1608" t="n">
        <v>504</v>
      </c>
      <c r="B1608" t="inlineStr">
        <is>
          <t>Nivel de Satisfacción Servicios Prestados - LEI</t>
        </is>
      </c>
      <c r="C1608" t="inlineStr">
        <is>
          <t>LEI</t>
        </is>
      </c>
      <c r="D1608" t="inlineStr">
        <is>
          <t>Anual</t>
        </is>
      </c>
      <c r="E1608" t="inlineStr">
        <is>
          <t>Positivo</t>
        </is>
      </c>
      <c r="F1608" s="108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80</v>
      </c>
      <c r="K1608" t="n">
        <v>88</v>
      </c>
      <c r="L1608" s="39">
        <f>IFERROR(IF(OR(J1608=0,K1608=""),"",IF(E1608="Positivo",MIN(MAX(K1608/J1608,0),1.3),MIN(MAX(J1608/K1608,0),1.3))),"") </f>
        <v/>
      </c>
      <c r="M1608" s="3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504-2025-12-31</t>
        </is>
      </c>
    </row>
    <row r="1609" hidden="1">
      <c r="A1609" t="n">
        <v>505</v>
      </c>
      <c r="B1609" t="inlineStr">
        <is>
          <t>Nivel de Satisfacción Servicios Prestados - Mercadeo de programas académicos</t>
        </is>
      </c>
      <c r="C1609" t="inlineStr">
        <is>
          <t>Mercadeo de programas académicos</t>
        </is>
      </c>
      <c r="D1609" t="inlineStr">
        <is>
          <t>Anual</t>
        </is>
      </c>
      <c r="E1609" t="inlineStr">
        <is>
          <t>Positivo</t>
        </is>
      </c>
      <c r="F1609" s="108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80</v>
      </c>
      <c r="K1609" t="n">
        <v>85</v>
      </c>
      <c r="L1609" s="39">
        <f>IFERROR(IF(OR(J1609=0,K1609=""),"",IF(E1609="Positivo",MIN(MAX(K1609/J1609,0),1.3),MIN(MAX(J1609/K1609,0),1.3))),"") </f>
        <v/>
      </c>
      <c r="M1609" s="39">
        <f>IFERROR(IF(OR(J1609=0,K1609=""),"",IF(E1609="Positivo",MAX(K1609/J1609,0),MAX(J1609/K1609,0))),"") </f>
        <v/>
      </c>
      <c r="P1609" t="n">
        <v>0</v>
      </c>
      <c r="Q1609" t="n">
        <v>0</v>
      </c>
      <c r="R1609" t="inlineStr">
        <is>
          <t>505-2024-12-31</t>
        </is>
      </c>
    </row>
    <row r="1610" hidden="1">
      <c r="A1610" t="n">
        <v>505</v>
      </c>
      <c r="B1610" t="inlineStr">
        <is>
          <t>Nivel de Satisfacción Servicios Prestados - Mercadeo de programas académicos</t>
        </is>
      </c>
      <c r="C1610" t="inlineStr">
        <is>
          <t>Mercadeo de programas académicos</t>
        </is>
      </c>
      <c r="D1610" t="inlineStr">
        <is>
          <t>Anual</t>
        </is>
      </c>
      <c r="E1610" t="inlineStr">
        <is>
          <t>Positivo</t>
        </is>
      </c>
      <c r="F1610" s="108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J1610" t="n">
        <v>80</v>
      </c>
      <c r="K1610" t="n">
        <v>86</v>
      </c>
      <c r="L1610" s="39">
        <f>IFERROR(IF(OR(J1610=0,K1610=""),"",IF(E1610="Positivo",MIN(MAX(K1610/J1610,0),1.3),MIN(MAX(J1610/K1610,0),1.3))),"") </f>
        <v/>
      </c>
      <c r="M1610" s="39">
        <f>IFERROR(IF(OR(J1610=0,K1610=""),"",IF(E1610="Positivo",MAX(K1610/J1610,0),MAX(J1610/K1610,0))),"") </f>
        <v/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505-2025-12-31</t>
        </is>
      </c>
    </row>
    <row r="1611" hidden="1">
      <c r="A1611" t="n">
        <v>506</v>
      </c>
      <c r="B1611" t="inlineStr">
        <is>
          <t>Nivel de Satisfacción Servicios Prestados - Prácticas</t>
        </is>
      </c>
      <c r="C1611" t="inlineStr">
        <is>
          <t>Prácticas</t>
        </is>
      </c>
      <c r="D1611" t="inlineStr">
        <is>
          <t>Anual</t>
        </is>
      </c>
      <c r="E1611" t="inlineStr">
        <is>
          <t>Positivo</t>
        </is>
      </c>
      <c r="F1611" s="108" t="n">
        <v>45657</v>
      </c>
      <c r="G1611" t="n">
        <v>2024</v>
      </c>
      <c r="H1611" t="inlineStr">
        <is>
          <t>Diciembre</t>
        </is>
      </c>
      <c r="I1611" t="inlineStr">
        <is>
          <t>2024-2</t>
        </is>
      </c>
      <c r="J1611" t="n">
        <v>80</v>
      </c>
      <c r="K1611" t="n">
        <v>67</v>
      </c>
      <c r="L1611" s="39">
        <f>IFERROR(IF(OR(J1611=0,K1611=""),"",IF(E1611="Positivo",MIN(MAX(K1611/J1611,0),1.3),MIN(MAX(J1611/K1611,0),1.3))),"") </f>
        <v/>
      </c>
      <c r="M1611" s="39">
        <f>IFERROR(IF(OR(J1611=0,K1611=""),"",IF(E1611="Positivo",MAX(K1611/J1611,0),MAX(J1611/K1611,0))),"") </f>
        <v/>
      </c>
      <c r="P1611" t="n">
        <v>0</v>
      </c>
      <c r="Q1611" t="n">
        <v>0</v>
      </c>
      <c r="R1611" t="inlineStr">
        <is>
          <t>506-2024-12-31</t>
        </is>
      </c>
    </row>
    <row r="1612" hidden="1">
      <c r="A1612" t="n">
        <v>506</v>
      </c>
      <c r="B1612" t="inlineStr">
        <is>
          <t>Nivel de Satisfacción Servicios Prestados - Prácticas</t>
        </is>
      </c>
      <c r="C1612" t="inlineStr">
        <is>
          <t>Prácticas</t>
        </is>
      </c>
      <c r="D1612" t="inlineStr">
        <is>
          <t>Trimestral</t>
        </is>
      </c>
      <c r="E1612" t="inlineStr">
        <is>
          <t>Positivo</t>
        </is>
      </c>
      <c r="F1612" s="108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J1612" t="n">
        <v>80</v>
      </c>
      <c r="K1612" t="n">
        <v>95</v>
      </c>
      <c r="L1612" s="39">
        <f>IFERROR(IF(OR(J1612=0,K1612=""),"",IF(E1612="Positivo",MIN(MAX(K1612/J1612,0),1.3),MIN(MAX(J1612/K1612,0),1.3))),"") </f>
        <v/>
      </c>
      <c r="M1612" s="39">
        <f>IFERROR(IF(OR(J1612=0,K1612=""),"",IF(E1612="Positivo",MAX(K1612/J1612,0),MAX(J1612/K1612,0))),"") </f>
        <v/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506-2025-06-30</t>
        </is>
      </c>
    </row>
    <row r="1613" hidden="1">
      <c r="A1613" t="n">
        <v>506</v>
      </c>
      <c r="B1613" t="inlineStr">
        <is>
          <t>Nivel de Satisfacción Servicios Prestados - Prácticas</t>
        </is>
      </c>
      <c r="C1613" t="inlineStr">
        <is>
          <t>Prácticas</t>
        </is>
      </c>
      <c r="D1613" t="inlineStr">
        <is>
          <t>Trimestral</t>
        </is>
      </c>
      <c r="E1613" t="inlineStr">
        <is>
          <t>Positivo</t>
        </is>
      </c>
      <c r="F1613" s="108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92.5</v>
      </c>
      <c r="L1613" s="39">
        <f>IFERROR(IF(OR(J1613=0,K1613=""),"",IF(E1613="Positivo",MIN(MAX(K1613/J1613,0),1.3),MIN(MAX(J1613/K1613,0),1.3))),"") </f>
        <v/>
      </c>
      <c r="M1613" s="39">
        <f>IFERROR(IF(OR(J1613=0,K1613=""),"",IF(E1613="Positivo",MAX(K1613/J1613,0),MAX(J1613/K1613,0))),"") </f>
        <v/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506-2025-12-31</t>
        </is>
      </c>
    </row>
    <row r="1614" hidden="1">
      <c r="A1614" t="n">
        <v>507</v>
      </c>
      <c r="B1614" t="inlineStr">
        <is>
          <t>Nivel de Satisfacción Servicios Prestados -Cultura y Deporte</t>
        </is>
      </c>
      <c r="C1614" t="inlineStr">
        <is>
          <t>Cultura y Deporte</t>
        </is>
      </c>
      <c r="D1614" t="inlineStr">
        <is>
          <t>Anual</t>
        </is>
      </c>
      <c r="E1614" t="inlineStr">
        <is>
          <t>Positivo</t>
        </is>
      </c>
      <c r="F1614" s="108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77</v>
      </c>
      <c r="L1614" s="39">
        <f>IFERROR(IF(OR(J1614=0,K1614=""),"",IF(E1614="Positivo",MIN(MAX(K1614/J1614,0),1.3),MIN(MAX(J1614/K1614,0),1.3))),"") </f>
        <v/>
      </c>
      <c r="M1614" s="39">
        <f>IFERROR(IF(OR(J1614=0,K1614=""),"",IF(E1614="Positivo",MAX(K1614/J1614,0),MAX(J1614/K1614,0))),"") </f>
        <v/>
      </c>
      <c r="P1614" t="n">
        <v>0</v>
      </c>
      <c r="Q1614" t="n">
        <v>0</v>
      </c>
      <c r="R1614" t="inlineStr">
        <is>
          <t>507-2024-12-31</t>
        </is>
      </c>
    </row>
    <row r="1615" hidden="1">
      <c r="A1615" t="n">
        <v>507</v>
      </c>
      <c r="B1615" t="inlineStr">
        <is>
          <t>Nivel de Satisfacción Servicios Prestados -Cultura y Deporte</t>
        </is>
      </c>
      <c r="C1615" t="inlineStr">
        <is>
          <t>Cultura y Deporte</t>
        </is>
      </c>
      <c r="D1615" t="inlineStr">
        <is>
          <t>Trimestral</t>
        </is>
      </c>
      <c r="E1615" t="inlineStr">
        <is>
          <t>Positivo</t>
        </is>
      </c>
      <c r="F1615" s="108" t="n">
        <v>45838</v>
      </c>
      <c r="G1615" t="n">
        <v>2025</v>
      </c>
      <c r="H1615" t="inlineStr">
        <is>
          <t>Junio</t>
        </is>
      </c>
      <c r="I1615" t="inlineStr">
        <is>
          <t>2025-1</t>
        </is>
      </c>
      <c r="J1615" t="n">
        <v>80</v>
      </c>
      <c r="K1615" t="n">
        <v>98.75</v>
      </c>
      <c r="L1615" s="39">
        <f>IFERROR(IF(OR(J1615=0,K1615=""),"",IF(E1615="Positivo",MIN(MAX(K1615/J1615,0),1.3),MIN(MAX(J1615/K1615,0),1.3))),"") </f>
        <v/>
      </c>
      <c r="M1615" s="39">
        <f>IFERROR(IF(OR(J1615=0,K1615=""),"",IF(E1615="Positivo",MAX(K1615/J1615,0),MAX(J1615/K1615,0))),"") </f>
        <v/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507-2025-06-30</t>
        </is>
      </c>
    </row>
    <row r="1616">
      <c r="A1616" t="n">
        <v>507</v>
      </c>
      <c r="B1616" t="inlineStr">
        <is>
          <t>Nivel de Satisfacción Servicios Prestados -Cultura y Deporte</t>
        </is>
      </c>
      <c r="C1616" t="inlineStr">
        <is>
          <t>Cultura y Deporte</t>
        </is>
      </c>
      <c r="D1616" t="inlineStr">
        <is>
          <t>Trimestral</t>
        </is>
      </c>
      <c r="E1616" t="inlineStr">
        <is>
          <t>Positivo</t>
        </is>
      </c>
      <c r="F1616" s="108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99</v>
      </c>
      <c r="L1616" s="39">
        <f>IFERROR(IF(OR(J1616=0,K1616=""),"",IF(E1616="Positivo",MIN(MAX(K1616/J1616,0),1.3),MIN(MAX(J1616/K1616,0),1.3))),"") </f>
        <v/>
      </c>
      <c r="M1616" s="39">
        <f>IFERROR(IF(OR(J1616=0,K1616=""),"",IF(E1616="Positivo",MAX(K1616/J1616,0),MAX(J1616/K1616,0))),"") </f>
        <v/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507-2025-12-31</t>
        </is>
      </c>
    </row>
    <row r="1617" hidden="1">
      <c r="A1617" t="n">
        <v>508</v>
      </c>
      <c r="B1617" t="inlineStr">
        <is>
          <t>Nivel de Satisfacción Servicios Prestados - Diseño y contenido virtual</t>
        </is>
      </c>
      <c r="C1617" t="inlineStr">
        <is>
          <t>Diseño de Contenido Virtual</t>
        </is>
      </c>
      <c r="D1617" t="inlineStr">
        <is>
          <t>Anual</t>
        </is>
      </c>
      <c r="E1617" t="inlineStr">
        <is>
          <t>Positivo</t>
        </is>
      </c>
      <c r="F1617" s="108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88</v>
      </c>
      <c r="L1617" s="39">
        <f>IFERROR(IF(OR(J1617=0,K1617=""),"",IF(E1617="Positivo",MIN(MAX(K1617/J1617,0),1.3),MIN(MAX(J1617/K1617,0),1.3))),"") </f>
        <v/>
      </c>
      <c r="M1617" s="39">
        <f>IFERROR(IF(OR(J1617=0,K1617=""),"",IF(E1617="Positivo",MAX(K1617/J1617,0),MAX(J1617/K1617,0))),"") </f>
        <v/>
      </c>
      <c r="P1617" t="n">
        <v>0</v>
      </c>
      <c r="Q1617" t="n">
        <v>0</v>
      </c>
      <c r="R1617" t="inlineStr">
        <is>
          <t>508-2024-12-31</t>
        </is>
      </c>
    </row>
    <row r="1618" hidden="1">
      <c r="A1618" t="n">
        <v>508</v>
      </c>
      <c r="B1618" t="inlineStr">
        <is>
          <t>Nivel de Satisfacción Servicios Prestados - Diseño y contenido virtual</t>
        </is>
      </c>
      <c r="C1618" t="inlineStr">
        <is>
          <t>Diseño de Contenido Virtual</t>
        </is>
      </c>
      <c r="D1618" t="inlineStr">
        <is>
          <t>Anual</t>
        </is>
      </c>
      <c r="E1618" t="inlineStr">
        <is>
          <t>Positivo</t>
        </is>
      </c>
      <c r="F1618" s="108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89</v>
      </c>
      <c r="L1618" s="39">
        <f>IFERROR(IF(OR(J1618=0,K1618=""),"",IF(E1618="Positivo",MIN(MAX(K1618/J1618,0),1.3),MIN(MAX(J1618/K1618,0),1.3))),"") </f>
        <v/>
      </c>
      <c r="M1618" s="39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508-2025-12-31</t>
        </is>
      </c>
    </row>
    <row r="1619" hidden="1">
      <c r="A1619" t="n">
        <v>509</v>
      </c>
      <c r="B1619" t="inlineStr">
        <is>
          <t>Cumplimiento a cronograma de proyectos 2025</t>
        </is>
      </c>
      <c r="C1619" t="inlineStr">
        <is>
          <t>Gestión de Proyectos</t>
        </is>
      </c>
      <c r="D1619" t="inlineStr">
        <is>
          <t>Mensual</t>
        </is>
      </c>
      <c r="E1619" t="inlineStr">
        <is>
          <t>Positivo</t>
        </is>
      </c>
      <c r="F1619" s="108" t="n">
        <v>45838</v>
      </c>
      <c r="G1619" t="n">
        <v>2025</v>
      </c>
      <c r="H1619" t="inlineStr">
        <is>
          <t>Junio</t>
        </is>
      </c>
      <c r="I1619" t="inlineStr">
        <is>
          <t>2025-1</t>
        </is>
      </c>
      <c r="J1619" t="n">
        <v>90</v>
      </c>
      <c r="K1619" t="n">
        <v>100.59</v>
      </c>
      <c r="L1619" s="39">
        <f>IFERROR(IF(OR(J1619=0,K1619=""),"",IF(E1619="Positivo",MIN(MAX(K1619/J1619,0),1.3),MIN(MAX(J1619/K1619,0),1.3))),"") </f>
        <v/>
      </c>
      <c r="M1619" s="39">
        <f>IFERROR(IF(OR(J1619=0,K1619=""),"",IF(E1619="Positivo",MAX(K1619/J1619,0),MAX(J1619/K1619,0))),"") </f>
        <v/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509-2025-06-30</t>
        </is>
      </c>
    </row>
    <row r="1620" hidden="1">
      <c r="A1620" t="n">
        <v>509</v>
      </c>
      <c r="B1620" t="inlineStr">
        <is>
          <t>Cumplimiento a cronograma de proyectos 2025</t>
        </is>
      </c>
      <c r="C1620" t="inlineStr">
        <is>
          <t>Gestión de Proyectos</t>
        </is>
      </c>
      <c r="D1620" t="inlineStr">
        <is>
          <t>Mensual</t>
        </is>
      </c>
      <c r="E1620" t="inlineStr">
        <is>
          <t>Positivo</t>
        </is>
      </c>
      <c r="F1620" s="108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90</v>
      </c>
      <c r="K1620" t="n">
        <v>97.33</v>
      </c>
      <c r="L1620" s="39">
        <f>IFERROR(IF(OR(J1620=0,K1620=""),"",IF(E1620="Positivo",MIN(MAX(K1620/J1620,0),1.3),MIN(MAX(J1620/K1620,0),1.3))),"") </f>
        <v/>
      </c>
      <c r="M1620" s="3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509-2025-12-31</t>
        </is>
      </c>
    </row>
    <row r="1621" hidden="1">
      <c r="A1621" t="n">
        <v>510</v>
      </c>
      <c r="B1621" t="inlineStr">
        <is>
          <t>Frecuencia de incidentes de riesgos</t>
        </is>
      </c>
      <c r="C1621" t="inlineStr">
        <is>
          <t>GESTIÓN DE RIESGOS</t>
        </is>
      </c>
      <c r="D1621" t="inlineStr">
        <is>
          <t>Semestral</t>
        </is>
      </c>
      <c r="E1621" t="inlineStr">
        <is>
          <t>Positivo</t>
        </is>
      </c>
      <c r="F1621" s="108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K1621" t="n">
        <v>0</v>
      </c>
      <c r="L1621" s="39" t="n"/>
      <c r="M1621" s="39" t="n"/>
      <c r="N1621" t="inlineStr">
        <is>
          <t>Linea Base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510-2025-06-30</t>
        </is>
      </c>
    </row>
    <row r="1622" hidden="1">
      <c r="A1622" t="n">
        <v>510</v>
      </c>
      <c r="B1622" t="inlineStr">
        <is>
          <t>Frecuencia de incidentes de riesgos</t>
        </is>
      </c>
      <c r="C1622" t="inlineStr">
        <is>
          <t>GESTIÓN DE RIESGOS</t>
        </is>
      </c>
      <c r="D1622" t="inlineStr">
        <is>
          <t>Semestral</t>
        </is>
      </c>
      <c r="E1622" t="inlineStr">
        <is>
          <t>Positivo</t>
        </is>
      </c>
      <c r="F1622" s="108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K1622" t="n">
        <v>0</v>
      </c>
      <c r="L1622" s="39" t="n"/>
      <c r="M1622" s="39" t="n"/>
      <c r="N1622" t="inlineStr">
        <is>
          <t>Linea Base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510-2025-12-31</t>
        </is>
      </c>
    </row>
    <row r="1623" hidden="1">
      <c r="A1623" t="n">
        <v>511</v>
      </c>
      <c r="B1623" t="inlineStr">
        <is>
          <t>Eficacia de controles</t>
        </is>
      </c>
      <c r="C1623" t="inlineStr">
        <is>
          <t>GESTIÓN DE RIESGOS</t>
        </is>
      </c>
      <c r="D1623" t="inlineStr">
        <is>
          <t>Semestral</t>
        </is>
      </c>
      <c r="E1623" t="inlineStr">
        <is>
          <t>Positivo</t>
        </is>
      </c>
      <c r="F1623" s="108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K1623" t="n">
        <v>86.36</v>
      </c>
      <c r="L1623" s="39" t="n"/>
      <c r="M1623" s="39" t="n"/>
      <c r="N1623" t="inlineStr">
        <is>
          <t>Linea Base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511-2025-06-30</t>
        </is>
      </c>
    </row>
    <row r="1624" hidden="1">
      <c r="A1624" t="n">
        <v>511</v>
      </c>
      <c r="B1624" t="inlineStr">
        <is>
          <t>Eficacia de controles</t>
        </is>
      </c>
      <c r="C1624" t="inlineStr">
        <is>
          <t>GESTIÓN DE RIESGOS</t>
        </is>
      </c>
      <c r="D1624" t="inlineStr">
        <is>
          <t>Semestral</t>
        </is>
      </c>
      <c r="E1624" t="inlineStr">
        <is>
          <t>Positivo</t>
        </is>
      </c>
      <c r="F1624" s="108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K1624" t="n">
        <v>171.12</v>
      </c>
      <c r="L1624" s="39" t="n"/>
      <c r="M1624" s="39" t="n"/>
      <c r="N1624" t="inlineStr">
        <is>
          <t>Linea Base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511-2025-12-31</t>
        </is>
      </c>
    </row>
    <row r="1625" hidden="1">
      <c r="A1625" t="n">
        <v>513</v>
      </c>
      <c r="B1625" t="inlineStr">
        <is>
          <t>Nivel de cumplimiento del plan de seguimiento a controles</t>
        </is>
      </c>
      <c r="C1625" t="inlineStr">
        <is>
          <t>GESTIÓN DE RIESGOS</t>
        </is>
      </c>
      <c r="D1625" t="inlineStr">
        <is>
          <t>Semestral</t>
        </is>
      </c>
      <c r="E1625" t="inlineStr">
        <is>
          <t>Positivo</t>
        </is>
      </c>
      <c r="F1625" s="108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K1625" t="n">
        <v>100</v>
      </c>
      <c r="L1625" s="39" t="n"/>
      <c r="M1625" s="39" t="n"/>
      <c r="N1625" t="inlineStr">
        <is>
          <t>Linea Base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513-2025-06-30</t>
        </is>
      </c>
    </row>
    <row r="1626" hidden="1">
      <c r="A1626" t="n">
        <v>514</v>
      </c>
      <c r="B1626" t="inlineStr">
        <is>
          <t>Respuesta ante nuevas necesidades de control</t>
        </is>
      </c>
      <c r="C1626" t="inlineStr">
        <is>
          <t>GESTIÓN DE RIESGOS</t>
        </is>
      </c>
      <c r="D1626" t="inlineStr">
        <is>
          <t>Trimestral</t>
        </is>
      </c>
      <c r="E1626" t="inlineStr">
        <is>
          <t>Positivo</t>
        </is>
      </c>
      <c r="F1626" s="108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J1626" t="n">
        <v>70</v>
      </c>
      <c r="K1626" t="n">
        <v>91.81999999999999</v>
      </c>
      <c r="L1626" s="39">
        <f>IFERROR(IF(OR(J1626=0,K1626=""),"",IF(E1626="Positivo",MIN(MAX(K1626/J1626,0),1.3),MIN(MAX(J1626/K1626,0),1.3))),"") </f>
        <v/>
      </c>
      <c r="M1626" s="39">
        <f>IFERROR(IF(OR(J1626=0,K1626=""),"",IF(E1626="Positivo",MAX(K1626/J1626,0),MAX(J1626/K1626,0))),"") </f>
        <v/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514-2025-06-30</t>
        </is>
      </c>
    </row>
    <row r="1627" hidden="1">
      <c r="A1627" t="n">
        <v>514</v>
      </c>
      <c r="B1627" t="inlineStr">
        <is>
          <t>Respuesta ante nuevas necesidades de control</t>
        </is>
      </c>
      <c r="C1627" t="inlineStr">
        <is>
          <t>GESTIÓN DE RIESGOS</t>
        </is>
      </c>
      <c r="D1627" t="inlineStr">
        <is>
          <t>Trimestral</t>
        </is>
      </c>
      <c r="E1627" t="inlineStr">
        <is>
          <t>Positivo</t>
        </is>
      </c>
      <c r="F1627" s="108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70</v>
      </c>
      <c r="K1627" t="n">
        <v>45.96</v>
      </c>
      <c r="L1627" s="39">
        <f>IFERROR(IF(OR(J1627=0,K1627=""),"",IF(E1627="Positivo",MIN(MAX(K1627/J1627,0),1.3),MIN(MAX(J1627/K1627,0),1.3))),"") </f>
        <v/>
      </c>
      <c r="M1627" s="3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514-2025-12-31</t>
        </is>
      </c>
    </row>
    <row r="1628" hidden="1">
      <c r="A1628" t="n">
        <v>515</v>
      </c>
      <c r="B1628" t="inlineStr">
        <is>
          <t>Porcentaje de procesos de control implementados</t>
        </is>
      </c>
      <c r="C1628" t="inlineStr">
        <is>
          <t>GESTIÓN DE LA TECNOLOGÍA E INNOVACIÓN DIGITAL</t>
        </is>
      </c>
      <c r="D1628" t="inlineStr">
        <is>
          <t>Trimestral</t>
        </is>
      </c>
      <c r="E1628" t="inlineStr">
        <is>
          <t>Positivo</t>
        </is>
      </c>
      <c r="F1628" s="108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K1628" t="n">
        <v>66.67</v>
      </c>
      <c r="L1628" s="39" t="n"/>
      <c r="M1628" s="39" t="n"/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515-2025-12-31</t>
        </is>
      </c>
    </row>
    <row r="1629" hidden="1">
      <c r="A1629" t="n">
        <v>516</v>
      </c>
      <c r="B1629" t="inlineStr">
        <is>
          <t>Porcentaje de colaboradores formados en ciberseguridad</t>
        </is>
      </c>
      <c r="C1629" t="inlineStr">
        <is>
          <t>GESTIÓN DE LA TECNOLOGÍA E INNOVACIÓN DIGITAL</t>
        </is>
      </c>
      <c r="D1629" t="inlineStr">
        <is>
          <t>Trimestral</t>
        </is>
      </c>
      <c r="E1629" t="inlineStr">
        <is>
          <t>Positivo</t>
        </is>
      </c>
      <c r="F1629" s="108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K1629" t="n">
        <v>315.79</v>
      </c>
      <c r="L1629" s="39" t="n"/>
      <c r="M1629" s="39" t="n"/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516-2025-12-31</t>
        </is>
      </c>
    </row>
    <row r="1630" hidden="1">
      <c r="A1630" t="n">
        <v>518</v>
      </c>
      <c r="B1630" t="inlineStr">
        <is>
          <t>Cumplimiento programa de auditoría</t>
        </is>
      </c>
      <c r="C1630" t="inlineStr">
        <is>
          <t>AUDITORÍA INTERNA</t>
        </is>
      </c>
      <c r="D1630" t="inlineStr">
        <is>
          <t>Bimestral</t>
        </is>
      </c>
      <c r="E1630" t="inlineStr">
        <is>
          <t>Positivo</t>
        </is>
      </c>
      <c r="F1630" s="108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J1630" t="n">
        <v>100</v>
      </c>
      <c r="K1630" t="n">
        <v>87.5</v>
      </c>
      <c r="L1630" s="39">
        <f>IFERROR(IF(OR(J1630=0,K1630=""),"",IF(E1630="Positivo",MIN(MAX(K1630/J1630,0),1.3),MIN(MAX(J1630/K1630,0),1.3))),"") </f>
        <v/>
      </c>
      <c r="M1630" s="39">
        <f>IFERROR(IF(OR(J1630=0,K1630=""),"",IF(E1630="Positivo",MAX(K1630/J1630,0),MAX(J1630/K1630,0))),"") 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518-2025-06-30</t>
        </is>
      </c>
    </row>
    <row r="1631" hidden="1">
      <c r="A1631" t="n">
        <v>518</v>
      </c>
      <c r="B1631" t="inlineStr">
        <is>
          <t>Cumplimiento programa de auditoría</t>
        </is>
      </c>
      <c r="C1631" t="inlineStr">
        <is>
          <t>AUDITORÍA INTERNA</t>
        </is>
      </c>
      <c r="D1631" t="inlineStr">
        <is>
          <t>Semestral</t>
        </is>
      </c>
      <c r="E1631" t="inlineStr">
        <is>
          <t>Positivo</t>
        </is>
      </c>
      <c r="F1631" s="108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137.5</v>
      </c>
      <c r="L1631" s="39">
        <f>IFERROR(IF(OR(J1631=0,K1631=""),"",IF(E1631="Positivo",MIN(MAX(K1631/J1631,0),1.3),MIN(MAX(J1631/K1631,0),1.3))),"") </f>
        <v/>
      </c>
      <c r="M1631" s="3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518-2025-12-31</t>
        </is>
      </c>
    </row>
    <row r="1632" hidden="1">
      <c r="A1632" t="n">
        <v>519</v>
      </c>
      <c r="B1632" t="inlineStr">
        <is>
          <t>% de publicaciones con sentimiento neutro o negativo</t>
        </is>
      </c>
      <c r="C1632" t="inlineStr">
        <is>
          <t>Comunicaciones Externas</t>
        </is>
      </c>
      <c r="D1632" t="inlineStr">
        <is>
          <t>Trimestral</t>
        </is>
      </c>
      <c r="E1632" t="inlineStr">
        <is>
          <t>Positivo</t>
        </is>
      </c>
      <c r="F1632" s="108" t="n">
        <v>45838</v>
      </c>
      <c r="G1632" t="n">
        <v>2025</v>
      </c>
      <c r="H1632" t="inlineStr">
        <is>
          <t>Junio</t>
        </is>
      </c>
      <c r="I1632" t="inlineStr">
        <is>
          <t>2025-1</t>
        </is>
      </c>
      <c r="J1632" t="n">
        <v>100</v>
      </c>
      <c r="K1632" t="n">
        <v>431.45</v>
      </c>
      <c r="L1632" s="39">
        <f>IFERROR(IF(OR(J1632=0,K1632=""),"",IF(E1632="Positivo",MIN(MAX(K1632/J1632,0),1.3),MIN(MAX(J1632/K1632,0),1.3))),"") </f>
        <v/>
      </c>
      <c r="M1632" s="3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519-2025-06-30</t>
        </is>
      </c>
    </row>
    <row r="1633" hidden="1">
      <c r="A1633" t="n">
        <v>519</v>
      </c>
      <c r="B1633" t="inlineStr">
        <is>
          <t>% de publicaciones con sentimiento neutro o negativo</t>
        </is>
      </c>
      <c r="C1633" t="inlineStr">
        <is>
          <t>Comunicaciones Externas</t>
        </is>
      </c>
      <c r="D1633" t="inlineStr">
        <is>
          <t>Trimestral</t>
        </is>
      </c>
      <c r="E1633" t="inlineStr">
        <is>
          <t>Positivo</t>
        </is>
      </c>
      <c r="F1633" s="108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131.13</v>
      </c>
      <c r="L1633" s="39">
        <f>IFERROR(IF(OR(J1633=0,K1633=""),"",IF(E1633="Positivo",MIN(MAX(K1633/J1633,0),1.3),MIN(MAX(J1633/K1633,0),1.3))),"") </f>
        <v/>
      </c>
      <c r="M1633" s="3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519-2025-12-31</t>
        </is>
      </c>
    </row>
    <row r="1634" hidden="1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08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20</v>
      </c>
      <c r="K1634" t="n">
        <v>100</v>
      </c>
      <c r="L1634" s="39">
        <f>IFERROR(IF(OR(J1634=0,K1634=""),"",IF(E1634="Positivo",MIN(MAX(K1634/J1634,0),1.3),MIN(MAX(J1634/K1634,0),1.3))),"") </f>
        <v/>
      </c>
      <c r="M1634" s="39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522-2025-12-31</t>
        </is>
      </c>
    </row>
    <row r="1635" hidden="1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08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95</v>
      </c>
      <c r="K1635" t="n">
        <v>128.41</v>
      </c>
      <c r="L1635" s="39">
        <f>IFERROR(IF(OR(J1635=0,K1635=""),"",IF(E1635="Positivo",MIN(MAX(K1635/J1635,0),1.3),MIN(MAX(J1635/K1635,0),1.3))),"") </f>
        <v/>
      </c>
      <c r="M1635" s="3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523-2025-06-30</t>
        </is>
      </c>
    </row>
    <row r="1636" hidden="1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08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95</v>
      </c>
      <c r="K1636" t="n">
        <v>95.76000000000001</v>
      </c>
      <c r="L1636" s="39">
        <f>IFERROR(IF(OR(J1636=0,K1636=""),"",IF(E1636="Positivo",MIN(MAX(K1636/J1636,0),1.3),MIN(MAX(J1636/K1636,0),1.3))),"") </f>
        <v/>
      </c>
      <c r="M1636" s="3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523-2025-12-31</t>
        </is>
      </c>
    </row>
    <row r="1637" hidden="1">
      <c r="A1637" t="n">
        <v>524</v>
      </c>
      <c r="B1637" t="inlineStr">
        <is>
          <t>Total Leads por canales de captación</t>
        </is>
      </c>
      <c r="C1637" t="inlineStr">
        <is>
          <t>Mercadeo de programas académicos</t>
        </is>
      </c>
      <c r="D1637" t="inlineStr">
        <is>
          <t>Trimestral</t>
        </is>
      </c>
      <c r="E1637" t="inlineStr">
        <is>
          <t>Positivo</t>
        </is>
      </c>
      <c r="F1637" s="108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99.38</v>
      </c>
      <c r="L1637" s="39">
        <f>IFERROR(IF(OR(J1637=0,K1637=""),"",IF(E1637="Positivo",MIN(MAX(K1637/J1637,0),1.3),MIN(MAX(J1637/K1637,0),1.3))),"") </f>
        <v/>
      </c>
      <c r="M1637" s="39">
        <f>IFERROR(IF(OR(J1637=0,K1637=""),"",IF(E1637="Positivo",MAX(K1637/J1637,0),MAX(J1637/K1637,0))),"") </f>
        <v/>
      </c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524-2025-06-30</t>
        </is>
      </c>
    </row>
    <row r="1638" hidden="1">
      <c r="A1638" t="n">
        <v>524</v>
      </c>
      <c r="B1638" t="inlineStr">
        <is>
          <t>Total Leads por canales de captación</t>
        </is>
      </c>
      <c r="C1638" t="inlineStr">
        <is>
          <t>Mercadeo de programas académicos</t>
        </is>
      </c>
      <c r="D1638" t="inlineStr">
        <is>
          <t>Trimestral</t>
        </is>
      </c>
      <c r="E1638" t="inlineStr">
        <is>
          <t>Positivo</t>
        </is>
      </c>
      <c r="F1638" s="108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106.07</v>
      </c>
      <c r="L1638" s="39">
        <f>IFERROR(IF(OR(J1638=0,K1638=""),"",IF(E1638="Positivo",MIN(MAX(K1638/J1638,0),1.3),MIN(MAX(J1638/K1638,0),1.3))),"") </f>
        <v/>
      </c>
      <c r="M1638" s="39">
        <f>IFERROR(IF(OR(J1638=0,K1638=""),"",IF(E1638="Positivo",MAX(K1638/J1638,0),MAX(J1638/K1638,0))),"") </f>
        <v/>
      </c>
      <c r="N1638" t="inlineStr">
        <is>
          <t>ENT</t>
        </is>
      </c>
      <c r="O1638" t="inlineStr">
        <is>
          <t>ENT</t>
        </is>
      </c>
      <c r="P1638" t="n">
        <v>0</v>
      </c>
      <c r="Q1638" t="n">
        <v>0</v>
      </c>
      <c r="R1638" t="inlineStr">
        <is>
          <t>524-2025-12-31</t>
        </is>
      </c>
    </row>
    <row r="1639" hidden="1">
      <c r="A1639" t="n">
        <v>526</v>
      </c>
      <c r="B1639" t="inlineStr">
        <is>
          <t>Cumplimiento Politica Polisigs</t>
        </is>
      </c>
      <c r="C1639" t="inlineStr">
        <is>
          <t>Planificación POLISIGS</t>
        </is>
      </c>
      <c r="D1639" t="inlineStr">
        <is>
          <t>Semestral</t>
        </is>
      </c>
      <c r="E1639" t="inlineStr">
        <is>
          <t>Positivo</t>
        </is>
      </c>
      <c r="F1639" s="108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95</v>
      </c>
      <c r="K1639" t="n">
        <v>96.59999999999999</v>
      </c>
      <c r="L1639" s="39">
        <f>IFERROR(IF(OR(J1639=0,K1639=""),"",IF(E1639="Positivo",MIN(MAX(K1639/J1639,0),1.3),MIN(MAX(J1639/K1639,0),1.3))),"") </f>
        <v/>
      </c>
      <c r="M1639" s="3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526-2025-12-31</t>
        </is>
      </c>
      <c r="S1639" t="inlineStr">
        <is>
          <t>Sin Reporte</t>
        </is>
      </c>
    </row>
    <row r="1640" hidden="1">
      <c r="A1640" t="n">
        <v>527</v>
      </c>
      <c r="B1640" t="inlineStr">
        <is>
          <t>Participación de Grupos de Interés en la construcción del nuevo plan de desarrollo (PDI)</t>
        </is>
      </c>
      <c r="C1640" t="inlineStr">
        <is>
          <t>Planeación Estratégica</t>
        </is>
      </c>
      <c r="D1640" t="inlineStr">
        <is>
          <t>Anual</t>
        </is>
      </c>
      <c r="E1640" t="inlineStr">
        <is>
          <t>Positivo</t>
        </is>
      </c>
      <c r="F1640" s="108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3690</v>
      </c>
      <c r="K1640" t="n">
        <v>7304</v>
      </c>
      <c r="L1640" s="39">
        <f>IFERROR(IF(OR(J1640=0,K1640=""),"",IF(E1640="Positivo",MIN(MAX(K1640/J1640,0),1.3),MIN(MAX(J1640/K1640,0),1.3))),"") </f>
        <v/>
      </c>
      <c r="M1640" s="3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527-2025-12-31</t>
        </is>
      </c>
    </row>
    <row r="1641" hidden="1">
      <c r="A1641" t="n">
        <v>528</v>
      </c>
      <c r="B1641" t="inlineStr">
        <is>
          <t>Participación de la comunidad en la Rendición de Cuentas</t>
        </is>
      </c>
      <c r="C1641" t="inlineStr">
        <is>
          <t>Planeación Estratégica</t>
        </is>
      </c>
      <c r="D1641" t="inlineStr">
        <is>
          <t>Anual</t>
        </is>
      </c>
      <c r="E1641" t="inlineStr">
        <is>
          <t>Positivo</t>
        </is>
      </c>
      <c r="F1641" s="108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173.92055267703</v>
      </c>
      <c r="L1641" s="39">
        <f>IFERROR(IF(OR(J1641=0,K1641=""),"",IF(E1641="Positivo",MIN(MAX(K1641/J1641,0),1.3),MIN(MAX(J1641/K1641,0),1.3))),"") </f>
        <v/>
      </c>
      <c r="M1641" s="39">
        <f>IFERROR(IF(OR(J1641=0,K1641=""),"",IF(E1641="Positivo",MAX(K1641/J1641,0),MAX(J1641/K1641,0))),"") </f>
        <v/>
      </c>
      <c r="N1641" t="inlineStr">
        <is>
          <t>ENT</t>
        </is>
      </c>
      <c r="O1641" t="inlineStr">
        <is>
          <t>ENT</t>
        </is>
      </c>
      <c r="P1641" t="n">
        <v>0</v>
      </c>
      <c r="Q1641" t="n">
        <v>0</v>
      </c>
      <c r="R1641" t="inlineStr">
        <is>
          <t>528-2025-06-30</t>
        </is>
      </c>
      <c r="S1641" t="inlineStr"/>
    </row>
    <row r="1642" hidden="1">
      <c r="A1642" t="n">
        <v>528</v>
      </c>
      <c r="B1642" t="inlineStr">
        <is>
          <t>Participación de la comunidad en la Rendición de Cuentas</t>
        </is>
      </c>
      <c r="C1642" t="inlineStr">
        <is>
          <t>Planeación Estratégica</t>
        </is>
      </c>
      <c r="D1642" t="inlineStr">
        <is>
          <t>Anual</t>
        </is>
      </c>
      <c r="E1642" t="inlineStr">
        <is>
          <t>Positivo</t>
        </is>
      </c>
      <c r="F1642" s="108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2014</v>
      </c>
      <c r="L1642" s="39">
        <f>IFERROR(IF(OR(J1642=0,K1642=""),"",IF(E1642="Positivo",MIN(MAX(K1642/J1642,0),1.3),MIN(MAX(J1642/K1642,0),1.3))),"") </f>
        <v/>
      </c>
      <c r="M1642" s="39">
        <f>IFERROR(IF(OR(J1642=0,K1642=""),"",IF(E1642="Positivo",MAX(K1642/J1642,0),MAX(J1642/K1642,0))),"") </f>
        <v/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528-2025-12-31</t>
        </is>
      </c>
    </row>
    <row r="1643" hidden="1">
      <c r="A1643" t="n">
        <v>529</v>
      </c>
      <c r="B1643" t="inlineStr">
        <is>
          <t>Oportunidad en la solución de solicitudes de infraestructura</t>
        </is>
      </c>
      <c r="C1643" t="inlineStr">
        <is>
          <t>Gestión Infraestructura Física</t>
        </is>
      </c>
      <c r="D1643" t="inlineStr">
        <is>
          <t>Semestral</t>
        </is>
      </c>
      <c r="E1643" t="inlineStr">
        <is>
          <t>Positivo</t>
        </is>
      </c>
      <c r="F1643" s="108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180</v>
      </c>
      <c r="K1643" t="n">
        <v>294.16</v>
      </c>
      <c r="L1643" s="39">
        <f>IFERROR(IF(OR(J1643=0,K1643=""),"",IF(E1643="Positivo",MIN(MAX(K1643/J1643,0),1.3),MIN(MAX(J1643/K1643,0),1.3))),"") </f>
        <v/>
      </c>
      <c r="M1643" s="3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529-2025-12-31</t>
        </is>
      </c>
    </row>
    <row r="1644" hidden="1">
      <c r="A1644" t="n">
        <v>530</v>
      </c>
      <c r="B1644" t="inlineStr">
        <is>
          <t>Índice de Cumplimiento del Sprint</t>
        </is>
      </c>
      <c r="C1644" t="inlineStr">
        <is>
          <t>GESTIÓN DE LA TECNOLOGÍA E INNOVACIÓN DIGITAL</t>
        </is>
      </c>
      <c r="D1644" t="inlineStr">
        <is>
          <t>Trimestral</t>
        </is>
      </c>
      <c r="E1644" t="inlineStr">
        <is>
          <t>Positivo</t>
        </is>
      </c>
      <c r="F1644" s="108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97</v>
      </c>
      <c r="K1644" t="n">
        <v>85.56</v>
      </c>
      <c r="L1644" s="39">
        <f>IFERROR(IF(OR(J1644=0,K1644=""),"",IF(E1644="Positivo",MIN(MAX(K1644/J1644,0),1.3),MIN(MAX(J1644/K1644,0),1.3))),"") </f>
        <v/>
      </c>
      <c r="M1644" s="39">
        <f>IFERROR(IF(OR(J1644=0,K1644=""),"",IF(E1644="Positivo",MAX(K1644/J1644,0),MAX(J1644/K1644,0))),"") 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530-2025-12-31</t>
        </is>
      </c>
    </row>
    <row r="1645" hidden="1">
      <c r="A1645" t="n">
        <v>531</v>
      </c>
      <c r="B1645" t="inlineStr">
        <is>
          <t>Eficiencia de capacidad instalada</t>
        </is>
      </c>
      <c r="C1645" t="inlineStr">
        <is>
          <t>GESTIÓN DE LA TECNOLOGÍA E INNOVACIÓN DIGITAL</t>
        </is>
      </c>
      <c r="D1645" t="inlineStr">
        <is>
          <t>Trimestral</t>
        </is>
      </c>
      <c r="E1645" t="inlineStr">
        <is>
          <t>Positivo</t>
        </is>
      </c>
      <c r="F1645" s="108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90</v>
      </c>
      <c r="K1645" t="n">
        <v>93.94</v>
      </c>
      <c r="L1645" s="39">
        <f>IFERROR(IF(OR(J1645=0,K1645=""),"",IF(E1645="Positivo",MIN(MAX(K1645/J1645,0),1.3),MIN(MAX(J1645/K1645,0),1.3))),"") </f>
        <v/>
      </c>
      <c r="M1645" s="39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531-2025-12-31</t>
        </is>
      </c>
    </row>
    <row r="1646" hidden="1">
      <c r="A1646" t="n">
        <v>532</v>
      </c>
      <c r="B1646" t="inlineStr">
        <is>
          <t>Actividades de Cooperación en Internacionalización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08" t="n">
        <v>45838</v>
      </c>
      <c r="G1646" t="n">
        <v>2025</v>
      </c>
      <c r="H1646" t="inlineStr">
        <is>
          <t>Junio</t>
        </is>
      </c>
      <c r="I1646" t="inlineStr">
        <is>
          <t>2025-1</t>
        </is>
      </c>
      <c r="J1646" t="n">
        <v>100</v>
      </c>
      <c r="K1646" t="n">
        <v>133.15</v>
      </c>
      <c r="L1646" s="39">
        <f>IFERROR(IF(OR(J1646=0,K1646=""),"",IF(E1646="Positivo",MIN(MAX(K1646/J1646,0),1.3),MIN(MAX(J1646/K1646,0),1.3))),"") </f>
        <v/>
      </c>
      <c r="M1646" s="39">
        <f>IFERROR(IF(OR(J1646=0,K1646=""),"",IF(E1646="Positivo",MAX(K1646/J1646,0),MAX(J1646/K1646,0))),"") 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532-2025-06-30</t>
        </is>
      </c>
    </row>
    <row r="1647" hidden="1">
      <c r="A1647" t="n">
        <v>532</v>
      </c>
      <c r="B1647" t="inlineStr">
        <is>
          <t>Actividades de Cooperación en Internacionalización</t>
        </is>
      </c>
      <c r="C1647" t="inlineStr">
        <is>
          <t>VISIBILIDAD NACIONAL E INTERNACIONAL</t>
        </is>
      </c>
      <c r="D1647" t="inlineStr">
        <is>
          <t>Trimestral</t>
        </is>
      </c>
      <c r="E1647" t="inlineStr">
        <is>
          <t>Positivo</t>
        </is>
      </c>
      <c r="F1647" s="108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100</v>
      </c>
      <c r="K1647" t="n">
        <v>134.78</v>
      </c>
      <c r="L1647" s="39">
        <f>IFERROR(IF(OR(J1647=0,K1647=""),"",IF(E1647="Positivo",MIN(MAX(K1647/J1647,0),1.3),MIN(MAX(J1647/K1647,0),1.3))),"") </f>
        <v/>
      </c>
      <c r="M1647" s="39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532-2025-12-31</t>
        </is>
      </c>
    </row>
    <row r="1648" hidden="1">
      <c r="A1648" t="n">
        <v>533</v>
      </c>
      <c r="B1648" t="inlineStr">
        <is>
          <t>Participación de estudiantes externos invitados a actividades de cooperación nacional e internacional</t>
        </is>
      </c>
      <c r="C1648" t="inlineStr">
        <is>
          <t>VISIBILIDAD NACIONAL E INTERNACIONAL</t>
        </is>
      </c>
      <c r="D1648" t="inlineStr">
        <is>
          <t>Trimestral</t>
        </is>
      </c>
      <c r="E1648" t="inlineStr">
        <is>
          <t>Positivo</t>
        </is>
      </c>
      <c r="F1648" s="108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100</v>
      </c>
      <c r="K1648" t="n">
        <v>124.89</v>
      </c>
      <c r="L1648" s="39">
        <f>IFERROR(IF(OR(J1648=0,K1648=""),"",IF(E1648="Positivo",MIN(MAX(K1648/J1648,0),1.3),MIN(MAX(J1648/K1648,0),1.3))),"") </f>
        <v/>
      </c>
      <c r="M1648" s="3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533-2025-06-30</t>
        </is>
      </c>
    </row>
    <row r="1649" hidden="1">
      <c r="A1649" t="n">
        <v>533</v>
      </c>
      <c r="B1649" t="inlineStr">
        <is>
          <t>Participación de estudiantes externos invitados a actividades de cooperación nacional e internacional</t>
        </is>
      </c>
      <c r="C1649" t="inlineStr">
        <is>
          <t>VISIBILIDAD NACIONAL E INTERNACIONAL</t>
        </is>
      </c>
      <c r="D1649" t="inlineStr">
        <is>
          <t>Trimestral</t>
        </is>
      </c>
      <c r="E1649" t="inlineStr">
        <is>
          <t>Positivo</t>
        </is>
      </c>
      <c r="F1649" s="108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100</v>
      </c>
      <c r="K1649" t="n">
        <v>177.95</v>
      </c>
      <c r="L1649" s="39">
        <f>IFERROR(IF(OR(J1649=0,K1649=""),"",IF(E1649="Positivo",MIN(MAX(K1649/J1649,0),1.3),MIN(MAX(J1649/K1649,0),1.3))),"") </f>
        <v/>
      </c>
      <c r="M1649" s="39">
        <f>IFERROR(IF(OR(J1649=0,K1649=""),"",IF(E1649="Positivo",MAX(K1649/J1649,0),MAX(J1649/K1649,0))),"") 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533-2025-12-31</t>
        </is>
      </c>
    </row>
    <row r="1650" hidden="1">
      <c r="A1650" t="n">
        <v>534</v>
      </c>
      <c r="B1650" t="inlineStr">
        <is>
          <t>Participación de estudiantes POLI en actividades de cooperación nacional e internacional</t>
        </is>
      </c>
      <c r="C1650" t="inlineStr">
        <is>
          <t>VISIBILIDAD NACIONAL E INTERNACIONAL</t>
        </is>
      </c>
      <c r="D1650" t="inlineStr">
        <is>
          <t>Trimestral</t>
        </is>
      </c>
      <c r="E1650" t="inlineStr">
        <is>
          <t>Positivo</t>
        </is>
      </c>
      <c r="F1650" s="108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100</v>
      </c>
      <c r="K1650" t="n">
        <v>134.09</v>
      </c>
      <c r="L1650" s="39">
        <f>IFERROR(IF(OR(J1650=0,K1650=""),"",IF(E1650="Positivo",MIN(MAX(K1650/J1650,0),1.3),MIN(MAX(J1650/K1650,0),1.3))),"") </f>
        <v/>
      </c>
      <c r="M1650" s="3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534-2025-06-30</t>
        </is>
      </c>
    </row>
    <row r="1651" hidden="1">
      <c r="A1651" t="n">
        <v>534</v>
      </c>
      <c r="B1651" t="inlineStr">
        <is>
          <t>Participación de estudiantes POLI en actividades de cooperación nacional e internacional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08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100</v>
      </c>
      <c r="K1651" t="n">
        <v>134.53</v>
      </c>
      <c r="L1651" s="39">
        <f>IFERROR(IF(OR(J1651=0,K1651=""),"",IF(E1651="Positivo",MIN(MAX(K1651/J1651,0),1.3),MIN(MAX(J1651/K1651,0),1.3))),"") </f>
        <v/>
      </c>
      <c r="M1651" s="3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534-2025-12-31</t>
        </is>
      </c>
    </row>
    <row r="1652" hidden="1">
      <c r="A1652" t="n">
        <v>535</v>
      </c>
      <c r="B1652" t="inlineStr">
        <is>
          <t>Participación de profesores externos invitados a actividades de cooperación nacional e internacional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08" t="n">
        <v>45838</v>
      </c>
      <c r="G1652" t="n">
        <v>2025</v>
      </c>
      <c r="H1652" t="inlineStr">
        <is>
          <t>Junio</t>
        </is>
      </c>
      <c r="I1652" t="inlineStr">
        <is>
          <t>2025-1</t>
        </is>
      </c>
      <c r="J1652" t="n">
        <v>100</v>
      </c>
      <c r="K1652" t="n">
        <v>132.67</v>
      </c>
      <c r="L1652" s="39">
        <f>IFERROR(IF(OR(J1652=0,K1652=""),"",IF(E1652="Positivo",MIN(MAX(K1652/J1652,0),1.3),MIN(MAX(J1652/K1652,0),1.3))),"") </f>
        <v/>
      </c>
      <c r="M1652" s="39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535-2025-06-30</t>
        </is>
      </c>
    </row>
    <row r="1653" hidden="1">
      <c r="A1653" t="n">
        <v>535</v>
      </c>
      <c r="B1653" t="inlineStr">
        <is>
          <t>Participación de profesores externos invitados a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08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100</v>
      </c>
      <c r="K1653" t="n">
        <v>209.63</v>
      </c>
      <c r="L1653" s="39">
        <f>IFERROR(IF(OR(J1653=0,K1653=""),"",IF(E1653="Positivo",MIN(MAX(K1653/J1653,0),1.3),MIN(MAX(J1653/K1653,0),1.3))),"") </f>
        <v/>
      </c>
      <c r="M1653" s="3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535-2025-12-31</t>
        </is>
      </c>
    </row>
    <row r="1654" hidden="1">
      <c r="A1654" t="n">
        <v>536</v>
      </c>
      <c r="B1654" t="inlineStr">
        <is>
          <t>Participación de profesores POLI en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08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109.33</v>
      </c>
      <c r="L1654" s="39">
        <f>IFERROR(IF(OR(J1654=0,K1654=""),"",IF(E1654="Positivo",MIN(MAX(K1654/J1654,0),1.3),MIN(MAX(J1654/K1654,0),1.3))),"") </f>
        <v/>
      </c>
      <c r="M1654" s="39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536-2025-06-30</t>
        </is>
      </c>
    </row>
    <row r="1655" hidden="1">
      <c r="A1655" t="n">
        <v>536</v>
      </c>
      <c r="B1655" t="inlineStr">
        <is>
          <t>Participación de profesores POLI en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08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260.75</v>
      </c>
      <c r="L1655" s="39">
        <f>IFERROR(IF(OR(J1655=0,K1655=""),"",IF(E1655="Positivo",MIN(MAX(K1655/J1655,0),1.3),MIN(MAX(J1655/K1655,0),1.3))),"") </f>
        <v/>
      </c>
      <c r="M1655" s="39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536-2025-12-31</t>
        </is>
      </c>
    </row>
    <row r="1656" hidden="1">
      <c r="A1656" s="5" t="n">
        <v>537</v>
      </c>
      <c r="B1656" s="5" t="inlineStr">
        <is>
          <t>FCR- Resolución en primer contacto</t>
        </is>
      </c>
      <c r="C1656" s="5" t="inlineStr">
        <is>
          <t>Servicio</t>
        </is>
      </c>
      <c r="D1656" s="5" t="inlineStr">
        <is>
          <t>Trimestral</t>
        </is>
      </c>
      <c r="E1656" s="5" t="inlineStr">
        <is>
          <t>Positivo</t>
        </is>
      </c>
      <c r="F1656" s="100" t="n">
        <v>45838</v>
      </c>
      <c r="G1656" s="15" t="n">
        <v>2025</v>
      </c>
      <c r="H1656" s="6" t="inlineStr">
        <is>
          <t>Junio</t>
        </is>
      </c>
      <c r="I1656" s="27" t="inlineStr">
        <is>
          <t>2025-1</t>
        </is>
      </c>
      <c r="J1656" s="5" t="n">
        <v>65</v>
      </c>
      <c r="K1656" s="3" t="n">
        <v>58.9</v>
      </c>
      <c r="L1656" s="14">
        <f>IFERROR(IF(OR(J1656=0,K1656=""),"",IF(E1656="Positivo",MIN(MAX(K1656/J1656,0),1.3),MIN(MAX(J1656/K1656,0),1.3))),"") </f>
        <v/>
      </c>
      <c r="M1656" s="14">
        <f>IFERROR(IF(OR(J1656=0,K1656=""),"",IF(E1656="Positivo",MAX(K1656/J1656,0),MAX(J1656/K1656,0))),"") </f>
        <v/>
      </c>
      <c r="N1656" s="5" t="inlineStr">
        <is>
          <t>ENT</t>
        </is>
      </c>
      <c r="O1656" s="5" t="inlineStr">
        <is>
          <t>ENT</t>
        </is>
      </c>
      <c r="P1656" s="5" t="n">
        <v>0</v>
      </c>
      <c r="Q1656" s="5" t="n">
        <v>0</v>
      </c>
      <c r="R1656" s="5" t="inlineStr">
        <is>
          <t>537-2025-06-30</t>
        </is>
      </c>
    </row>
    <row r="1657" hidden="1">
      <c r="A1657" s="5" t="n">
        <v>537</v>
      </c>
      <c r="B1657" s="5" t="inlineStr">
        <is>
          <t>FCR- Resolución en primer contacto</t>
        </is>
      </c>
      <c r="C1657" s="5" t="inlineStr">
        <is>
          <t>Servicio</t>
        </is>
      </c>
      <c r="D1657" s="5" t="inlineStr">
        <is>
          <t>Trimestral</t>
        </is>
      </c>
      <c r="E1657" s="5" t="inlineStr">
        <is>
          <t>Positivo</t>
        </is>
      </c>
      <c r="F1657" s="101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65</v>
      </c>
      <c r="K1657" s="3" t="n">
        <v>64.3</v>
      </c>
      <c r="L1657" s="14">
        <f>IFERROR(IF(OR(J1657=0,K1657=""),"",IF(E1657="Positivo",MIN(MAX(K1657/J1657,0),1.3),MIN(MAX(J1657/K1657,0),1.3))),"") </f>
        <v/>
      </c>
      <c r="M1657" s="14">
        <f>IFERROR(IF(OR(J1657=0,K1657=""),"",IF(E1657="Positivo",MAX(K1657/J1657,0),MAX(J1657/K1657,0))),"") </f>
        <v/>
      </c>
      <c r="N1657" s="5" t="inlineStr">
        <is>
          <t>ENT</t>
        </is>
      </c>
      <c r="O1657" s="5" t="inlineStr">
        <is>
          <t>ENT</t>
        </is>
      </c>
      <c r="P1657" s="5" t="n">
        <v>0</v>
      </c>
      <c r="Q1657" s="5" t="n">
        <v>0</v>
      </c>
      <c r="R1657" s="5" t="inlineStr">
        <is>
          <t>537-2025-12-31</t>
        </is>
      </c>
    </row>
    <row r="1658" hidden="1">
      <c r="A1658" s="5" t="n">
        <v>538</v>
      </c>
      <c r="B1658" s="5" t="inlineStr">
        <is>
          <t>Cumplimiento de sesiones de socialización de planeación académica</t>
        </is>
      </c>
      <c r="C1658" s="5" t="inlineStr">
        <is>
          <t>Registro y Control</t>
        </is>
      </c>
      <c r="D1658" s="5" t="inlineStr">
        <is>
          <t>Trimestral</t>
        </is>
      </c>
      <c r="E1658" s="5" t="inlineStr">
        <is>
          <t>Positivo</t>
        </is>
      </c>
      <c r="F1658" s="101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16" t="n">
        <v>90</v>
      </c>
      <c r="K1658" s="62" t="n">
        <v>100</v>
      </c>
      <c r="L1658" s="14">
        <f>IFERROR(IF(OR(J1658=0,K1658=""),"",IF(E1658="Positivo",MIN(MAX(K1658/J1658,0),1.3),MIN(MAX(J1658/K1658,0),1.3))),"") </f>
        <v/>
      </c>
      <c r="M1658" s="14">
        <f>IFERROR(IF(OR(J1658=0,K1658=""),"",IF(E1658="Positivo",MAX(K1658/J1658,0),MAX(J1658/K1658,0))),"") </f>
        <v/>
      </c>
      <c r="N1658" s="5" t="inlineStr">
        <is>
          <t>%</t>
        </is>
      </c>
      <c r="O1658" s="5" t="inlineStr">
        <is>
          <t>%</t>
        </is>
      </c>
      <c r="P1658" s="5" t="n">
        <v>0</v>
      </c>
      <c r="Q1658" s="5" t="n">
        <v>0</v>
      </c>
      <c r="R1658" s="5" t="inlineStr">
        <is>
          <t>538-2025-12-31</t>
        </is>
      </c>
    </row>
    <row r="1659" hidden="1">
      <c r="A1659" s="5" t="n">
        <v>539</v>
      </c>
      <c r="B1659" s="5" t="inlineStr">
        <is>
          <t>CES emisión de certificados</t>
        </is>
      </c>
      <c r="C1659" s="5" t="inlineStr">
        <is>
          <t>Registro y Control</t>
        </is>
      </c>
      <c r="D1659" s="5" t="inlineStr">
        <is>
          <t>Trimestral</t>
        </is>
      </c>
      <c r="E1659" s="5" t="inlineStr">
        <is>
          <t>Negativo</t>
        </is>
      </c>
      <c r="F1659" s="101" t="n">
        <v>46022</v>
      </c>
      <c r="G1659" s="5" t="n">
        <v>2025</v>
      </c>
      <c r="H1659" s="5" t="inlineStr">
        <is>
          <t>Diciembre</t>
        </is>
      </c>
      <c r="I1659" s="6" t="inlineStr">
        <is>
          <t>2025-2</t>
        </is>
      </c>
      <c r="J1659" s="5" t="n">
        <v>2.5</v>
      </c>
      <c r="K1659" s="3" t="n">
        <v>2.5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%</t>
        </is>
      </c>
      <c r="O1659" s="5" t="inlineStr">
        <is>
          <t>%</t>
        </is>
      </c>
      <c r="P1659" s="5" t="n">
        <v>0</v>
      </c>
      <c r="Q1659" s="5" t="n">
        <v>0</v>
      </c>
      <c r="R1659" s="5" t="inlineStr">
        <is>
          <t>539-2025-12-31</t>
        </is>
      </c>
    </row>
    <row r="1660" hidden="1">
      <c r="A1660" s="5" t="n">
        <v>540</v>
      </c>
      <c r="B1660" s="5" t="inlineStr">
        <is>
          <t>Nivel de Calidad de los Datos Cargados al SNIES</t>
        </is>
      </c>
      <c r="C1660" s="5" t="inlineStr">
        <is>
          <t>DATOS Y ANALÍTICA</t>
        </is>
      </c>
      <c r="D1660" s="5" t="inlineStr">
        <is>
          <t>Trimestral</t>
        </is>
      </c>
      <c r="E1660" s="5" t="inlineStr">
        <is>
          <t>Positivo</t>
        </is>
      </c>
      <c r="F1660" s="101" t="n">
        <v>45838</v>
      </c>
      <c r="G1660" s="5" t="n">
        <v>2025</v>
      </c>
      <c r="H1660" s="5" t="inlineStr">
        <is>
          <t>Junio</t>
        </is>
      </c>
      <c r="I1660" s="6" t="inlineStr">
        <is>
          <t>2025-1</t>
        </is>
      </c>
      <c r="J1660" s="81" t="n">
        <v>97</v>
      </c>
      <c r="K1660" s="51" t="n">
        <v>97.33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%</t>
        </is>
      </c>
      <c r="O1660" s="5" t="inlineStr">
        <is>
          <t>%</t>
        </is>
      </c>
      <c r="P1660" s="5" t="n">
        <v>0</v>
      </c>
      <c r="Q1660" s="5" t="n">
        <v>0</v>
      </c>
      <c r="R1660" s="5" t="inlineStr">
        <is>
          <t>540-2025-06-30</t>
        </is>
      </c>
    </row>
    <row r="1661" hidden="1">
      <c r="A1661" s="5" t="n">
        <v>540</v>
      </c>
      <c r="B1661" s="5" t="inlineStr">
        <is>
          <t>Nivel de Calidad de los Datos Cargados al SNIES</t>
        </is>
      </c>
      <c r="C1661" s="5" t="inlineStr">
        <is>
          <t>DATOS Y ANALÍTICA</t>
        </is>
      </c>
      <c r="D1661" s="5" t="inlineStr">
        <is>
          <t>Trimestral</t>
        </is>
      </c>
      <c r="E1661" s="5" t="inlineStr">
        <is>
          <t>Positivo</t>
        </is>
      </c>
      <c r="F1661" s="101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82" t="n">
        <v>97</v>
      </c>
      <c r="K1661" s="9" t="n">
        <v>97.90000000000001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%</t>
        </is>
      </c>
      <c r="O1661" s="5" t="inlineStr">
        <is>
          <t>%</t>
        </is>
      </c>
      <c r="P1661" s="5" t="n">
        <v>0</v>
      </c>
      <c r="Q1661" s="5" t="n">
        <v>0</v>
      </c>
      <c r="R1661" s="5" t="inlineStr">
        <is>
          <t>540-2025-12-31</t>
        </is>
      </c>
    </row>
    <row r="1662" hidden="1">
      <c r="A1662" s="5" t="n">
        <v>541</v>
      </c>
      <c r="B1662" s="5" t="inlineStr">
        <is>
          <t>Participación de graduados en actividades de empleabilidad y relacionamiento</t>
        </is>
      </c>
      <c r="C1662" s="5" t="inlineStr">
        <is>
          <t>Gestión de Graduados</t>
        </is>
      </c>
      <c r="D1662" s="5" t="inlineStr">
        <is>
          <t>Anual</t>
        </is>
      </c>
      <c r="E1662" s="5" t="inlineStr">
        <is>
          <t>Positivo</t>
        </is>
      </c>
      <c r="F1662" s="100" t="n">
        <v>46022</v>
      </c>
      <c r="G1662" s="15" t="n">
        <v>2025</v>
      </c>
      <c r="H1662" s="6" t="inlineStr">
        <is>
          <t>Diciembre</t>
        </is>
      </c>
      <c r="I1662" s="27" t="inlineStr">
        <is>
          <t>2025-2</t>
        </is>
      </c>
      <c r="J1662" s="5" t="n">
        <v>4</v>
      </c>
      <c r="K1662" s="23" t="n">
        <v>6.99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5" t="n">
        <v>0</v>
      </c>
      <c r="Q1662" s="5" t="n">
        <v>0</v>
      </c>
      <c r="R1662" s="5" t="inlineStr">
        <is>
          <t>541-2025-12-31</t>
        </is>
      </c>
    </row>
    <row r="1663" hidden="1">
      <c r="A1663" s="26" t="n">
        <v>542</v>
      </c>
      <c r="B1663" s="5" t="inlineStr">
        <is>
          <t>Tasa de cotización del graduado - Metrica</t>
        </is>
      </c>
      <c r="C1663" s="5" t="inlineStr">
        <is>
          <t>Gestión de Graduados</t>
        </is>
      </c>
      <c r="D1663" s="5" t="inlineStr">
        <is>
          <t>Anual</t>
        </is>
      </c>
      <c r="E1663" s="5" t="inlineStr">
        <is>
          <t>Positivo</t>
        </is>
      </c>
      <c r="F1663" s="101" t="n">
        <v>46022</v>
      </c>
      <c r="G1663" s="5" t="n">
        <v>2025</v>
      </c>
      <c r="H1663" s="5" t="inlineStr">
        <is>
          <t>Diciembre</t>
        </is>
      </c>
      <c r="I1663" s="6" t="inlineStr">
        <is>
          <t>2025-2</t>
        </is>
      </c>
      <c r="J1663" s="73" t="n"/>
      <c r="K1663" s="9" t="n">
        <v>81.23999999999999</v>
      </c>
      <c r="L1663" s="14" t="n"/>
      <c r="M1663" s="14" t="n"/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542-2025-12-31</t>
        </is>
      </c>
      <c r="S1663" t="inlineStr">
        <is>
          <t>Metrica</t>
        </is>
      </c>
    </row>
    <row r="1664" hidden="1">
      <c r="A1664" s="5" t="n">
        <v>543</v>
      </c>
      <c r="B1664" s="5" t="inlineStr">
        <is>
          <t>Tasa de interacción por usuario</t>
        </is>
      </c>
      <c r="C1664" s="5" t="inlineStr">
        <is>
          <t>Editorial y Publicaciones</t>
        </is>
      </c>
      <c r="D1664" s="5" t="inlineStr">
        <is>
          <t>Trimestral</t>
        </is>
      </c>
      <c r="E1664" s="5" t="inlineStr">
        <is>
          <t>Positivo</t>
        </is>
      </c>
      <c r="F1664" s="101" t="n">
        <v>45838</v>
      </c>
      <c r="G1664" s="5" t="n">
        <v>2025</v>
      </c>
      <c r="H1664" s="5" t="inlineStr">
        <is>
          <t>Junio</t>
        </is>
      </c>
      <c r="I1664" s="6" t="inlineStr">
        <is>
          <t>2025-1</t>
        </is>
      </c>
      <c r="J1664" s="73" t="n"/>
      <c r="K1664" s="9" t="n">
        <v>7.29</v>
      </c>
      <c r="L1664" s="14" t="n"/>
      <c r="M1664" s="14" t="n"/>
      <c r="N1664" s="5" t="inlineStr">
        <is>
          <t>ENT</t>
        </is>
      </c>
      <c r="O1664" s="5" t="inlineStr">
        <is>
          <t>ENT</t>
        </is>
      </c>
      <c r="P1664" s="5" t="n">
        <v>0</v>
      </c>
      <c r="Q1664" s="5" t="n">
        <v>0</v>
      </c>
      <c r="R1664" s="5" t="inlineStr">
        <is>
          <t>543-2025-06-30</t>
        </is>
      </c>
    </row>
    <row r="1665" hidden="1">
      <c r="A1665" s="5" t="n">
        <v>543</v>
      </c>
      <c r="B1665" s="5" t="inlineStr">
        <is>
          <t>Tasa de interacción por usuario</t>
        </is>
      </c>
      <c r="C1665" s="5" t="inlineStr">
        <is>
          <t>Editorial y Publicaciones</t>
        </is>
      </c>
      <c r="D1665" s="5" t="inlineStr">
        <is>
          <t>Trimestral</t>
        </is>
      </c>
      <c r="E1665" s="5" t="inlineStr">
        <is>
          <t>Positivo</t>
        </is>
      </c>
      <c r="F1665" s="101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73" t="n"/>
      <c r="K1665" s="9" t="n">
        <v>6.91</v>
      </c>
      <c r="L1665" s="14" t="n"/>
      <c r="M1665" s="14" t="n"/>
      <c r="N1665" s="5" t="inlineStr">
        <is>
          <t>ENT</t>
        </is>
      </c>
      <c r="O1665" s="5" t="inlineStr">
        <is>
          <t>ENT</t>
        </is>
      </c>
      <c r="P1665" s="5" t="n">
        <v>0</v>
      </c>
      <c r="Q1665" s="5" t="n">
        <v>0</v>
      </c>
      <c r="R1665" s="5" t="inlineStr">
        <is>
          <t>543-2025-12-31</t>
        </is>
      </c>
    </row>
    <row r="1666" hidden="1">
      <c r="A1666" s="5" t="n">
        <v>544</v>
      </c>
      <c r="B1666" s="5" t="inlineStr">
        <is>
          <t>Producción de ambientes inmersivos LEI</t>
        </is>
      </c>
      <c r="C1666" s="5" t="inlineStr">
        <is>
          <t>LEI</t>
        </is>
      </c>
      <c r="D1666" s="5" t="inlineStr">
        <is>
          <t>Trimestral</t>
        </is>
      </c>
      <c r="E1666" s="5" t="inlineStr">
        <is>
          <t>Positivo</t>
        </is>
      </c>
      <c r="F1666" s="101" t="n">
        <v>45838</v>
      </c>
      <c r="G1666" s="5" t="n">
        <v>2025</v>
      </c>
      <c r="H1666" s="5" t="inlineStr">
        <is>
          <t>Junio</t>
        </is>
      </c>
      <c r="I1666" s="6" t="inlineStr">
        <is>
          <t>2025-1</t>
        </is>
      </c>
      <c r="J1666" s="5" t="n">
        <v>100</v>
      </c>
      <c r="K1666" s="5" t="n">
        <v>250</v>
      </c>
      <c r="L1666" s="14">
        <f>IFERROR(IF(OR(J1666=0,K1666=""),"",IF(E1666="Positivo",MIN(MAX(K1666/J1666,0),1.3),MIN(MAX(J1666/K1666,0),1.3))),"") </f>
        <v/>
      </c>
      <c r="M1666" s="14">
        <f>IFERROR(IF(OR(J1666=0,K1666=""),"",IF(E1666="Positivo",MAX(K1666/J1666,0),MAX(J1666/K1666,0))),"") </f>
        <v/>
      </c>
      <c r="N1666" s="5" t="inlineStr">
        <is>
          <t>ENT</t>
        </is>
      </c>
      <c r="O1666" s="5" t="inlineStr">
        <is>
          <t>ENT</t>
        </is>
      </c>
      <c r="P1666" s="5" t="n">
        <v>0</v>
      </c>
      <c r="Q1666" s="5" t="n">
        <v>0</v>
      </c>
      <c r="R1666" s="5" t="inlineStr">
        <is>
          <t>544-2025-06-30</t>
        </is>
      </c>
    </row>
    <row r="1667" hidden="1">
      <c r="A1667" s="5" t="n">
        <v>544</v>
      </c>
      <c r="B1667" s="5" t="inlineStr">
        <is>
          <t>Producción de ambientes inmersivos LEI</t>
        </is>
      </c>
      <c r="C1667" s="5" t="inlineStr">
        <is>
          <t>LEI</t>
        </is>
      </c>
      <c r="D1667" s="5" t="inlineStr">
        <is>
          <t>Trimestral</t>
        </is>
      </c>
      <c r="E1667" s="5" t="inlineStr">
        <is>
          <t>Positivo</t>
        </is>
      </c>
      <c r="F1667" s="101" t="n">
        <v>46022</v>
      </c>
      <c r="G1667" s="5" t="n">
        <v>2025</v>
      </c>
      <c r="H1667" s="5" t="inlineStr">
        <is>
          <t>Diciembre</t>
        </is>
      </c>
      <c r="I1667" s="6" t="inlineStr">
        <is>
          <t>2025-2</t>
        </is>
      </c>
      <c r="J1667" s="5" t="n">
        <v>100</v>
      </c>
      <c r="K1667" s="5" t="n">
        <v>162.5</v>
      </c>
      <c r="L1667" s="14">
        <f>IFERROR(IF(OR(J1667=0,K1667=""),"",IF(E1667="Positivo",MIN(MAX(K1667/J1667,0),1.3),MIN(MAX(J1667/K1667,0),1.3))),"") </f>
        <v/>
      </c>
      <c r="M1667" s="14">
        <f>IFERROR(IF(OR(J1667=0,K1667=""),"",IF(E1667="Positivo",MAX(K1667/J1667,0),MAX(J1667/K1667,0))),"") </f>
        <v/>
      </c>
      <c r="N1667" s="5" t="inlineStr">
        <is>
          <t>ENT</t>
        </is>
      </c>
      <c r="O1667" s="5" t="inlineStr">
        <is>
          <t>ENT</t>
        </is>
      </c>
      <c r="P1667" s="5" t="n">
        <v>0</v>
      </c>
      <c r="Q1667" s="5" t="n">
        <v>0</v>
      </c>
      <c r="R1667" s="5" t="inlineStr">
        <is>
          <t>544-2025-12-31</t>
        </is>
      </c>
    </row>
    <row r="1668" hidden="1">
      <c r="A1668" t="n">
        <v>546</v>
      </c>
      <c r="B1668" t="inlineStr">
        <is>
          <t>Tasa de participación de graduados en instrumentos de seguimiento (M0, M1, M5)</t>
        </is>
      </c>
      <c r="C1668" t="inlineStr">
        <is>
          <t>Gestión de Graduados</t>
        </is>
      </c>
      <c r="D1668" t="inlineStr">
        <is>
          <t>Anual</t>
        </is>
      </c>
      <c r="E1668" t="inlineStr">
        <is>
          <t>Positivo</t>
        </is>
      </c>
      <c r="F1668" s="108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100</v>
      </c>
      <c r="K1668" t="n">
        <v>113.38</v>
      </c>
      <c r="L1668" s="39">
        <f>IFERROR(IF(OR(J1668=0,K1668=""),"",IF(E1668="Positivo",MIN(MAX(K1668/J1668,0),1.3),MIN(MAX(J1668/K1668,0),1.3))),"") </f>
        <v/>
      </c>
      <c r="M1668" s="3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546-2025-12-31</t>
        </is>
      </c>
    </row>
    <row r="1669" hidden="1">
      <c r="A1669" t="n">
        <v>547</v>
      </c>
      <c r="B1669" t="inlineStr">
        <is>
          <t>Nivel de satisfacción del graduado con la institución</t>
        </is>
      </c>
      <c r="C1669" t="inlineStr">
        <is>
          <t>Gestión de Graduados</t>
        </is>
      </c>
      <c r="D1669" t="inlineStr">
        <is>
          <t>Anual</t>
        </is>
      </c>
      <c r="E1669" t="inlineStr">
        <is>
          <t>Positivo</t>
        </is>
      </c>
      <c r="F1669" s="108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K1669" t="n">
        <v>92</v>
      </c>
      <c r="L1669" s="39" t="n"/>
      <c r="M1669" s="39" t="n"/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547-2025-12-31</t>
        </is>
      </c>
    </row>
    <row r="1670" hidden="1">
      <c r="A1670" t="n">
        <v>550</v>
      </c>
      <c r="B1670" t="inlineStr">
        <is>
          <t>Nivel de satisfacción con las actividades de formación</t>
        </is>
      </c>
      <c r="C1670" t="inlineStr">
        <is>
          <t>Emprendimiento</t>
        </is>
      </c>
      <c r="D1670" t="inlineStr">
        <is>
          <t>Trimestral</t>
        </is>
      </c>
      <c r="E1670" t="inlineStr">
        <is>
          <t>Positivo</t>
        </is>
      </c>
      <c r="F1670" s="108" t="n">
        <v>45838</v>
      </c>
      <c r="G1670" t="n">
        <v>2025</v>
      </c>
      <c r="H1670" t="inlineStr">
        <is>
          <t>Junio</t>
        </is>
      </c>
      <c r="I1670" t="inlineStr">
        <is>
          <t>2025-1</t>
        </is>
      </c>
      <c r="J1670" t="n">
        <v>80</v>
      </c>
      <c r="K1670" t="n">
        <v>95</v>
      </c>
      <c r="L1670" s="39">
        <f>IFERROR(IF(OR(J1670=0,K1670=""),"",IF(E1670="Positivo",MIN(MAX(K1670/J1670,0),1.3),MIN(MAX(J1670/K1670,0),1.3))),"") </f>
        <v/>
      </c>
      <c r="M1670" s="3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550-2025-06-30</t>
        </is>
      </c>
    </row>
    <row r="1671" hidden="1">
      <c r="A1671" t="n">
        <v>550</v>
      </c>
      <c r="B1671" t="inlineStr">
        <is>
          <t>Nivel de satisfacción con las actividades de formación</t>
        </is>
      </c>
      <c r="C1671" t="inlineStr">
        <is>
          <t>Emprendimiento</t>
        </is>
      </c>
      <c r="D1671" t="inlineStr">
        <is>
          <t>Trimestral</t>
        </is>
      </c>
      <c r="E1671" t="inlineStr">
        <is>
          <t>Positivo</t>
        </is>
      </c>
      <c r="F1671" s="108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80</v>
      </c>
      <c r="K1671" t="n">
        <v>95.5</v>
      </c>
      <c r="L1671" s="39">
        <f>IFERROR(IF(OR(J1671=0,K1671=""),"",IF(E1671="Positivo",MIN(MAX(K1671/J1671,0),1.3),MIN(MAX(J1671/K1671,0),1.3))),"") </f>
        <v/>
      </c>
      <c r="M1671" s="3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550-2025-12-31</t>
        </is>
      </c>
    </row>
    <row r="1672" hidden="1">
      <c r="A1672" t="n">
        <v>551</v>
      </c>
      <c r="B1672" t="inlineStr">
        <is>
          <t>Evaluación del desempeño de los mentores</t>
        </is>
      </c>
      <c r="C1672" t="inlineStr">
        <is>
          <t>Emprendimiento</t>
        </is>
      </c>
      <c r="D1672" t="inlineStr">
        <is>
          <t>Trimestral</t>
        </is>
      </c>
      <c r="E1672" t="inlineStr">
        <is>
          <t>Positivo</t>
        </is>
      </c>
      <c r="F1672" s="108" t="n">
        <v>45838</v>
      </c>
      <c r="G1672" t="n">
        <v>2025</v>
      </c>
      <c r="H1672" t="inlineStr">
        <is>
          <t>Junio</t>
        </is>
      </c>
      <c r="I1672" t="inlineStr">
        <is>
          <t>2025-1</t>
        </is>
      </c>
      <c r="J1672" t="n">
        <v>4</v>
      </c>
      <c r="K1672" t="n">
        <v>5</v>
      </c>
      <c r="L1672" s="39">
        <f>IFERROR(IF(OR(J1672=0,K1672=""),"",IF(E1672="Positivo",MIN(MAX(K1672/J1672,0),1.3),MIN(MAX(J1672/K1672,0),1.3))),"") </f>
        <v/>
      </c>
      <c r="M1672" s="39">
        <f>IFERROR(IF(OR(J1672=0,K1672=""),"",IF(E1672="Positivo",MAX(K1672/J1672,0),MAX(J1672/K1672,0))),"") </f>
        <v/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551-2025-06-30</t>
        </is>
      </c>
    </row>
    <row r="1673" hidden="1">
      <c r="A1673" t="n">
        <v>551</v>
      </c>
      <c r="B1673" t="inlineStr">
        <is>
          <t>Evaluación del desempeño de los mentores</t>
        </is>
      </c>
      <c r="C1673" t="inlineStr">
        <is>
          <t>Emprendimiento</t>
        </is>
      </c>
      <c r="D1673" t="inlineStr">
        <is>
          <t>Trimestral</t>
        </is>
      </c>
      <c r="E1673" t="inlineStr">
        <is>
          <t>Positivo</t>
        </is>
      </c>
      <c r="F1673" s="108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4</v>
      </c>
      <c r="K1673" t="n">
        <v>5</v>
      </c>
      <c r="L1673" s="39">
        <f>IFERROR(IF(OR(J1673=0,K1673=""),"",IF(E1673="Positivo",MIN(MAX(K1673/J1673,0),1.3),MIN(MAX(J1673/K1673,0),1.3))),"") </f>
        <v/>
      </c>
      <c r="M1673" s="3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551-2025-12-31</t>
        </is>
      </c>
    </row>
    <row r="1674" hidden="1">
      <c r="A1674" t="n">
        <v>552</v>
      </c>
      <c r="B1674" t="inlineStr">
        <is>
          <t>Nivel de Satisfacción Servicios Prestados -Gestión de la Responsabilidad Social</t>
        </is>
      </c>
      <c r="C1674" t="inlineStr">
        <is>
          <t>Gestión de la Responsabilidad Social</t>
        </is>
      </c>
      <c r="D1674" t="inlineStr">
        <is>
          <t>Anual</t>
        </is>
      </c>
      <c r="E1674" t="inlineStr">
        <is>
          <t>Positivo</t>
        </is>
      </c>
      <c r="F1674" s="108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80</v>
      </c>
      <c r="K1674" t="n">
        <v>92</v>
      </c>
      <c r="L1674" s="39">
        <f>IFERROR(IF(OR(J1674=0,K1674=""),"",IF(E1674="Positivo",MIN(MAX(K1674/J1674,0),1.3),MIN(MAX(J1674/K1674,0),1.3))),"") </f>
        <v/>
      </c>
      <c r="M1674" s="39">
        <f>IFERROR(IF(OR(J1674=0,K1674=""),"",IF(E1674="Positivo",MAX(K1674/J1674,0),MAX(J1674/K1674,0))),"") </f>
        <v/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552-2025-06-30</t>
        </is>
      </c>
    </row>
    <row r="1675" hidden="1">
      <c r="A1675" t="n">
        <v>552</v>
      </c>
      <c r="B1675" t="inlineStr">
        <is>
          <t>Nivel de Satisfacción Servicios Prestados -Gestión de la Responsabilidad Social</t>
        </is>
      </c>
      <c r="C1675" t="inlineStr">
        <is>
          <t>Gestión de la Responsabilidad Social</t>
        </is>
      </c>
      <c r="D1675" t="inlineStr">
        <is>
          <t>Anual</t>
        </is>
      </c>
      <c r="E1675" t="inlineStr">
        <is>
          <t>Positivo</t>
        </is>
      </c>
      <c r="F1675" s="108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80</v>
      </c>
      <c r="K1675" t="n">
        <v>92</v>
      </c>
      <c r="L1675" s="39">
        <f>IFERROR(IF(OR(J1675=0,K1675=""),"",IF(E1675="Positivo",MIN(MAX(K1675/J1675,0),1.3),MIN(MAX(J1675/K1675,0),1.3))),"") </f>
        <v/>
      </c>
      <c r="M1675" s="39">
        <f>IFERROR(IF(OR(J1675=0,K1675=""),"",IF(E1675="Positivo",MAX(K1675/J1675,0),MAX(J1675/K1675,0))),"") </f>
        <v/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552-2025-12-31</t>
        </is>
      </c>
    </row>
    <row r="1676" hidden="1">
      <c r="A1676" t="n">
        <v>553</v>
      </c>
      <c r="B1676" t="inlineStr">
        <is>
          <t>Nivel de Satisfacción Servicios Prestados -Inscripción, admisión y matrícula de estudiantes nuevos</t>
        </is>
      </c>
      <c r="C1676" t="inlineStr">
        <is>
          <t>Inscripción, admisión y matrícula de estudiantes nuevos</t>
        </is>
      </c>
      <c r="D1676" t="inlineStr">
        <is>
          <t>Anual</t>
        </is>
      </c>
      <c r="E1676" t="inlineStr">
        <is>
          <t>Positivo</t>
        </is>
      </c>
      <c r="F1676" s="108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83</v>
      </c>
      <c r="L1676" s="39">
        <f>IFERROR(IF(OR(J1676=0,K1676=""),"",IF(E1676="Positivo",MIN(MAX(K1676/J1676,0),1.3),MIN(MAX(J1676/K1676,0),1.3))),"") </f>
        <v/>
      </c>
      <c r="M1676" s="3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553-2025-12-31</t>
        </is>
      </c>
    </row>
    <row r="1677" hidden="1">
      <c r="A1677" t="n">
        <v>554</v>
      </c>
      <c r="B1677" t="inlineStr">
        <is>
          <t>Nivel de Satisfacción Servicios Prestados -Permanencia</t>
        </is>
      </c>
      <c r="C1677" t="inlineStr">
        <is>
          <t>Permanencia</t>
        </is>
      </c>
      <c r="D1677" t="inlineStr">
        <is>
          <t>Trimestral</t>
        </is>
      </c>
      <c r="E1677" t="inlineStr">
        <is>
          <t>Positivo</t>
        </is>
      </c>
      <c r="F1677" s="108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80</v>
      </c>
      <c r="L1677" s="39" t="n"/>
      <c r="M1677" s="39" t="n"/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554-2025-06-30</t>
        </is>
      </c>
      <c r="S1677" t="inlineStr">
        <is>
          <t>No Aplica</t>
        </is>
      </c>
    </row>
    <row r="1678" hidden="1">
      <c r="A1678" t="n">
        <v>554</v>
      </c>
      <c r="B1678" t="inlineStr">
        <is>
          <t>Nivel de Satisfacción Servicios Prestados -Permanencia</t>
        </is>
      </c>
      <c r="C1678" t="inlineStr">
        <is>
          <t>Permanencia</t>
        </is>
      </c>
      <c r="D1678" t="inlineStr">
        <is>
          <t>Trimestral</t>
        </is>
      </c>
      <c r="E1678" t="inlineStr">
        <is>
          <t>Positivo</t>
        </is>
      </c>
      <c r="F1678" s="108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80</v>
      </c>
      <c r="K1678" t="n">
        <v>95</v>
      </c>
      <c r="L1678" s="39">
        <f>IFERROR(IF(OR(J1678=0,K1678=""),"",IF(E1678="Positivo",MIN(MAX(K1678/J1678,0),1.3),MIN(MAX(J1678/K1678,0),1.3))),"") </f>
        <v/>
      </c>
      <c r="M1678" s="39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554-2025-12-31</t>
        </is>
      </c>
    </row>
    <row r="1679" hidden="1">
      <c r="A1679" t="n">
        <v>555</v>
      </c>
      <c r="B1679" t="inlineStr">
        <is>
          <t>Nivel de Satisfacción Servicios Prestados -Mercadeo y venta de educación para la vida</t>
        </is>
      </c>
      <c r="C1679" t="inlineStr">
        <is>
          <t>Mercadeo y venta de educación para la vida</t>
        </is>
      </c>
      <c r="D1679" t="inlineStr">
        <is>
          <t>Trimestral</t>
        </is>
      </c>
      <c r="E1679" t="inlineStr">
        <is>
          <t>Positivo</t>
        </is>
      </c>
      <c r="F1679" s="108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80</v>
      </c>
      <c r="K1679" t="n">
        <v>100</v>
      </c>
      <c r="L1679" s="39">
        <f>IFERROR(IF(OR(J1679=0,K1679=""),"",IF(E1679="Positivo",MIN(MAX(K1679/J1679,0),1.3),MIN(MAX(J1679/K1679,0),1.3))),"") </f>
        <v/>
      </c>
      <c r="M1679" s="39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555-2025-12-31</t>
        </is>
      </c>
    </row>
    <row r="1680">
      <c r="A1680" t="n">
        <v>556</v>
      </c>
      <c r="B1680" t="inlineStr">
        <is>
          <t>Cumplimiento Plan de formación Institucional</t>
        </is>
      </c>
      <c r="C1680" t="inlineStr">
        <is>
          <t>GESTIÓN Y DESARROLLO DEL TALENTO HUMANO</t>
        </is>
      </c>
      <c r="D1680" t="inlineStr">
        <is>
          <t>Anual</t>
        </is>
      </c>
      <c r="E1680" t="inlineStr">
        <is>
          <t>Positivo</t>
        </is>
      </c>
      <c r="F1680" s="108" t="n">
        <v>46022</v>
      </c>
      <c r="G1680" t="n">
        <v>2025</v>
      </c>
      <c r="H1680" t="inlineStr">
        <is>
          <t>Diciembre</t>
        </is>
      </c>
      <c r="I1680" t="inlineStr">
        <is>
          <t>2025-2</t>
        </is>
      </c>
      <c r="J1680" t="n">
        <v>70</v>
      </c>
      <c r="K1680" t="n">
        <v>113.75</v>
      </c>
      <c r="L1680" s="39">
        <f>IFERROR(IF(OR(J1680=0,K1680=""),"",IF(E1680="Positivo",MIN(MAX(K1680/J1680,0),1.3),MIN(MAX(J1680/K1680,0),1.3))),"") </f>
        <v/>
      </c>
      <c r="M1680" s="39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556-2025-12-31</t>
        </is>
      </c>
    </row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6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1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1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1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01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1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1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1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1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0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01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01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73" t="n">
        <v>20</v>
      </c>
      <c r="K11" s="9" t="n">
        <v>18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1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01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01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5" t="n">
        <v>85.4473684210525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01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1" t="n">
        <v>45657</v>
      </c>
      <c r="G16" s="15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61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00" t="n">
        <v>46022</v>
      </c>
      <c r="G17" s="15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00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0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103" t="n">
        <v>97</v>
      </c>
      <c r="K19" s="103" t="n">
        <v>97.63333333333333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1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9" t="n">
        <v>97</v>
      </c>
      <c r="K20" s="9" t="n">
        <v>97.4325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1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1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01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1" t="n">
        <v>45657</v>
      </c>
      <c r="G24" s="15" t="n">
        <v>2024</v>
      </c>
      <c r="H24" s="6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1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01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1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1" t="n">
        <v>45657</v>
      </c>
      <c r="G28" s="15" t="n">
        <v>2024</v>
      </c>
      <c r="H28" s="6" t="inlineStr">
        <is>
          <t>Diciembre</t>
        </is>
      </c>
      <c r="I28" s="6" t="inlineStr">
        <is>
          <t>2024-2</t>
        </is>
      </c>
      <c r="J28" s="5" t="n">
        <v>100</v>
      </c>
      <c r="K28" s="10" t="n">
        <v>100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1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1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1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1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1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01" t="n">
        <v>44926</v>
      </c>
      <c r="G34" s="15" t="n">
        <v>2022</v>
      </c>
      <c r="H34" s="6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01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1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01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01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1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1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1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1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>
        <f>IFERROR(IF(OR(J42=0,K42=""),"",IF(E42="Positivo",MIN(MAX(K42/J42,0),1.0),MIN(MAX(J42/K42,0),1.0))),"")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1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>
        <f>IFERROR(IF(OR(J43=0,K43=""),"",IF(E43="Positivo",MIN(MAX(K43/J43,0),1.0),MIN(MAX(J43/K43,0),1.0))),"")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1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>
        <f>IFERROR(IF(OR(J44=0,K44=""),"",IF(E44="Positivo",MIN(MAX(K44/J44,0),1.0),MIN(MAX(J44/K44,0),1.0))),"")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1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>
        <f>IFERROR(IF(OR(J45=0,K45=""),"",IF(E45="Positivo",MIN(MAX(K45/J45,0),1.0),MIN(MAX(J45/K45,0),1.0))),"")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1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1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1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1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73" t="n">
        <v>100</v>
      </c>
      <c r="K49" s="9" t="n">
        <v>100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1" t="n">
        <v>44926</v>
      </c>
      <c r="G50" s="15" t="n">
        <v>2022</v>
      </c>
      <c r="H50" s="6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1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1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10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1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1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1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73" t="n">
        <v>100</v>
      </c>
      <c r="K55" s="9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1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1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1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1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1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1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1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1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1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1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1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103" t="n">
        <v>100</v>
      </c>
      <c r="K65" s="103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1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01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1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01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01" t="n">
        <v>44926</v>
      </c>
      <c r="G70" s="15" t="n">
        <v>2022</v>
      </c>
      <c r="H70" s="6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1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1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1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1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01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1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1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1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61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1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1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1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1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01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73" t="n"/>
      <c r="K83" s="9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01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9" t="n">
        <v>80</v>
      </c>
      <c r="K84" s="9" t="n">
        <v>0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n">
        <v/>
      </c>
      <c r="O84" s="5" t="n">
        <v/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1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1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n">
        <v/>
      </c>
      <c r="O86" s="5" t="n">
        <v/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1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1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n">
        <v/>
      </c>
      <c r="O88" s="5" t="n">
        <v/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1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01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3" t="n">
        <v>80</v>
      </c>
      <c r="K90" s="3" t="n">
        <v>73.4019151138716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1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73" t="n">
        <v>80</v>
      </c>
      <c r="K91" s="9" t="n">
        <v>78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01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01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1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01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93.93333333333334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01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01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1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1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01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01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1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1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01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01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49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1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1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1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1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1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n">
        <v/>
      </c>
      <c r="O110" s="5" t="n">
        <v/>
      </c>
      <c r="P110" s="5" t="n">
        <v>0</v>
      </c>
      <c r="Q110" s="5" t="n">
        <v>0</v>
      </c>
      <c r="R110" s="5" t="inlineStr">
        <is>
          <t>115-2024-10-31</t>
        </is>
      </c>
      <c r="S110" t="inlineStr"/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1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1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01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01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01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01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01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1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1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01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01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  <c r="S121" t="inlineStr"/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1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7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1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1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1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01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01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73" t="n">
        <v>102</v>
      </c>
      <c r="K127" s="9" t="n">
        <v>111.3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1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1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3" t="n">
        <v>104.92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1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01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01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01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11" t="inlineStr">
        <is>
          <t>%</t>
        </is>
      </c>
      <c r="O133" s="11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01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01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01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01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1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1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1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  <c r="S140" t="inlineStr"/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1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1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1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1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1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  <c r="S145" t="inlineStr"/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01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01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1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1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1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1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1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1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01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01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1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1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1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  <c r="S158" t="inlineStr"/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01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01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1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1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1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1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01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01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01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01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01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/>
      <c r="M169" s="14" t="n"/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01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01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01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73" t="n">
        <v>100</v>
      </c>
      <c r="K172" s="9" t="n">
        <v>175</v>
      </c>
      <c r="L172" s="14" t="n"/>
      <c r="M172" s="14" t="n"/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01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01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ENT</t>
        </is>
      </c>
      <c r="O174" s="38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1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1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01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01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01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01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01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01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01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01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01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01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1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1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01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01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73" t="n">
        <v>3.75</v>
      </c>
      <c r="K190" s="103" t="n">
        <v>4.91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1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1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01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01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n">
        <v/>
      </c>
      <c r="O194" s="5" t="n">
        <v/>
      </c>
      <c r="P194" s="5" t="n">
        <v>0</v>
      </c>
      <c r="Q194" s="5" t="n">
        <v>0</v>
      </c>
      <c r="R194" s="5" t="inlineStr">
        <is>
          <t>150-2023-10-31</t>
        </is>
      </c>
      <c r="S194" t="inlineStr"/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1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11" t="n">
        <v>84.34350070811109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1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73" t="n">
        <v>80</v>
      </c>
      <c r="K196" s="114" t="n">
        <v>89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n">
        <v/>
      </c>
      <c r="O196" s="5" t="n">
        <v/>
      </c>
      <c r="P196" s="5" t="n">
        <v>0</v>
      </c>
      <c r="Q196" s="5" t="n">
        <v>0</v>
      </c>
      <c r="R196" s="5" t="inlineStr">
        <is>
          <t>150-2024-10-31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1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73" t="n">
        <v>80</v>
      </c>
      <c r="K197" s="9" t="n">
        <v>89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01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9" t="n">
        <v>80</v>
      </c>
      <c r="K198" s="9" t="n">
        <v>83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01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n">
        <v/>
      </c>
      <c r="O199" s="5" t="n">
        <v/>
      </c>
      <c r="P199" s="5" t="n">
        <v>0</v>
      </c>
      <c r="Q199" s="5" t="n">
        <v>0</v>
      </c>
      <c r="R199" s="5" t="inlineStr">
        <is>
          <t>151-2023-10-31</t>
        </is>
      </c>
      <c r="S199" t="inlineStr"/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1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1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n">
        <v/>
      </c>
      <c r="O201" s="5" t="n">
        <v/>
      </c>
      <c r="P201" s="5" t="n">
        <v>0</v>
      </c>
      <c r="Q201" s="5" t="n">
        <v>0</v>
      </c>
      <c r="R201" s="5" t="inlineStr">
        <is>
          <t>151-2024-10-31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1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2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1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01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01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01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01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01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73" t="n">
        <v>80</v>
      </c>
      <c r="K208" s="9" t="n">
        <v>96.40000000000001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01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01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01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01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01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01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01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5" t="n">
        <v>94.5154285714286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1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1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1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  <c r="S218" t="inlineStr"/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01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01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01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01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01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01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1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7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1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1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1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1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01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01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01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01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01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01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01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101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5" t="n">
        <v>92.495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01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14" t="n"/>
      <c r="M238" s="14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01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01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1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1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1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14" t="n"/>
      <c r="M243" s="14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1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01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14">
        <f>IFERROR(IF(OR(J245=0,K245=""),"",IF(E245="Positivo",MIN(MAX(K245/J245,0),1.3),MIN(MAX(J245/K245,0),1.3))),"") </f>
        <v/>
      </c>
      <c r="M245" s="50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01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01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1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95</v>
      </c>
      <c r="K248" s="5" t="n">
        <v>111.33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1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73" t="n">
        <v>82987</v>
      </c>
      <c r="K249" s="9" t="n">
        <v>18386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1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1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5" t="n">
        <v>144.53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1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1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1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95</v>
      </c>
      <c r="K254" s="5" t="n">
        <v>426.51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1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1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10" t="n">
        <v>123.05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1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1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101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01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01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01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01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14">
        <f>IFERROR(IF(OR(J263=0,K263=""),"",IF(E263="Positivo",MIN(MAX(K263/J263,0),1.0),MIN(MAX(J263/K263,0),1.0))),"") </f>
        <v/>
      </c>
      <c r="M263" s="14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01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14">
        <f>IFERROR(IF(OR(J264=0,K264=""),"",IF(E264="Positivo",MIN(MAX(K264/J264,0),1.0),MIN(MAX(J264/K264,0),1.0))),"") </f>
        <v/>
      </c>
      <c r="M264" s="14">
        <f>IFERROR(IF(OR(J264=0,K264=""),"",IF(E264="Positivo",MAX(K264/J264,0),MAX(J264/K264,0))),"") </f>
        <v/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01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14">
        <f>IFERROR(IF(OR(J265=0,K265=""),"",IF(E265="Positivo",MIN(MAX(K265/J265,0),1.0),MIN(MAX(J265/K265,0),1.0))),"") </f>
        <v/>
      </c>
      <c r="M265" s="14">
        <f>IFERROR(IF(OR(J265=0,K265=""),"",IF(E265="Positivo",MAX(K265/J265,0),MAX(J265/K265,0))),"") </f>
        <v/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1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14">
        <f>IFERROR(IF(OR(J266=0,K266=""),"",IF(E266="Positivo",MIN(MAX(K266/J266,0),1.0),MIN(MAX(J266/K266,0),1.0))),"") </f>
        <v/>
      </c>
      <c r="M266" s="14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1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14">
        <f>IFERROR(IF(OR(J267=0,K267=""),"",IF(E267="Positivo",MIN(MAX(K267/J267,0),1.0),MIN(MAX(J267/K267,0),1.0))),"") </f>
        <v/>
      </c>
      <c r="M267" s="14">
        <f>IFERROR(IF(OR(J267=0,K267=""),"",IF(E267="Positivo",MAX(K267/J267,0),MAX(J267/K267,0))),"") </f>
        <v/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  <c r="S267" t="inlineStr"/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101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73" t="n"/>
      <c r="K268" s="9" t="n"/>
      <c r="L268" s="14" t="n"/>
      <c r="M268" s="14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101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90</v>
      </c>
      <c r="K269" s="5" t="n">
        <v>0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01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01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10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01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01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01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73" t="n">
        <v>90000</v>
      </c>
      <c r="K274" s="9" t="n">
        <v>44656.3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01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1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5" t="n">
        <v>51322.57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1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5" t="n">
        <v>7500</v>
      </c>
      <c r="K277" s="5" t="n">
        <v>1139.249969482422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  <c r="S277" t="inlineStr"/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101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5" t="n">
        <v>-23.628691983122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01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5" t="n">
        <v>-124.72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01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1</v>
      </c>
      <c r="K280" s="5" t="n">
        <v>-18.825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01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5" t="n">
        <v>-60.48999999999999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01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01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01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1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01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01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01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01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5" t="n">
        <v>2064000</v>
      </c>
      <c r="K289" s="5" t="n">
        <v>0</v>
      </c>
      <c r="L289" s="14">
        <f>IFERROR(IF(OR(J289=0,K289=""),"",IF(E289="Positivo",MIN(MAX(K289/J289,0),1.0),MIN(MAX(J289/K289,0),1.0))),"") </f>
        <v/>
      </c>
      <c r="M289" s="14">
        <f>IFERROR(IF(OR(J289=0,K289=""),"",IF(E289="Positivo",MAX(K289/J289,0),MAX(J289/K289,0))),"") </f>
        <v/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01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14">
        <f>IFERROR(IF(OR(J290=0,K290=""),"",IF(E290="Positivo",MIN(MAX(K290/J290,0),1.0),MIN(MAX(J290/K290,0),1.0))),"") </f>
        <v/>
      </c>
      <c r="M290" s="14">
        <f>IFERROR(IF(OR(J290=0,K290=""),"",IF(E290="Positivo",MAX(K290/J290,0),MAX(J290/K290,0))),"") </f>
        <v/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01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14">
        <f>IFERROR(IF(OR(J291=0,K291=""),"",IF(E291="Positivo",MIN(MAX(K291/J291,0),1.0),MIN(MAX(J291/K291,0),1.0))),"") </f>
        <v/>
      </c>
      <c r="M291" s="14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1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5" t="n">
        <v>1661978.66</v>
      </c>
      <c r="L292" s="14">
        <f>IFERROR(IF(OR(J292=0,K292=""),"",IF(E292="Positivo",MIN(MAX(K292/J292,0),1.0),MIN(MAX(J292/K292,0),1.0))),"") </f>
        <v/>
      </c>
      <c r="M292" s="14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1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14">
        <f>IFERROR(IF(OR(J293=0,K293=""),"",IF(E293="Positivo",MIN(MAX(K293/J293,0),1.0),MIN(MAX(J293/K293,0),1.0))),"") </f>
        <v/>
      </c>
      <c r="M293" s="14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  <c r="S293" t="inlineStr"/>
    </row>
    <row r="294">
      <c r="A294" s="5" t="n">
        <v>219</v>
      </c>
      <c r="B294" s="61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101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1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01" t="n">
        <v>45291</v>
      </c>
      <c r="G295" s="15" t="n">
        <v>2023</v>
      </c>
      <c r="H295" s="6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1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101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1</v>
      </c>
      <c r="K296" s="5" t="n">
        <v>-0.2949999999999999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01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101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01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73" t="n">
        <v>1</v>
      </c>
      <c r="K299" s="103" t="n">
        <v>1.049203896717607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01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10" t="n">
        <v>8.315000000000001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01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10" t="n">
        <v>11.9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01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9" t="n">
        <v>100</v>
      </c>
      <c r="K302" s="9" t="n">
        <v>0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01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11" t="n">
        <v>100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01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1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1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1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1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1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1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1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1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1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1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1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1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1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01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01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01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1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5" t="n">
        <v>1</v>
      </c>
      <c r="K321" s="5" t="n">
        <v>19.41666666666667</v>
      </c>
      <c r="L321" s="49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01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2</v>
      </c>
      <c r="K322" s="5" t="n">
        <v>476.4899959564209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01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5" t="n">
        <v>622.6900000000001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01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2</v>
      </c>
      <c r="K324" s="5" t="n">
        <v>3531.11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01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5" t="n"/>
      <c r="L325" s="14" t="n"/>
      <c r="M325" s="14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01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01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01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01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01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01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01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101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101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01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1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01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01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1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01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01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5" t="n">
        <v>32.25307583019057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101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01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1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81" t="n">
        <v>4000</v>
      </c>
      <c r="K344" s="9" t="n">
        <v>6785.75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1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01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01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101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01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01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101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5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01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01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101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01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14" t="n"/>
      <c r="M355" s="14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01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5" t="n">
        <v>0</v>
      </c>
      <c r="L356" s="14" t="n"/>
      <c r="M356" s="14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01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14" t="n"/>
      <c r="M357" s="14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01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14" t="n"/>
      <c r="M358" s="14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1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  <c r="S359" t="inlineStr"/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01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101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101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100</v>
      </c>
      <c r="K362" s="5" t="n">
        <v>100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1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01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9" t="n">
        <v>88.93920893920894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01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01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  <c r="S366" t="inlineStr"/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01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101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4.96</v>
      </c>
      <c r="L368" s="14" t="n"/>
      <c r="M368" s="14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01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01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101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01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101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101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01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15" t="n">
        <v>61.4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101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101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101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14" t="n"/>
      <c r="M378" s="14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01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101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98</v>
      </c>
      <c r="K380" s="10" t="n">
        <v>98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01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101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101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5" t="n">
        <v>100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01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5" t="n">
        <v>109.91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101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101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73" t="n">
        <v>100</v>
      </c>
      <c r="K386" s="9" t="n">
        <v>104.31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101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8</v>
      </c>
      <c r="K387" s="5" t="n">
        <v>5.56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01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101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100</v>
      </c>
      <c r="K389" s="5" t="n">
        <v>100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101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01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18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01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15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101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/>
      <c r="K393" s="5" t="n">
        <v>17.5</v>
      </c>
      <c r="L393" s="14" t="n"/>
      <c r="M393" s="14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01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101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101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101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01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101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10" t="n">
        <v>78.43000000000001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01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5" t="n">
        <v>2.9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101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101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01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101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73" t="n">
        <v>3</v>
      </c>
      <c r="K404" s="9" t="n">
        <v>2.2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101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01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101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11" t="n">
        <v>0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101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11" t="n">
        <v>0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01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101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100</v>
      </c>
      <c r="K410" s="5" t="n">
        <v>100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01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73" t="n">
        <v>100</v>
      </c>
      <c r="K411" s="5" t="n">
        <v>100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01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01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73" t="n">
        <v>100</v>
      </c>
      <c r="K413" s="5" t="n">
        <v>100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01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73" t="n">
        <v>100</v>
      </c>
      <c r="K414" s="103" t="n">
        <v>88.565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01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73" t="n">
        <v>95</v>
      </c>
      <c r="K415" s="9" t="n">
        <v>100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01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81" t="n">
        <v>95</v>
      </c>
      <c r="K416" s="9" t="n">
        <v>100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1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73" t="n">
        <v>95</v>
      </c>
      <c r="K417" s="9" t="n">
        <v>93.488519256308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1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1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101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14" t="n"/>
      <c r="M420" s="14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01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14" t="n"/>
      <c r="M421" s="14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101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101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5" t="n">
        <v>877</v>
      </c>
      <c r="L423" s="14" t="n"/>
      <c r="M423" s="14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01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10" t="n">
        <v>1.276978417266187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01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14" t="n"/>
      <c r="M425" s="14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101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5" t="n">
        <v>1.65</v>
      </c>
      <c r="L426" s="14" t="n"/>
      <c r="M426" s="14" t="n"/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01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14" t="n"/>
      <c r="M427" s="14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01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5" t="n">
        <v>4.57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101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14" t="n"/>
      <c r="M429" s="14" t="n"/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01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14" t="n"/>
      <c r="M430" s="14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1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5" t="n">
        <v>16.86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01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5" t="n">
        <v>19.93</v>
      </c>
      <c r="L432" s="14" t="n"/>
      <c r="M432" s="14" t="n"/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01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01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101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5" t="n">
        <v>0</v>
      </c>
      <c r="K435" s="5" t="n">
        <v>0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01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101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200</v>
      </c>
      <c r="K437" s="5" t="n">
        <v>200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101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200</v>
      </c>
      <c r="K438" s="5" t="n">
        <v>250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01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5" t="n">
        <v>195.360521164251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101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101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101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101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101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01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101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01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01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5" t="n">
        <v>73.29000000000001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01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01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10" t="n">
        <v>68.40000000000001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01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14" t="n"/>
      <c r="M451" s="14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101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14" t="n"/>
      <c r="M452" s="14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101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14" t="n"/>
      <c r="M453" s="14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01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14" t="n"/>
      <c r="M454" s="14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01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14" t="n"/>
      <c r="M455" s="14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5" t="n">
        <v>281</v>
      </c>
      <c r="B456" s="5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01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14" t="n"/>
      <c r="M456" s="14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01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01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101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1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1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01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01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14" t="n"/>
      <c r="M463" s="14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1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1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01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1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14" t="n"/>
      <c r="M467" s="14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01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14" t="n"/>
      <c r="M468" s="14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101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14" t="n"/>
      <c r="M469" s="14" t="n"/>
      <c r="N469" s="38" t="inlineStr">
        <is>
          <t>Metrica</t>
        </is>
      </c>
      <c r="O469" s="38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01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01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101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01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101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5" t="n">
        <v>100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01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101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101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01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01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21" t="n">
        <v>292</v>
      </c>
      <c r="B480" s="20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101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01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101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01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01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01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101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101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101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101" t="n">
        <v>45473</v>
      </c>
      <c r="G489" s="5" t="n">
        <v>2024</v>
      </c>
      <c r="H489" s="5" t="inlineStr">
        <is>
          <t>Junio</t>
        </is>
      </c>
      <c r="I489" s="6" t="inlineStr">
        <is>
          <t>2024-1</t>
        </is>
      </c>
      <c r="J489" s="5" t="n">
        <v>60</v>
      </c>
      <c r="K489" s="5" t="n">
        <v>52.38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5" t="inlineStr">
        <is>
          <t>Bimestral</t>
        </is>
      </c>
      <c r="E490" s="5" t="inlineStr">
        <is>
          <t>Positivo</t>
        </is>
      </c>
      <c r="F490" s="101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5" t="inlineStr">
        <is>
          <t>Bimestral</t>
        </is>
      </c>
      <c r="E491" s="5" t="inlineStr">
        <is>
          <t>Negativo</t>
        </is>
      </c>
      <c r="F491" s="101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5" t="inlineStr">
        <is>
          <t>Semestral</t>
        </is>
      </c>
      <c r="E492" s="5" t="inlineStr">
        <is>
          <t>Negativo</t>
        </is>
      </c>
      <c r="F492" s="101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14" t="n"/>
      <c r="M492" s="14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101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01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101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101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01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101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101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14" t="n"/>
      <c r="M499" s="14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101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101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14" t="n"/>
      <c r="M501" s="14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101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01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5" t="n">
        <v>303</v>
      </c>
      <c r="B504" s="5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101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101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01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101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5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101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101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101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101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101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01" t="n">
        <v>45291</v>
      </c>
      <c r="G513" s="15" t="n">
        <v>2023</v>
      </c>
      <c r="H513" s="6" t="inlineStr">
        <is>
          <t>Diciembre</t>
        </is>
      </c>
      <c r="I513" s="6" t="inlineStr">
        <is>
          <t>2023-2</t>
        </is>
      </c>
      <c r="J513" s="73" t="n">
        <v>46</v>
      </c>
      <c r="K513" s="9" t="n">
        <v>107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13" t="inlineStr">
        <is>
          <t>Semestral</t>
        </is>
      </c>
      <c r="E514" s="5" t="inlineStr">
        <is>
          <t>Positivo</t>
        </is>
      </c>
      <c r="F514" s="101" t="n">
        <v>45657</v>
      </c>
      <c r="G514" s="15" t="n">
        <v>2024</v>
      </c>
      <c r="H514" s="6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13" t="inlineStr">
        <is>
          <t>Semestral</t>
        </is>
      </c>
      <c r="E515" s="5" t="inlineStr">
        <is>
          <t>Positivo</t>
        </is>
      </c>
      <c r="F515" s="101" t="n">
        <v>45291</v>
      </c>
      <c r="G515" s="15" t="n">
        <v>2023</v>
      </c>
      <c r="H515" s="6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13" t="inlineStr">
        <is>
          <t>Semestral</t>
        </is>
      </c>
      <c r="E516" s="5" t="inlineStr">
        <is>
          <t>Positivo</t>
        </is>
      </c>
      <c r="F516" s="101" t="n">
        <v>45657</v>
      </c>
      <c r="G516" s="15" t="n">
        <v>2024</v>
      </c>
      <c r="H516" s="6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01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5" t="n">
        <v>103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01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01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01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79.13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01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01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01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01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01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01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01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01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145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01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5</v>
      </c>
      <c r="K529" s="5" t="n">
        <v>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101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/>
      <c r="K530" s="5" t="n"/>
      <c r="L530" s="14" t="n"/>
      <c r="M530" s="14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5" t="n">
        <v>316</v>
      </c>
      <c r="B531" s="5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101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61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101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01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101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5" t="inlineStr">
        <is>
          <t>Anual</t>
        </is>
      </c>
      <c r="E535" s="5" t="inlineStr">
        <is>
          <t>Positivo</t>
        </is>
      </c>
      <c r="F535" s="101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5" t="inlineStr">
        <is>
          <t>Anual</t>
        </is>
      </c>
      <c r="E536" s="5" t="inlineStr">
        <is>
          <t>Positivo</t>
        </is>
      </c>
      <c r="F536" s="101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01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101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101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101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5" t="inlineStr">
        <is>
          <t>Semestral</t>
        </is>
      </c>
      <c r="E541" s="5" t="inlineStr">
        <is>
          <t>Positivo</t>
        </is>
      </c>
      <c r="F541" s="101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360</v>
      </c>
      <c r="K541" s="10" t="n">
        <v>467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5" t="inlineStr">
        <is>
          <t>Semestral</t>
        </is>
      </c>
      <c r="E542" s="5" t="inlineStr">
        <is>
          <t>Positivo</t>
        </is>
      </c>
      <c r="F542" s="101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Semestral</t>
        </is>
      </c>
      <c r="E543" s="5" t="inlineStr">
        <is>
          <t>Positivo</t>
        </is>
      </c>
      <c r="F543" s="101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01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200</v>
      </c>
      <c r="K544" s="15" t="n">
        <v>100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01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Semestral</t>
        </is>
      </c>
      <c r="E546" s="5" t="inlineStr">
        <is>
          <t>Positivo</t>
        </is>
      </c>
      <c r="F546" s="101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01" t="n">
        <v>45657</v>
      </c>
      <c r="G547" s="15" t="n">
        <v>2024</v>
      </c>
      <c r="H547" s="6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5" t="inlineStr">
        <is>
          <t>Trimestral</t>
        </is>
      </c>
      <c r="E548" s="5" t="inlineStr">
        <is>
          <t>Positivo</t>
        </is>
      </c>
      <c r="F548" s="101" t="n">
        <v>46022</v>
      </c>
      <c r="G548" s="15" t="n">
        <v>2025</v>
      </c>
      <c r="H548" s="6" t="inlineStr">
        <is>
          <t>Diciembre</t>
        </is>
      </c>
      <c r="I548" s="6" t="inlineStr">
        <is>
          <t>2025-2</t>
        </is>
      </c>
      <c r="J548" s="5" t="n">
        <v>200</v>
      </c>
      <c r="K548" s="5" t="n">
        <v>300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5" t="inlineStr">
        <is>
          <t>Semestral</t>
        </is>
      </c>
      <c r="E549" s="5" t="inlineStr">
        <is>
          <t>Positivo</t>
        </is>
      </c>
      <c r="F549" s="101" t="n">
        <v>45291</v>
      </c>
      <c r="G549" s="15" t="n">
        <v>2023</v>
      </c>
      <c r="H549" s="6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5" t="inlineStr">
        <is>
          <t>Semestral</t>
        </is>
      </c>
      <c r="E550" s="5" t="inlineStr">
        <is>
          <t>Positivo</t>
        </is>
      </c>
      <c r="F550" s="101" t="n">
        <v>45657</v>
      </c>
      <c r="G550" s="15" t="n">
        <v>2024</v>
      </c>
      <c r="H550" s="6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5" t="inlineStr">
        <is>
          <t>Semestral</t>
        </is>
      </c>
      <c r="E551" s="5" t="inlineStr">
        <is>
          <t>Positivo</t>
        </is>
      </c>
      <c r="F551" s="101" t="n">
        <v>46022</v>
      </c>
      <c r="G551" s="15" t="n">
        <v>2025</v>
      </c>
      <c r="H551" s="6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01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100</v>
      </c>
      <c r="K552" s="10" t="n">
        <v>100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5" t="inlineStr">
        <is>
          <t>Anual</t>
        </is>
      </c>
      <c r="E553" s="5" t="inlineStr">
        <is>
          <t>Positivo</t>
        </is>
      </c>
      <c r="F553" s="101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0</v>
      </c>
      <c r="K553" s="10" t="n">
        <v>0</v>
      </c>
      <c r="L553" s="14" t="n"/>
      <c r="M553" s="14" t="n"/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5" t="inlineStr">
        <is>
          <t>Anual</t>
        </is>
      </c>
      <c r="E554" s="5" t="inlineStr">
        <is>
          <t>Positivo</t>
        </is>
      </c>
      <c r="F554" s="101" t="n">
        <v>46022</v>
      </c>
      <c r="G554" s="15" t="n">
        <v>2025</v>
      </c>
      <c r="H554" s="6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14" t="n"/>
      <c r="M554" s="14" t="n"/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21" t="n">
        <v>327</v>
      </c>
      <c r="B555" s="20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5" t="inlineStr">
        <is>
          <t>Semestral</t>
        </is>
      </c>
      <c r="E555" s="5" t="inlineStr">
        <is>
          <t>Positivo</t>
        </is>
      </c>
      <c r="F555" s="101" t="n">
        <v>45291</v>
      </c>
      <c r="G555" s="15" t="n">
        <v>2023</v>
      </c>
      <c r="H555" s="6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5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5" t="inlineStr">
        <is>
          <t>Semestral</t>
        </is>
      </c>
      <c r="E556" s="5" t="inlineStr">
        <is>
          <t>Positivo</t>
        </is>
      </c>
      <c r="F556" s="101" t="n">
        <v>45657</v>
      </c>
      <c r="G556" s="15" t="n">
        <v>2024</v>
      </c>
      <c r="H556" s="6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5" t="inlineStr">
        <is>
          <t>Trimestral</t>
        </is>
      </c>
      <c r="E557" s="5" t="inlineStr">
        <is>
          <t>Positivo</t>
        </is>
      </c>
      <c r="F557" s="101" t="n">
        <v>46022</v>
      </c>
      <c r="G557" s="15" t="n">
        <v>2025</v>
      </c>
      <c r="H557" s="6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14" t="n"/>
      <c r="M557" s="14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01" t="n">
        <v>45291</v>
      </c>
      <c r="G558" s="15" t="n">
        <v>2023</v>
      </c>
      <c r="H558" s="6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13" t="inlineStr">
        <is>
          <t>Anual</t>
        </is>
      </c>
      <c r="E559" s="5" t="inlineStr">
        <is>
          <t>Positivo</t>
        </is>
      </c>
      <c r="F559" s="101" t="n">
        <v>45657</v>
      </c>
      <c r="G559" s="15" t="n">
        <v>2024</v>
      </c>
      <c r="H559" s="6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13" t="inlineStr">
        <is>
          <t>Anual</t>
        </is>
      </c>
      <c r="E560" s="5" t="inlineStr">
        <is>
          <t>Positivo</t>
        </is>
      </c>
      <c r="F560" s="101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13" t="inlineStr">
        <is>
          <t>Anual</t>
        </is>
      </c>
      <c r="E561" s="5" t="inlineStr">
        <is>
          <t>Positivo</t>
        </is>
      </c>
      <c r="F561" s="101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01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14" t="n"/>
      <c r="M562" s="14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01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14" t="n"/>
      <c r="M563" s="14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13" t="inlineStr">
        <is>
          <t>Semestral</t>
        </is>
      </c>
      <c r="E564" s="5" t="inlineStr">
        <is>
          <t>Negativo</t>
        </is>
      </c>
      <c r="F564" s="101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5" t="n">
        <v>1.8</v>
      </c>
      <c r="K564" s="5" t="n">
        <v>1.435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13" t="inlineStr">
        <is>
          <t>Semestral</t>
        </is>
      </c>
      <c r="E565" s="5" t="inlineStr">
        <is>
          <t>Negativo</t>
        </is>
      </c>
      <c r="F565" s="101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1.65</v>
      </c>
      <c r="K565" s="5" t="n">
        <v>1.15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13" t="inlineStr">
        <is>
          <t>Semestral</t>
        </is>
      </c>
      <c r="E566" s="5" t="inlineStr">
        <is>
          <t>Negativo</t>
        </is>
      </c>
      <c r="F566" s="101" t="n">
        <v>46022</v>
      </c>
      <c r="G566" s="15" t="n">
        <v>2025</v>
      </c>
      <c r="H566" s="6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13" t="inlineStr">
        <is>
          <t>Anual</t>
        </is>
      </c>
      <c r="E567" s="5" t="inlineStr">
        <is>
          <t>Positivo</t>
        </is>
      </c>
      <c r="F567" s="101" t="n">
        <v>45291</v>
      </c>
      <c r="G567" s="15" t="n">
        <v>2023</v>
      </c>
      <c r="H567" s="6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13" t="inlineStr">
        <is>
          <t>Anual</t>
        </is>
      </c>
      <c r="E568" s="5" t="inlineStr">
        <is>
          <t>Positivo</t>
        </is>
      </c>
      <c r="F568" s="101" t="n">
        <v>45657</v>
      </c>
      <c r="G568" s="15" t="n">
        <v>2024</v>
      </c>
      <c r="H568" s="6" t="inlineStr">
        <is>
          <t>Diciembre</t>
        </is>
      </c>
      <c r="I568" s="6" t="inlineStr">
        <is>
          <t>2024-2</t>
        </is>
      </c>
      <c r="J568" s="5" t="n">
        <v>88</v>
      </c>
      <c r="K568" s="5" t="n">
        <v>88.84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13" t="inlineStr">
        <is>
          <t>Anual</t>
        </is>
      </c>
      <c r="E569" s="5" t="inlineStr">
        <is>
          <t>Positivo</t>
        </is>
      </c>
      <c r="F569" s="101" t="n">
        <v>46022</v>
      </c>
      <c r="G569" s="15" t="n">
        <v>2025</v>
      </c>
      <c r="H569" s="6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13" t="inlineStr">
        <is>
          <t>Anual</t>
        </is>
      </c>
      <c r="E570" s="5" t="inlineStr">
        <is>
          <t>Positivo</t>
        </is>
      </c>
      <c r="F570" s="101" t="n">
        <v>45291</v>
      </c>
      <c r="G570" s="15" t="n">
        <v>2023</v>
      </c>
      <c r="H570" s="6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01" t="n">
        <v>45657</v>
      </c>
      <c r="G571" s="15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13" t="inlineStr">
        <is>
          <t>Anual</t>
        </is>
      </c>
      <c r="E572" s="5" t="inlineStr">
        <is>
          <t>Negativo</t>
        </is>
      </c>
      <c r="F572" s="101" t="n">
        <v>45291</v>
      </c>
      <c r="G572" s="15" t="n">
        <v>2023</v>
      </c>
      <c r="H572" s="6" t="inlineStr">
        <is>
          <t>Diciembre</t>
        </is>
      </c>
      <c r="I572" s="6" t="inlineStr">
        <is>
          <t>2023-2</t>
        </is>
      </c>
      <c r="J572" s="5" t="n">
        <v>2</v>
      </c>
      <c r="K572" s="10" t="n">
        <v>1.742198218602321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13" t="inlineStr">
        <is>
          <t>Anual</t>
        </is>
      </c>
      <c r="E573" s="5" t="inlineStr">
        <is>
          <t>Negativo</t>
        </is>
      </c>
      <c r="F573" s="101" t="n">
        <v>45657</v>
      </c>
      <c r="G573" s="15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13" t="inlineStr">
        <is>
          <t>Anual</t>
        </is>
      </c>
      <c r="E574" s="5" t="inlineStr">
        <is>
          <t>Negativo</t>
        </is>
      </c>
      <c r="F574" s="101" t="n">
        <v>46022</v>
      </c>
      <c r="G574" s="15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13" t="inlineStr">
        <is>
          <t>Semestral</t>
        </is>
      </c>
      <c r="E575" s="5" t="inlineStr">
        <is>
          <t>Positivo</t>
        </is>
      </c>
      <c r="F575" s="101" t="n">
        <v>45291</v>
      </c>
      <c r="G575" s="15" t="n">
        <v>2023</v>
      </c>
      <c r="H575" s="6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13" t="inlineStr">
        <is>
          <t>Semestral</t>
        </is>
      </c>
      <c r="E576" s="5" t="inlineStr">
        <is>
          <t>Positivo</t>
        </is>
      </c>
      <c r="F576" s="101" t="n">
        <v>45657</v>
      </c>
      <c r="G576" s="15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13" t="inlineStr">
        <is>
          <t>Semestral</t>
        </is>
      </c>
      <c r="E577" s="5" t="inlineStr">
        <is>
          <t>Positivo</t>
        </is>
      </c>
      <c r="F577" s="101" t="n">
        <v>45838</v>
      </c>
      <c r="G577" s="15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5" t="n"/>
      <c r="L577" s="14" t="n"/>
      <c r="M577" s="14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13" t="inlineStr">
        <is>
          <t>Semestral</t>
        </is>
      </c>
      <c r="E578" s="5" t="inlineStr">
        <is>
          <t>Positivo</t>
        </is>
      </c>
      <c r="F578" s="101" t="n">
        <v>45291</v>
      </c>
      <c r="G578" s="15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5" t="n">
        <v>338</v>
      </c>
      <c r="B579" s="5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01" t="n">
        <v>45657</v>
      </c>
      <c r="G579" s="15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13" t="inlineStr">
        <is>
          <t>Trimestral</t>
        </is>
      </c>
      <c r="E580" s="5" t="inlineStr">
        <is>
          <t>Positivo</t>
        </is>
      </c>
      <c r="F580" s="101" t="n">
        <v>46022</v>
      </c>
      <c r="G580" s="15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14" t="n"/>
      <c r="M580" s="14" t="n"/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13" t="inlineStr">
        <is>
          <t>Anual</t>
        </is>
      </c>
      <c r="E581" s="5" t="inlineStr">
        <is>
          <t>Positivo</t>
        </is>
      </c>
      <c r="F581" s="101" t="n">
        <v>45291</v>
      </c>
      <c r="G581" s="15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13" t="inlineStr">
        <is>
          <t>Anual</t>
        </is>
      </c>
      <c r="E582" s="5" t="inlineStr">
        <is>
          <t>Positivo</t>
        </is>
      </c>
      <c r="F582" s="101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101" t="n">
        <v>46022</v>
      </c>
      <c r="G583" s="15" t="n">
        <v>2025</v>
      </c>
      <c r="H583" s="6" t="inlineStr">
        <is>
          <t>Diciembre</t>
        </is>
      </c>
      <c r="I583" s="6" t="inlineStr">
        <is>
          <t>2025-2</t>
        </is>
      </c>
      <c r="J583" s="5" t="n">
        <v>30</v>
      </c>
      <c r="K583" s="5" t="n">
        <v>35.29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101" t="n">
        <v>45291</v>
      </c>
      <c r="G584" s="15" t="n">
        <v>2023</v>
      </c>
      <c r="H584" s="6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101" t="n">
        <v>45657</v>
      </c>
      <c r="G585" s="15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101" t="n">
        <v>45291</v>
      </c>
      <c r="G586" s="15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101" t="n">
        <v>45657</v>
      </c>
      <c r="G587" s="15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101" t="n">
        <v>46022</v>
      </c>
      <c r="G588" s="15" t="n">
        <v>2025</v>
      </c>
      <c r="H588" s="6" t="inlineStr">
        <is>
          <t>Diciembre</t>
        </is>
      </c>
      <c r="I588" s="6" t="inlineStr">
        <is>
          <t>2025-2</t>
        </is>
      </c>
      <c r="J588" s="73" t="n">
        <v>200</v>
      </c>
      <c r="K588" s="9" t="n">
        <v>204.9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101" t="n">
        <v>45291</v>
      </c>
      <c r="G589" s="15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101" t="n">
        <v>45657</v>
      </c>
      <c r="G590" s="15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101" t="n">
        <v>46022</v>
      </c>
      <c r="G591" s="15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101" t="n">
        <v>45291</v>
      </c>
      <c r="G592" s="15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14" t="n"/>
      <c r="M592" s="14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101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14" t="n"/>
      <c r="M593" s="14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101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101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63" t="n">
        <v>347</v>
      </c>
      <c r="B596" s="63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101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73" t="n">
        <v>0</v>
      </c>
      <c r="K596" s="9" t="n">
        <v>6.75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101" t="n">
        <v>45657</v>
      </c>
      <c r="G597" s="15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101" t="n">
        <v>46022</v>
      </c>
      <c r="G598" s="15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101" t="n">
        <v>45291</v>
      </c>
      <c r="G599" s="15" t="n">
        <v>2023</v>
      </c>
      <c r="H599" s="6" t="inlineStr">
        <is>
          <t>Diciembre</t>
        </is>
      </c>
      <c r="I599" s="6" t="inlineStr">
        <is>
          <t>2023-2</t>
        </is>
      </c>
      <c r="J599" s="3" t="n">
        <v>99</v>
      </c>
      <c r="K599" s="9" t="n">
        <v>99.908847789973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1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101" t="n">
        <v>45657</v>
      </c>
      <c r="G600" s="15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10" t="n">
        <v>99.96250000000001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0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101" t="n">
        <v>46022</v>
      </c>
      <c r="G601" s="15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2" t="n">
        <v>100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101" t="n">
        <v>45291</v>
      </c>
      <c r="G602" s="15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14" t="n"/>
      <c r="M602" s="14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101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14" t="n"/>
      <c r="M603" s="14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101" t="n">
        <v>45291</v>
      </c>
      <c r="G604" s="15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ENT</t>
        </is>
      </c>
      <c r="O604" s="5" t="inlineStr">
        <is>
          <t>DEC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101" t="n">
        <v>45657</v>
      </c>
      <c r="G605" s="15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ENT</t>
        </is>
      </c>
      <c r="O605" s="5" t="inlineStr">
        <is>
          <t>DEC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101" t="n">
        <v>45930</v>
      </c>
      <c r="G606" s="15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01" t="n">
        <v>45291</v>
      </c>
      <c r="G607" s="15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01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01" t="n">
        <v>45930</v>
      </c>
      <c r="G609" s="15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101" t="n">
        <v>45291</v>
      </c>
      <c r="G610" s="15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s="5" t="n">
        <v>40.3846153846154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101" t="n">
        <v>45291</v>
      </c>
      <c r="G611" s="15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101" t="n">
        <v>45291</v>
      </c>
      <c r="G612" s="15" t="n">
        <v>2023</v>
      </c>
      <c r="H612" s="6" t="inlineStr">
        <is>
          <t>Diciembre</t>
        </is>
      </c>
      <c r="I612" s="6" t="inlineStr">
        <is>
          <t>2023-2</t>
        </is>
      </c>
      <c r="J612" s="5" t="n">
        <v>1</v>
      </c>
      <c r="K612" s="5" t="n">
        <v>1.64916004403234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101" t="n">
        <v>45657</v>
      </c>
      <c r="G613" s="15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101" t="n">
        <v>46022</v>
      </c>
      <c r="G614" s="15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101" t="n">
        <v>45291</v>
      </c>
      <c r="G615" s="15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101" t="n">
        <v>45657</v>
      </c>
      <c r="G616" s="15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101" t="n">
        <v>46022</v>
      </c>
      <c r="G617" s="15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101" t="n">
        <v>45291</v>
      </c>
      <c r="G618" s="15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14" t="n"/>
      <c r="M618" s="14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101" t="n">
        <v>45657</v>
      </c>
      <c r="G619" s="15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14" t="n"/>
      <c r="M619" s="14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5" t="n">
        <v>357</v>
      </c>
      <c r="B620" s="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101" t="n">
        <v>46022</v>
      </c>
      <c r="G620" s="15" t="n">
        <v>2025</v>
      </c>
      <c r="H620" s="6" t="inlineStr">
        <is>
          <t>Diciembre</t>
        </is>
      </c>
      <c r="I620" s="6" t="inlineStr">
        <is>
          <t>2025-2</t>
        </is>
      </c>
      <c r="J620" s="5" t="n">
        <v>10049277970</v>
      </c>
      <c r="K620" s="5" t="n">
        <v>0.44</v>
      </c>
      <c r="L620" s="14" t="n"/>
      <c r="M620" s="14" t="n"/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101" t="n">
        <v>45291</v>
      </c>
      <c r="G621" s="15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5" t="n">
        <v>90.992268041237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101" t="n">
        <v>45657</v>
      </c>
      <c r="G622" s="15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101" t="n">
        <v>46022</v>
      </c>
      <c r="G623" s="15" t="n">
        <v>2025</v>
      </c>
      <c r="H623" s="6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101" t="n">
        <v>45657</v>
      </c>
      <c r="G624" s="15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5" t="n">
        <v>86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101" t="n">
        <v>46022</v>
      </c>
      <c r="G625" s="15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5" t="n">
        <v>89.90000000000001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101" t="n">
        <v>45291</v>
      </c>
      <c r="G626" s="15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101" t="n">
        <v>45657</v>
      </c>
      <c r="G627" s="15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14" t="n"/>
      <c r="M627" s="14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101" t="n">
        <v>46022</v>
      </c>
      <c r="G628" s="15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5" t="n">
        <v>4.78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101" t="n">
        <v>45291</v>
      </c>
      <c r="G629" s="15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101" t="n">
        <v>45657</v>
      </c>
      <c r="G630" s="15" t="n">
        <v>2024</v>
      </c>
      <c r="H630" s="6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101" t="n">
        <v>46022</v>
      </c>
      <c r="G631" s="15" t="n">
        <v>2025</v>
      </c>
      <c r="H631" s="6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101" t="n">
        <v>45291</v>
      </c>
      <c r="G632" s="15" t="n">
        <v>2023</v>
      </c>
      <c r="H632" s="6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101" t="n">
        <v>45657</v>
      </c>
      <c r="G633" s="15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13" t="inlineStr">
        <is>
          <t>Trimestral</t>
        </is>
      </c>
      <c r="E634" s="5" t="inlineStr">
        <is>
          <t>Positivo</t>
        </is>
      </c>
      <c r="F634" s="101" t="n">
        <v>46022</v>
      </c>
      <c r="G634" s="15" t="n">
        <v>2025</v>
      </c>
      <c r="H634" s="6" t="inlineStr">
        <is>
          <t>Diciembre</t>
        </is>
      </c>
      <c r="I634" s="6" t="inlineStr">
        <is>
          <t>2025-2</t>
        </is>
      </c>
      <c r="J634" s="5" t="n">
        <v>100</v>
      </c>
      <c r="K634" t="n">
        <v>100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13" t="inlineStr">
        <is>
          <t>Semestral</t>
        </is>
      </c>
      <c r="E635" s="5" t="inlineStr">
        <is>
          <t>Positivo</t>
        </is>
      </c>
      <c r="F635" s="101" t="n">
        <v>45291</v>
      </c>
      <c r="G635" s="15" t="n">
        <v>2023</v>
      </c>
      <c r="H635" s="6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14" t="n"/>
      <c r="M635" s="14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13" t="inlineStr">
        <is>
          <t>Semestral</t>
        </is>
      </c>
      <c r="E636" s="5" t="inlineStr">
        <is>
          <t>Positivo</t>
        </is>
      </c>
      <c r="F636" s="101" t="n">
        <v>45657</v>
      </c>
      <c r="G636" s="15" t="n">
        <v>2024</v>
      </c>
      <c r="H636" s="6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13" t="inlineStr">
        <is>
          <t>Semestral</t>
        </is>
      </c>
      <c r="E637" s="5" t="inlineStr">
        <is>
          <t>Negativo</t>
        </is>
      </c>
      <c r="F637" s="101" t="n">
        <v>46022</v>
      </c>
      <c r="G637" s="15" t="n">
        <v>2025</v>
      </c>
      <c r="H637" s="6" t="inlineStr">
        <is>
          <t>Diciembre</t>
        </is>
      </c>
      <c r="I637" s="6" t="inlineStr">
        <is>
          <t>2025-2</t>
        </is>
      </c>
      <c r="J637" s="5" t="n">
        <v>200</v>
      </c>
      <c r="K637" s="5" t="n">
        <v>172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13" t="inlineStr">
        <is>
          <t>Semestral</t>
        </is>
      </c>
      <c r="E638" s="5" t="inlineStr">
        <is>
          <t>Positivo</t>
        </is>
      </c>
      <c r="F638" s="101" t="n">
        <v>45291</v>
      </c>
      <c r="G638" s="15" t="n">
        <v>2023</v>
      </c>
      <c r="H638" s="6" t="inlineStr">
        <is>
          <t>Diciembre</t>
        </is>
      </c>
      <c r="I638" s="6" t="inlineStr">
        <is>
          <t>2023-2</t>
        </is>
      </c>
      <c r="J638" s="5" t="n">
        <v>100</v>
      </c>
      <c r="K638" s="5" t="n">
        <v>100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13" t="inlineStr">
        <is>
          <t>Anual</t>
        </is>
      </c>
      <c r="E639" s="5" t="inlineStr">
        <is>
          <t>Positivo</t>
        </is>
      </c>
      <c r="F639" s="101" t="n">
        <v>45291</v>
      </c>
      <c r="G639" s="15" t="n">
        <v>2023</v>
      </c>
      <c r="H639" s="6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100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13" t="inlineStr">
        <is>
          <t>Anual</t>
        </is>
      </c>
      <c r="E640" s="5" t="inlineStr">
        <is>
          <t>Positivo</t>
        </is>
      </c>
      <c r="F640" s="101" t="n">
        <v>45657</v>
      </c>
      <c r="G640" s="15" t="n">
        <v>2024</v>
      </c>
      <c r="H640" s="6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13" t="inlineStr">
        <is>
          <t>Anual</t>
        </is>
      </c>
      <c r="E641" s="5" t="inlineStr">
        <is>
          <t>Positivo</t>
        </is>
      </c>
      <c r="F641" s="101" t="n">
        <v>46022</v>
      </c>
      <c r="G641" s="15" t="n">
        <v>2025</v>
      </c>
      <c r="H641" s="6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13" t="inlineStr">
        <is>
          <t>Anual</t>
        </is>
      </c>
      <c r="E642" s="5" t="inlineStr">
        <is>
          <t>Positivo</t>
        </is>
      </c>
      <c r="F642" s="101" t="n">
        <v>45291</v>
      </c>
      <c r="G642" s="15" t="n">
        <v>2023</v>
      </c>
      <c r="H642" s="6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5" t="inlineStr">
        <is>
          <t>% Estudiantes con Becas</t>
        </is>
      </c>
      <c r="C643" s="5" t="inlineStr">
        <is>
          <t>Gestión de la Responsabilidad Social</t>
        </is>
      </c>
      <c r="D643" s="13" t="inlineStr">
        <is>
          <t>Anual</t>
        </is>
      </c>
      <c r="E643" s="5" t="inlineStr">
        <is>
          <t>Positivo</t>
        </is>
      </c>
      <c r="F643" s="101" t="n">
        <v>45657</v>
      </c>
      <c r="G643" s="15" t="n">
        <v>2024</v>
      </c>
      <c r="H643" s="6" t="inlineStr">
        <is>
          <t>Diciembre</t>
        </is>
      </c>
      <c r="I643" s="6" t="inlineStr">
        <is>
          <t>2024-2</t>
        </is>
      </c>
      <c r="J643" s="5" t="n">
        <v>5</v>
      </c>
      <c r="K643" s="5" t="n">
        <v>4.96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13" t="inlineStr">
        <is>
          <t>Anual</t>
        </is>
      </c>
      <c r="E644" s="5" t="inlineStr">
        <is>
          <t>Positivo</t>
        </is>
      </c>
      <c r="F644" s="101" t="n">
        <v>46022</v>
      </c>
      <c r="G644" s="15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13" t="inlineStr">
        <is>
          <t>Trimestral</t>
        </is>
      </c>
      <c r="E645" s="5" t="inlineStr">
        <is>
          <t>Positivo</t>
        </is>
      </c>
      <c r="F645" s="101" t="n">
        <v>45291</v>
      </c>
      <c r="G645" s="15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10" t="n">
        <v>94.5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13" t="inlineStr">
        <is>
          <t>Trimestral</t>
        </is>
      </c>
      <c r="E646" s="5" t="inlineStr">
        <is>
          <t>Positivo</t>
        </is>
      </c>
      <c r="F646" s="101" t="n">
        <v>45657</v>
      </c>
      <c r="G646" s="15" t="n">
        <v>2024</v>
      </c>
      <c r="H646" s="6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13" t="inlineStr">
        <is>
          <t>Semestral</t>
        </is>
      </c>
      <c r="E647" s="5" t="inlineStr">
        <is>
          <t>Positivo</t>
        </is>
      </c>
      <c r="F647" s="101" t="n">
        <v>46022</v>
      </c>
      <c r="G647" s="15" t="n">
        <v>2025</v>
      </c>
      <c r="H647" s="6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s="5" t="n">
        <v>369</v>
      </c>
      <c r="B648" s="5" t="inlineStr">
        <is>
          <t>Participación de POLI- voluntariados (Estudiantes- Colaboradores)</t>
        </is>
      </c>
      <c r="C648" s="5" t="inlineStr">
        <is>
          <t>Gestión de la Responsabilidad Social</t>
        </is>
      </c>
      <c r="D648" s="13" t="inlineStr">
        <is>
          <t>Semestral</t>
        </is>
      </c>
      <c r="E648" s="5" t="inlineStr">
        <is>
          <t>Positivo</t>
        </is>
      </c>
      <c r="F648" s="101" t="n">
        <v>45291</v>
      </c>
      <c r="G648" s="15" t="n">
        <v>2023</v>
      </c>
      <c r="H648" s="6" t="inlineStr">
        <is>
          <t>Diciembre</t>
        </is>
      </c>
      <c r="I648" s="6" t="inlineStr">
        <is>
          <t>2023-2</t>
        </is>
      </c>
      <c r="J648" s="5" t="n"/>
      <c r="K648" s="5" t="n">
        <v>174</v>
      </c>
      <c r="L648" s="14" t="n"/>
      <c r="M648" s="14" t="n"/>
      <c r="N648" s="5" t="inlineStr">
        <is>
          <t>Linea Base</t>
        </is>
      </c>
      <c r="O648" s="5" t="inlineStr">
        <is>
          <t>ENT</t>
        </is>
      </c>
      <c r="P648" s="5" t="n">
        <v>0</v>
      </c>
      <c r="Q648" s="5" t="n">
        <v>0</v>
      </c>
      <c r="R648" s="5" t="inlineStr">
        <is>
          <t>369-2023-12-31</t>
        </is>
      </c>
    </row>
    <row r="649">
      <c r="A649" s="5" t="n">
        <v>369</v>
      </c>
      <c r="B649" s="5" t="inlineStr">
        <is>
          <t>Participación de POLI- voluntariados (Estudiantes- Colaboradores)</t>
        </is>
      </c>
      <c r="C649" s="5" t="inlineStr">
        <is>
          <t>Gestión de la Responsabilidad Social</t>
        </is>
      </c>
      <c r="D649" s="13" t="inlineStr">
        <is>
          <t>Semestral</t>
        </is>
      </c>
      <c r="E649" s="5" t="inlineStr">
        <is>
          <t>Positivo</t>
        </is>
      </c>
      <c r="F649" s="101" t="n">
        <v>45657</v>
      </c>
      <c r="G649" s="15" t="n">
        <v>2024</v>
      </c>
      <c r="H649" s="6" t="inlineStr">
        <is>
          <t>Diciembre</t>
        </is>
      </c>
      <c r="I649" s="6" t="inlineStr">
        <is>
          <t>2024-2</t>
        </is>
      </c>
      <c r="J649" s="5" t="n">
        <v>200</v>
      </c>
      <c r="K649" s="5" t="n">
        <v>147.55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 t="inlineStr">
        <is>
          <t>369-2024-12-31</t>
        </is>
      </c>
    </row>
    <row r="650">
      <c r="A650" s="5" t="n">
        <v>369</v>
      </c>
      <c r="B650" s="5" t="inlineStr">
        <is>
          <t>Participación de POLI- voluntariados (Estudiantes- Colaboradores)</t>
        </is>
      </c>
      <c r="C650" s="5" t="inlineStr">
        <is>
          <t>Gestión de la Responsabilidad Social</t>
        </is>
      </c>
      <c r="D650" s="13" t="inlineStr">
        <is>
          <t>Semestral</t>
        </is>
      </c>
      <c r="E650" s="5" t="inlineStr">
        <is>
          <t>Positivo</t>
        </is>
      </c>
      <c r="F650" s="101" t="n">
        <v>46022</v>
      </c>
      <c r="G650" s="15" t="n">
        <v>2025</v>
      </c>
      <c r="H650" s="6" t="inlineStr">
        <is>
          <t>Diciembre</t>
        </is>
      </c>
      <c r="I650" s="6" t="inlineStr">
        <is>
          <t>2025-2</t>
        </is>
      </c>
      <c r="J650" s="5" t="n">
        <v>200</v>
      </c>
      <c r="K650" s="5" t="n">
        <v>197.15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 t="inlineStr">
        <is>
          <t>369-2025-12-31</t>
        </is>
      </c>
    </row>
    <row r="651">
      <c r="A651" s="5" t="n">
        <v>370</v>
      </c>
      <c r="B651" s="5" t="inlineStr">
        <is>
          <t>Oportunidades de mejora - Huella Verde</t>
        </is>
      </c>
      <c r="C651" s="5" t="inlineStr">
        <is>
          <t>Gestión de la Responsabilidad Social</t>
        </is>
      </c>
      <c r="D651" s="13" t="inlineStr">
        <is>
          <t>Semestral</t>
        </is>
      </c>
      <c r="E651" s="5" t="inlineStr">
        <is>
          <t>Positivo</t>
        </is>
      </c>
      <c r="F651" s="101" t="n">
        <v>45291</v>
      </c>
      <c r="G651" s="15" t="n">
        <v>2023</v>
      </c>
      <c r="H651" s="6" t="inlineStr">
        <is>
          <t>Diciembre</t>
        </is>
      </c>
      <c r="I651" s="6" t="inlineStr">
        <is>
          <t>2023-2</t>
        </is>
      </c>
      <c r="J651" s="5" t="n"/>
      <c r="K651" s="5" t="n"/>
      <c r="L651" s="14" t="n"/>
      <c r="M651" s="14" t="n"/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 t="inlineStr">
        <is>
          <t>370-2023-12-31</t>
        </is>
      </c>
    </row>
    <row r="652">
      <c r="A652" s="5" t="n">
        <v>371</v>
      </c>
      <c r="B652" s="5" t="inlineStr">
        <is>
          <t>Recaudación de fondos</t>
        </is>
      </c>
      <c r="C652" s="5" t="inlineStr">
        <is>
          <t>Gestión de la Responsabilidad Social</t>
        </is>
      </c>
      <c r="D652" s="13" t="inlineStr">
        <is>
          <t>Semestral</t>
        </is>
      </c>
      <c r="E652" s="5" t="inlineStr">
        <is>
          <t>Positivo</t>
        </is>
      </c>
      <c r="F652" s="101" t="n">
        <v>45291</v>
      </c>
      <c r="G652" s="15" t="n">
        <v>2023</v>
      </c>
      <c r="H652" s="6" t="inlineStr">
        <is>
          <t>Diciembre</t>
        </is>
      </c>
      <c r="I652" s="6" t="inlineStr">
        <is>
          <t>2023-2</t>
        </is>
      </c>
      <c r="J652" s="5" t="n">
        <v>200</v>
      </c>
      <c r="K652" s="10" t="n">
        <v>330.57274243636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371-2023-12-31</t>
        </is>
      </c>
    </row>
    <row r="653">
      <c r="A653" s="5" t="n">
        <v>371</v>
      </c>
      <c r="B653" s="5" t="inlineStr">
        <is>
          <t>Recaudación de fondos</t>
        </is>
      </c>
      <c r="C653" s="5" t="inlineStr">
        <is>
          <t>Gestión de la Responsabilidad Social</t>
        </is>
      </c>
      <c r="D653" s="13" t="inlineStr">
        <is>
          <t>Semestral</t>
        </is>
      </c>
      <c r="E653" s="5" t="inlineStr">
        <is>
          <t>Positivo</t>
        </is>
      </c>
      <c r="F653" s="101" t="n">
        <v>45657</v>
      </c>
      <c r="G653" s="15" t="n">
        <v>2024</v>
      </c>
      <c r="H653" s="6" t="inlineStr">
        <is>
          <t>Diciembre</t>
        </is>
      </c>
      <c r="I653" s="6" t="inlineStr">
        <is>
          <t>2024-2</t>
        </is>
      </c>
      <c r="J653" s="5" t="n">
        <v>200</v>
      </c>
      <c r="K653" s="5" t="n">
        <v>246.71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371-2024-12-31</t>
        </is>
      </c>
    </row>
    <row r="654">
      <c r="A654" s="5" t="n">
        <v>371</v>
      </c>
      <c r="B654" s="5" t="inlineStr">
        <is>
          <t>Recaudación de fondos</t>
        </is>
      </c>
      <c r="C654" s="5" t="inlineStr">
        <is>
          <t>Gestión de la Responsabilidad Social</t>
        </is>
      </c>
      <c r="D654" s="13" t="inlineStr">
        <is>
          <t>Trimestral</t>
        </is>
      </c>
      <c r="E654" s="5" t="inlineStr">
        <is>
          <t>Positivo</t>
        </is>
      </c>
      <c r="F654" s="101" t="n">
        <v>46022</v>
      </c>
      <c r="G654" s="5" t="n">
        <v>2025</v>
      </c>
      <c r="H654" s="5" t="inlineStr">
        <is>
          <t>Diciembre</t>
        </is>
      </c>
      <c r="I654" s="6" t="inlineStr">
        <is>
          <t>2025-2</t>
        </is>
      </c>
      <c r="J654" s="5" t="n">
        <v>200</v>
      </c>
      <c r="K654" s="5" t="n">
        <v>157.11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$</t>
        </is>
      </c>
      <c r="O654" s="5" t="inlineStr">
        <is>
          <t>$</t>
        </is>
      </c>
      <c r="P654" s="5" t="n">
        <v>0</v>
      </c>
      <c r="Q654" s="5" t="n">
        <v>0</v>
      </c>
      <c r="R654" s="5" t="inlineStr">
        <is>
          <t>371-2025-12-31</t>
        </is>
      </c>
    </row>
    <row r="655">
      <c r="A655" s="5" t="n">
        <v>372</v>
      </c>
      <c r="B655" s="5" t="inlineStr">
        <is>
          <t>Satisfacción de los clientes corporativos Educación para toda la vida</t>
        </is>
      </c>
      <c r="C655" s="5" t="inlineStr">
        <is>
          <t>Operación de Educación no Formal</t>
        </is>
      </c>
      <c r="D655" s="13" t="inlineStr">
        <is>
          <t>Trimestral</t>
        </is>
      </c>
      <c r="E655" s="5" t="inlineStr">
        <is>
          <t>Positivo</t>
        </is>
      </c>
      <c r="F655" s="101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87</v>
      </c>
      <c r="K655" s="5" t="n">
        <v>95.5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372-2023-12-31</t>
        </is>
      </c>
    </row>
    <row r="656">
      <c r="A656" s="5" t="n">
        <v>372</v>
      </c>
      <c r="B656" s="5" t="inlineStr">
        <is>
          <t>Satisfacción de los clientes corporativos Educación para toda la vida</t>
        </is>
      </c>
      <c r="C656" s="5" t="inlineStr">
        <is>
          <t>Operación de Educación no Formal</t>
        </is>
      </c>
      <c r="D656" s="13" t="inlineStr">
        <is>
          <t>Trimestral</t>
        </is>
      </c>
      <c r="E656" s="5" t="inlineStr">
        <is>
          <t>Positivo</t>
        </is>
      </c>
      <c r="F656" s="101" t="n">
        <v>45657</v>
      </c>
      <c r="G656" s="15" t="n">
        <v>2024</v>
      </c>
      <c r="H656" s="6" t="inlineStr">
        <is>
          <t>Diciembre</t>
        </is>
      </c>
      <c r="I656" s="6" t="inlineStr">
        <is>
          <t>2024-2</t>
        </is>
      </c>
      <c r="J656" s="5" t="n">
        <v>87</v>
      </c>
      <c r="K656" s="5" t="n">
        <v>91.75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372-2024-12-31</t>
        </is>
      </c>
    </row>
    <row r="657">
      <c r="A657" s="5" t="n">
        <v>372</v>
      </c>
      <c r="B657" s="5" t="inlineStr">
        <is>
          <t>Satisfacción de los clientes corporativos Educación para toda la vida</t>
        </is>
      </c>
      <c r="C657" s="5" t="inlineStr">
        <is>
          <t>Operación de nuevos negocios y CI</t>
        </is>
      </c>
      <c r="D657" s="13" t="inlineStr">
        <is>
          <t>Semestral</t>
        </is>
      </c>
      <c r="E657" s="5" t="inlineStr">
        <is>
          <t>Positivo</t>
        </is>
      </c>
      <c r="F657" s="101" t="n">
        <v>46022</v>
      </c>
      <c r="G657" s="15" t="n">
        <v>2025</v>
      </c>
      <c r="H657" s="6" t="inlineStr">
        <is>
          <t>Diciembre</t>
        </is>
      </c>
      <c r="I657" s="6" t="inlineStr">
        <is>
          <t>2025-2</t>
        </is>
      </c>
      <c r="J657" s="5" t="n">
        <v>90</v>
      </c>
      <c r="K657" s="5" t="n">
        <v>95.5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372-2025-12-31</t>
        </is>
      </c>
    </row>
    <row r="658">
      <c r="A658" s="5" t="n">
        <v>373</v>
      </c>
      <c r="B658" s="5" t="inlineStr">
        <is>
          <t>Cumplimiento de planes anuales por líneas</t>
        </is>
      </c>
      <c r="C658" s="5" t="inlineStr">
        <is>
          <t>Planeación Estratégica</t>
        </is>
      </c>
      <c r="D658" s="5" t="inlineStr">
        <is>
          <t>Trimestral</t>
        </is>
      </c>
      <c r="E658" s="5" t="inlineStr">
        <is>
          <t>Positivo</t>
        </is>
      </c>
      <c r="F658" s="101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73.9616666666675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373-2023-12-31</t>
        </is>
      </c>
    </row>
    <row r="659">
      <c r="A659" s="5" t="n">
        <v>373</v>
      </c>
      <c r="B659" s="5" t="inlineStr">
        <is>
          <t>Cumplimiento de planes anuales por líneas</t>
        </is>
      </c>
      <c r="C659" s="5" t="inlineStr">
        <is>
          <t>Planeación Estratégica</t>
        </is>
      </c>
      <c r="D659" s="5" t="inlineStr">
        <is>
          <t>Trimestral</t>
        </is>
      </c>
      <c r="E659" s="5" t="inlineStr">
        <is>
          <t>Positivo</t>
        </is>
      </c>
      <c r="F659" s="101" t="n">
        <v>45657</v>
      </c>
      <c r="G659" s="5" t="n">
        <v>2024</v>
      </c>
      <c r="H659" s="5" t="inlineStr">
        <is>
          <t>Diciembre</t>
        </is>
      </c>
      <c r="I659" s="6" t="inlineStr">
        <is>
          <t>2024-2</t>
        </is>
      </c>
      <c r="J659" s="5" t="n">
        <v>100</v>
      </c>
      <c r="K659" s="5" t="n">
        <v>98.52500000000001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373-2024-12-31</t>
        </is>
      </c>
    </row>
    <row r="660">
      <c r="A660" s="5" t="n">
        <v>373</v>
      </c>
      <c r="B660" s="5" t="inlineStr">
        <is>
          <t>Cumplimiento de planes anuales por líneas</t>
        </is>
      </c>
      <c r="C660" s="5" t="inlineStr">
        <is>
          <t>Planeación Estratégica</t>
        </is>
      </c>
      <c r="D660" s="5" t="inlineStr">
        <is>
          <t>Semestral</t>
        </is>
      </c>
      <c r="E660" s="5" t="inlineStr">
        <is>
          <t>Positivo</t>
        </is>
      </c>
      <c r="F660" s="101" t="n">
        <v>46022</v>
      </c>
      <c r="G660" s="5" t="n">
        <v>2025</v>
      </c>
      <c r="H660" s="5" t="inlineStr">
        <is>
          <t>Diciembre</t>
        </is>
      </c>
      <c r="I660" s="6" t="inlineStr">
        <is>
          <t>2025-2</t>
        </is>
      </c>
      <c r="J660" s="5" t="n">
        <v>100</v>
      </c>
      <c r="K660" s="5" t="n">
        <v>101.215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373-2025-12-31</t>
        </is>
      </c>
    </row>
    <row r="661">
      <c r="A661" s="5" t="n">
        <v>374</v>
      </c>
      <c r="B661" s="5" t="inlineStr">
        <is>
          <t>Disponibilidad de máster modalidad virtual</t>
        </is>
      </c>
      <c r="C661" s="5" t="inlineStr">
        <is>
          <t>Operaciones Académicas</t>
        </is>
      </c>
      <c r="D661" s="5" t="inlineStr">
        <is>
          <t>Semestral</t>
        </is>
      </c>
      <c r="E661" s="5" t="inlineStr">
        <is>
          <t>Positivo</t>
        </is>
      </c>
      <c r="F661" s="101" t="n">
        <v>45291</v>
      </c>
      <c r="G661" s="5" t="n">
        <v>2023</v>
      </c>
      <c r="H661" s="5" t="inlineStr">
        <is>
          <t>Diciembre</t>
        </is>
      </c>
      <c r="I661" s="6" t="inlineStr">
        <is>
          <t>2023-2</t>
        </is>
      </c>
      <c r="J661" s="5" t="n">
        <v>100</v>
      </c>
      <c r="K661" s="10" t="n">
        <v>100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374-2023-12-31</t>
        </is>
      </c>
    </row>
    <row r="662">
      <c r="A662" s="5" t="n">
        <v>375</v>
      </c>
      <c r="B662" s="5" t="inlineStr">
        <is>
          <t>Disponibilidad de catálogo de asignaturas pregrado y posgrado presencial</t>
        </is>
      </c>
      <c r="C662" s="5" t="inlineStr">
        <is>
          <t>Operaciones Académicas</t>
        </is>
      </c>
      <c r="D662" s="5" t="inlineStr">
        <is>
          <t>Semestral</t>
        </is>
      </c>
      <c r="E662" s="5" t="inlineStr">
        <is>
          <t>Positivo</t>
        </is>
      </c>
      <c r="F662" s="101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100</v>
      </c>
      <c r="K662" s="10" t="n">
        <v>50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375-2023-12-31</t>
        </is>
      </c>
    </row>
    <row r="663">
      <c r="A663" s="5" t="n">
        <v>375</v>
      </c>
      <c r="B663" s="5" t="inlineStr">
        <is>
          <t>Disponibilidad de catálogo de asignaturas pregrado y posgrado presencial</t>
        </is>
      </c>
      <c r="C663" s="5" t="inlineStr">
        <is>
          <t>Operaciones Académicas</t>
        </is>
      </c>
      <c r="D663" s="5" t="inlineStr">
        <is>
          <t>Semestral</t>
        </is>
      </c>
      <c r="E663" s="5" t="inlineStr">
        <is>
          <t>Positivo</t>
        </is>
      </c>
      <c r="F663" s="101" t="n">
        <v>45657</v>
      </c>
      <c r="G663" s="5" t="n">
        <v>2024</v>
      </c>
      <c r="H663" s="5" t="inlineStr">
        <is>
          <t>Diciembre</t>
        </is>
      </c>
      <c r="I663" s="6" t="inlineStr">
        <is>
          <t>2024-2</t>
        </is>
      </c>
      <c r="J663" s="5" t="n">
        <v>100</v>
      </c>
      <c r="K663" s="10" t="n">
        <v>100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375-2024-12-31</t>
        </is>
      </c>
    </row>
    <row r="664">
      <c r="A664" s="5" t="n">
        <v>375</v>
      </c>
      <c r="B664" s="5" t="inlineStr">
        <is>
          <t>Disponibilidad de catálogo de asignaturas pregrado y posgrado presencial</t>
        </is>
      </c>
      <c r="C664" s="5" t="inlineStr">
        <is>
          <t>Operaciones Académicas</t>
        </is>
      </c>
      <c r="D664" s="5" t="inlineStr">
        <is>
          <t>Trimestral</t>
        </is>
      </c>
      <c r="E664" s="5" t="inlineStr">
        <is>
          <t>Positivo</t>
        </is>
      </c>
      <c r="F664" s="101" t="n">
        <v>46022</v>
      </c>
      <c r="G664" s="5" t="n">
        <v>2025</v>
      </c>
      <c r="H664" s="5" t="inlineStr">
        <is>
          <t>Diciembre</t>
        </is>
      </c>
      <c r="I664" s="6" t="inlineStr">
        <is>
          <t>2025-2</t>
        </is>
      </c>
      <c r="J664" s="5" t="n">
        <v>100</v>
      </c>
      <c r="K664" s="5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375-2025-12-31</t>
        </is>
      </c>
    </row>
    <row r="665">
      <c r="A665" s="5" t="n">
        <v>376</v>
      </c>
      <c r="B665" s="5" t="inlineStr">
        <is>
          <t>Cumplimiento EBITDA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01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101.26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 t="inlineStr">
        <is>
          <t>376-2023-12-31</t>
        </is>
      </c>
    </row>
    <row r="666">
      <c r="A666" s="5" t="n">
        <v>376</v>
      </c>
      <c r="B666" s="5" t="inlineStr">
        <is>
          <t>Cumplimiento EBITDA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101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109.1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$</t>
        </is>
      </c>
      <c r="O666" s="5" t="inlineStr">
        <is>
          <t>$</t>
        </is>
      </c>
      <c r="P666" s="5" t="n">
        <v>0</v>
      </c>
      <c r="Q666" s="5" t="n">
        <v>0</v>
      </c>
      <c r="R666" s="5" t="inlineStr">
        <is>
          <t>376-2024-12-31</t>
        </is>
      </c>
    </row>
    <row r="667">
      <c r="A667" s="5" t="n">
        <v>376</v>
      </c>
      <c r="B667" s="20" t="inlineStr">
        <is>
          <t>Cumplimiento EBITDA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101" t="n">
        <v>46022</v>
      </c>
      <c r="G667" s="15" t="n">
        <v>2025</v>
      </c>
      <c r="H667" s="6" t="inlineStr">
        <is>
          <t>Diciembre</t>
        </is>
      </c>
      <c r="I667" s="6" t="inlineStr">
        <is>
          <t>2025-2</t>
        </is>
      </c>
      <c r="J667" t="n">
        <v>95</v>
      </c>
      <c r="K667" t="n">
        <v>117.51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$</t>
        </is>
      </c>
      <c r="O667" s="5" t="inlineStr">
        <is>
          <t>$</t>
        </is>
      </c>
      <c r="P667" s="5" t="n">
        <v>0</v>
      </c>
      <c r="Q667" s="5" t="n">
        <v>0</v>
      </c>
      <c r="R667" s="5" t="inlineStr">
        <is>
          <t>376-2025-12-31</t>
        </is>
      </c>
    </row>
    <row r="668">
      <c r="A668" s="5" t="n">
        <v>377</v>
      </c>
      <c r="B668" s="5" t="inlineStr">
        <is>
          <t>CAPEX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Negativo</t>
        </is>
      </c>
      <c r="F668" s="101" t="n">
        <v>45291</v>
      </c>
      <c r="G668" s="15" t="n">
        <v>2023</v>
      </c>
      <c r="H668" s="6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60.77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$</t>
        </is>
      </c>
      <c r="O668" s="5" t="inlineStr">
        <is>
          <t>$</t>
        </is>
      </c>
      <c r="P668" s="5" t="n">
        <v>0</v>
      </c>
      <c r="Q668" s="5" t="n">
        <v>0</v>
      </c>
      <c r="R668" s="5" t="inlineStr">
        <is>
          <t>377-2023-12-31</t>
        </is>
      </c>
    </row>
    <row r="669">
      <c r="A669" s="5" t="n">
        <v>377</v>
      </c>
      <c r="B669" s="5" t="inlineStr">
        <is>
          <t>CAPEX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Negativo</t>
        </is>
      </c>
      <c r="F669" s="101" t="n">
        <v>45657</v>
      </c>
      <c r="G669" s="15" t="n">
        <v>2024</v>
      </c>
      <c r="H669" s="6" t="inlineStr">
        <is>
          <t>Diciembre</t>
        </is>
      </c>
      <c r="I669" s="6" t="inlineStr">
        <is>
          <t>2024-2</t>
        </is>
      </c>
      <c r="J669" s="5" t="n">
        <v>100</v>
      </c>
      <c r="K669" s="5" t="n">
        <v>125.01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$</t>
        </is>
      </c>
      <c r="O669" s="5" t="inlineStr">
        <is>
          <t>$</t>
        </is>
      </c>
      <c r="P669" s="5" t="n">
        <v>0</v>
      </c>
      <c r="Q669" s="5" t="n">
        <v>0</v>
      </c>
      <c r="R669" s="5" t="inlineStr">
        <is>
          <t>377-2024-12-31</t>
        </is>
      </c>
    </row>
    <row r="670">
      <c r="A670" s="5" t="n">
        <v>377</v>
      </c>
      <c r="B670" s="5" t="inlineStr">
        <is>
          <t>CAPEX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01" t="n">
        <v>46022</v>
      </c>
      <c r="G670" s="5" t="n">
        <v>2025</v>
      </c>
      <c r="H670" s="5" t="inlineStr">
        <is>
          <t>Diciembre</t>
        </is>
      </c>
      <c r="I670" s="6" t="inlineStr">
        <is>
          <t>2025-2</t>
        </is>
      </c>
      <c r="J670" s="5" t="n">
        <v>100</v>
      </c>
      <c r="K670" s="5" t="n">
        <v>107.11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 t="inlineStr">
        <is>
          <t>377-2025-12-31</t>
        </is>
      </c>
    </row>
    <row r="671">
      <c r="A671" s="5" t="n">
        <v>378</v>
      </c>
      <c r="B671" s="5" t="inlineStr">
        <is>
          <t>Proyectos tecnológicos</t>
        </is>
      </c>
      <c r="C671" s="5" t="inlineStr">
        <is>
          <t>GESTIÓN DE LA TECNOLOGÍA E INNOVACIÓN DIGITAL</t>
        </is>
      </c>
      <c r="D671" s="5" t="inlineStr">
        <is>
          <t>Mensual</t>
        </is>
      </c>
      <c r="E671" s="5" t="inlineStr">
        <is>
          <t>Positivo</t>
        </is>
      </c>
      <c r="F671" s="101" t="n">
        <v>45291</v>
      </c>
      <c r="G671" s="5" t="n">
        <v>2023</v>
      </c>
      <c r="H671" s="5" t="inlineStr">
        <is>
          <t>Diciembre</t>
        </is>
      </c>
      <c r="I671" s="6" t="inlineStr">
        <is>
          <t>2023-2</t>
        </is>
      </c>
      <c r="J671" s="5" t="n">
        <v>92</v>
      </c>
      <c r="K671" s="5" t="n">
        <v>95.58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378-2023-12-31</t>
        </is>
      </c>
    </row>
    <row r="672">
      <c r="A672" t="n">
        <v>378</v>
      </c>
      <c r="B672" t="inlineStr">
        <is>
          <t>Proyectos tecnológicos</t>
        </is>
      </c>
      <c r="C672" t="inlineStr">
        <is>
          <t>GESTIÓN DE LA TECNOLOGÍA E INNOVACIÓN DIGITAL</t>
        </is>
      </c>
      <c r="D672" t="inlineStr">
        <is>
          <t>Mensual</t>
        </is>
      </c>
      <c r="E672" t="inlineStr">
        <is>
          <t>Positivo</t>
        </is>
      </c>
      <c r="F672" s="108" t="n">
        <v>45657</v>
      </c>
      <c r="G672" t="n">
        <v>2024</v>
      </c>
      <c r="H672" t="inlineStr">
        <is>
          <t>Diciembre</t>
        </is>
      </c>
      <c r="I672" t="inlineStr">
        <is>
          <t>2024-2</t>
        </is>
      </c>
      <c r="J672" t="n">
        <v>0</v>
      </c>
      <c r="K672" t="n">
        <v>0</v>
      </c>
      <c r="L672" s="39">
        <f>IFERROR(IF(OR(J672=0,K672=""),"",IF(E672="Positivo",MIN(MAX(K672/J672,0),1.3),MIN(MAX(J672/K672,0),1.3))),"") </f>
        <v/>
      </c>
      <c r="M672" s="39">
        <f>IFERROR(IF(OR(J672=0,K672=""),"",IF(E672="Positivo",MAX(K672/J672,0),MAX(J672/K672,0))),"") </f>
        <v/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378-2024-12-31</t>
        </is>
      </c>
    </row>
    <row r="673">
      <c r="A673" t="n">
        <v>379</v>
      </c>
      <c r="B673" t="inlineStr">
        <is>
          <t>Total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08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200</v>
      </c>
      <c r="K673" t="n">
        <v>211.37877164056</v>
      </c>
      <c r="L673" s="39">
        <f>IFERROR(IF(OR(J673=0,K673=""),"",IF(E673="Positivo",MIN(MAX(K673/J673,0),1.3),MIN(MAX(J673/K673,0),1.3))),"") </f>
        <v/>
      </c>
      <c r="M673" s="39">
        <f>IFERROR(IF(OR(J673=0,K673=""),"",IF(E673="Positivo",MAX(K673/J673,0),MAX(J673/K673,0))),"") </f>
        <v/>
      </c>
      <c r="N673" t="inlineStr">
        <is>
          <t>ENT</t>
        </is>
      </c>
      <c r="O673" t="inlineStr">
        <is>
          <t>ENT</t>
        </is>
      </c>
      <c r="P673" t="n">
        <v>0</v>
      </c>
      <c r="Q673" t="n">
        <v>0</v>
      </c>
      <c r="R673" t="inlineStr">
        <is>
          <t>379-2023-12-31</t>
        </is>
      </c>
    </row>
    <row r="674">
      <c r="A674" t="n">
        <v>379</v>
      </c>
      <c r="B674" t="inlineStr">
        <is>
          <t>Total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08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200</v>
      </c>
      <c r="K674" t="n">
        <v>195.23</v>
      </c>
      <c r="L674" s="39">
        <f>IFERROR(IF(OR(J674=0,K674=""),"",IF(E674="Positivo",MIN(MAX(K674/J674,0),1.3),MIN(MAX(J674/K674,0),1.3))),"") </f>
        <v/>
      </c>
      <c r="M674" s="39">
        <f>IFERROR(IF(OR(J674=0,K674=""),"",IF(E674="Positivo",MAX(K674/J674,0),MAX(J674/K674,0))),"") </f>
        <v/>
      </c>
      <c r="N674" t="inlineStr">
        <is>
          <t>ENT</t>
        </is>
      </c>
      <c r="O674" t="inlineStr">
        <is>
          <t>ENT</t>
        </is>
      </c>
      <c r="P674" t="n">
        <v>0</v>
      </c>
      <c r="Q674" t="n">
        <v>0</v>
      </c>
      <c r="R674" t="inlineStr">
        <is>
          <t>379-2024-12-31</t>
        </is>
      </c>
    </row>
    <row r="675">
      <c r="A675" t="n">
        <v>379</v>
      </c>
      <c r="B675" t="inlineStr">
        <is>
          <t>Total estudiantes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08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200</v>
      </c>
      <c r="K675" t="n">
        <v>206.52</v>
      </c>
      <c r="L675" s="39">
        <f>IFERROR(IF(OR(J675=0,K675=""),"",IF(E675="Positivo",MIN(MAX(K675/J675,0),1.3),MIN(MAX(J675/K675,0),1.3))),"") </f>
        <v/>
      </c>
      <c r="M675" s="39">
        <f>IFERROR(IF(OR(J675=0,K675=""),"",IF(E675="Positivo",MAX(K675/J675,0),MAX(J675/K675,0))),"") </f>
        <v/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379-2025-12-31</t>
        </is>
      </c>
    </row>
    <row r="676">
      <c r="A676" t="n">
        <v>380</v>
      </c>
      <c r="B676" t="inlineStr">
        <is>
          <t>Ingresos de matriculas de estudiantes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08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49384.117103</v>
      </c>
      <c r="K676" t="n">
        <v>51094.632052</v>
      </c>
      <c r="L676" s="39">
        <f>IFERROR(IF(OR(J676=0,K676=""),"",IF(E676="Positivo",MIN(MAX(K676/J676,0),1.3),MIN(MAX(J676/K676,0),1.3))),"") </f>
        <v/>
      </c>
      <c r="M676" s="39">
        <f>IFERROR(IF(OR(J676=0,K676=""),"",IF(E676="Positivo",MAX(K676/J676,0),MAX(J676/K676,0))),"") </f>
        <v/>
      </c>
      <c r="N676" t="inlineStr">
        <is>
          <t>$</t>
        </is>
      </c>
      <c r="O676" t="inlineStr">
        <is>
          <t>$</t>
        </is>
      </c>
      <c r="P676" t="n">
        <v>0</v>
      </c>
      <c r="Q676" t="n">
        <v>0</v>
      </c>
      <c r="R676" t="inlineStr">
        <is>
          <t>380-2023-12-31</t>
        </is>
      </c>
    </row>
    <row r="677">
      <c r="A677" t="n">
        <v>380</v>
      </c>
      <c r="B677" t="inlineStr">
        <is>
          <t>Ingresos de matriculas de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08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100</v>
      </c>
      <c r="K677" t="n">
        <v>78.92</v>
      </c>
      <c r="L677" s="39">
        <f>IFERROR(IF(OR(J677=0,K677=""),"",IF(E677="Positivo",MIN(MAX(K677/J677,0),1.3),MIN(MAX(J677/K677,0),1.3))),"") </f>
        <v/>
      </c>
      <c r="M677" s="39">
        <f>IFERROR(IF(OR(J677=0,K677=""),"",IF(E677="Positivo",MAX(K677/J677,0),MAX(J677/K677,0))),"") </f>
        <v/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380-2024-12-31</t>
        </is>
      </c>
    </row>
    <row r="678">
      <c r="A678" t="n">
        <v>381</v>
      </c>
      <c r="B678" t="inlineStr">
        <is>
          <t>Cumplimiento de matrículas pregrado presencial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08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217.97170868347</v>
      </c>
      <c r="L678" s="39">
        <f>IFERROR(IF(OR(J678=0,K678=""),"",IF(E678="Positivo",MIN(MAX(K678/J678,0),1.3),MIN(MAX(J678/K678,0),1.3))),"") </f>
        <v/>
      </c>
      <c r="M678" s="39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381-2023-12-31</t>
        </is>
      </c>
    </row>
    <row r="679">
      <c r="A679" t="n">
        <v>381</v>
      </c>
      <c r="B679" t="inlineStr">
        <is>
          <t>Cumplimiento de matrículas pregrado presencial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08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194.45</v>
      </c>
      <c r="L679" s="39">
        <f>IFERROR(IF(OR(J679=0,K679=""),"",IF(E679="Positivo",MIN(MAX(K679/J679,0),1.3),MIN(MAX(J679/K679,0),1.3))),"") </f>
        <v/>
      </c>
      <c r="M679" s="39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381-2024-12-31</t>
        </is>
      </c>
    </row>
    <row r="680">
      <c r="A680" t="n">
        <v>381</v>
      </c>
      <c r="B680" t="inlineStr">
        <is>
          <t>Cumplimiento de matrículas pregrado presencial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08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211.88</v>
      </c>
      <c r="L680" s="39">
        <f>IFERROR(IF(OR(J680=0,K680=""),"",IF(E680="Positivo",MIN(MAX(K680/J680,0),1.3),MIN(MAX(J680/K680,0),1.3))),"") </f>
        <v/>
      </c>
      <c r="M680" s="39">
        <f>IFERROR(IF(OR(J680=0,K680=""),"",IF(E680="Positivo",MAX(K680/J680,0),MAX(J680/K680,0))),"") </f>
        <v/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381-2025-12-31</t>
        </is>
      </c>
    </row>
    <row r="681">
      <c r="A681" t="n">
        <v>382</v>
      </c>
      <c r="B681" t="inlineStr">
        <is>
          <t>Cumplimiento de matrículas pregrado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08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204.26041131951</v>
      </c>
      <c r="L681" s="39">
        <f>IFERROR(IF(OR(J681=0,K681=""),"",IF(E681="Positivo",MIN(MAX(K681/J681,0),1.3),MIN(MAX(J681/K681,0),1.3))),"") </f>
        <v/>
      </c>
      <c r="M681" s="39">
        <f>IFERROR(IF(OR(J681=0,K681=""),"",IF(E681="Positivo",MAX(K681/J681,0),MAX(J681/K681,0))),"") </f>
        <v/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382-2023-12-31</t>
        </is>
      </c>
    </row>
    <row r="682">
      <c r="A682" t="n">
        <v>382</v>
      </c>
      <c r="B682" t="inlineStr">
        <is>
          <t>Cumplimiento de matrículas pregrado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08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191.83</v>
      </c>
      <c r="L682" s="39">
        <f>IFERROR(IF(OR(J682=0,K682=""),"",IF(E682="Positivo",MIN(MAX(K682/J682,0),1.3),MIN(MAX(J682/K682,0),1.3))),"") </f>
        <v/>
      </c>
      <c r="M682" s="39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382-2024-12-31</t>
        </is>
      </c>
    </row>
    <row r="683">
      <c r="A683" t="n">
        <v>382</v>
      </c>
      <c r="B683" t="inlineStr">
        <is>
          <t>Cumplimiento de matrículas pregrado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08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197.06</v>
      </c>
      <c r="L683" s="39">
        <f>IFERROR(IF(OR(J683=0,K683=""),"",IF(E683="Positivo",MIN(MAX(K683/J683,0),1.3),MIN(MAX(J683/K683,0),1.3))),"") </f>
        <v/>
      </c>
      <c r="M683" s="39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382-2025-12-31</t>
        </is>
      </c>
    </row>
    <row r="684">
      <c r="A684" t="n">
        <v>383</v>
      </c>
      <c r="B684" t="inlineStr">
        <is>
          <t>Cumplimiento de matrículas posgrado virtual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08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258.04232994527</v>
      </c>
      <c r="L684" s="39">
        <f>IFERROR(IF(OR(J684=0,K684=""),"",IF(E684="Positivo",MIN(MAX(K684/J684,0),1.3),MIN(MAX(J684/K684,0),1.3))),"") </f>
        <v/>
      </c>
      <c r="M684" s="39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383-2023-12-31</t>
        </is>
      </c>
    </row>
    <row r="685">
      <c r="A685" t="n">
        <v>383</v>
      </c>
      <c r="B685" t="inlineStr">
        <is>
          <t>Cumplimiento de matrículas posgrado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08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220.91</v>
      </c>
      <c r="L685" s="39">
        <f>IFERROR(IF(OR(J685=0,K685=""),"",IF(E685="Positivo",MIN(MAX(K685/J685,0),1.3),MIN(MAX(J685/K685,0),1.3))),"") </f>
        <v/>
      </c>
      <c r="M685" s="39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383-2024-12-31</t>
        </is>
      </c>
    </row>
    <row r="686">
      <c r="A686" t="n">
        <v>383</v>
      </c>
      <c r="B686" t="inlineStr">
        <is>
          <t>Cumplimiento de matrículas posgrado virtual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08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264.83</v>
      </c>
      <c r="L686" s="39">
        <f>IFERROR(IF(OR(J686=0,K686=""),"",IF(E686="Positivo",MIN(MAX(K686/J686,0),1.3),MIN(MAX(J686/K686,0),1.3))),"") </f>
        <v/>
      </c>
      <c r="M686" s="39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383-2025-12-31</t>
        </is>
      </c>
    </row>
    <row r="687">
      <c r="A687" t="n">
        <v>384</v>
      </c>
      <c r="B687" t="inlineStr">
        <is>
          <t>Cumplimiento de matrículas posgrado presencial nuevos</t>
        </is>
      </c>
      <c r="C687" t="inlineStr">
        <is>
          <t>Inscripción, admisión y matrícula de estudiantes nuevos</t>
        </is>
      </c>
      <c r="D687" t="inlineStr">
        <is>
          <t>Semestral</t>
        </is>
      </c>
      <c r="E687" t="inlineStr">
        <is>
          <t>Positivo</t>
        </is>
      </c>
      <c r="F687" s="108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200</v>
      </c>
      <c r="K687" t="n">
        <v>227.14470588235</v>
      </c>
      <c r="L687" s="39">
        <f>IFERROR(IF(OR(J687=0,K687=""),"",IF(E687="Positivo",MIN(MAX(K687/J687,0),1.3),MIN(MAX(J687/K687,0),1.3))),"") </f>
        <v/>
      </c>
      <c r="M687" s="39">
        <f>IFERROR(IF(OR(J687=0,K687=""),"",IF(E687="Positivo",MAX(K687/J687,0),MAX(J687/K687,0))),"") </f>
        <v/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384-2023-12-31</t>
        </is>
      </c>
    </row>
    <row r="688">
      <c r="A688" t="n">
        <v>384</v>
      </c>
      <c r="B688" t="inlineStr">
        <is>
          <t>Cumplimiento de matrículas posgrado presencial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08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200</v>
      </c>
      <c r="K688" t="n">
        <v>190.1</v>
      </c>
      <c r="L688" s="39">
        <f>IFERROR(IF(OR(J688=0,K688=""),"",IF(E688="Positivo",MIN(MAX(K688/J688,0),1.3),MIN(MAX(J688/K688,0),1.3))),"") </f>
        <v/>
      </c>
      <c r="M688" s="39">
        <f>IFERROR(IF(OR(J688=0,K688=""),"",IF(E688="Positivo",MAX(K688/J688,0),MAX(J688/K688,0))),"") </f>
        <v/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384-2024-12-31</t>
        </is>
      </c>
    </row>
    <row r="689">
      <c r="A689" t="n">
        <v>384</v>
      </c>
      <c r="B689" t="inlineStr">
        <is>
          <t>Cumplimiento de matrículas posgrado presencial nuevos</t>
        </is>
      </c>
      <c r="C689" t="inlineStr">
        <is>
          <t>Inscripción, admisión y matrícula de estudiantes nuevos</t>
        </is>
      </c>
      <c r="D689" t="inlineStr">
        <is>
          <t>Trimestral</t>
        </is>
      </c>
      <c r="E689" t="inlineStr">
        <is>
          <t>Positivo</t>
        </is>
      </c>
      <c r="F689" s="108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200</v>
      </c>
      <c r="K689" t="n">
        <v>204.16</v>
      </c>
      <c r="L689" s="39">
        <f>IFERROR(IF(OR(J689=0,K689=""),"",IF(E689="Positivo",MIN(MAX(K689/J689,0),1.3),MIN(MAX(J689/K689,0),1.3))),"") </f>
        <v/>
      </c>
      <c r="M689" s="39">
        <f>IFERROR(IF(OR(J689=0,K689=""),"",IF(E689="Positivo",MAX(K689/J689,0),MAX(J689/K689,0))),"") </f>
        <v/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384-2025-12-31</t>
        </is>
      </c>
    </row>
    <row r="690">
      <c r="A690" t="n">
        <v>385</v>
      </c>
      <c r="B690" t="inlineStr">
        <is>
          <t>Ingresos totales de educación para la vida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08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100</v>
      </c>
      <c r="K690" t="n">
        <v>124.93</v>
      </c>
      <c r="L690" s="39">
        <f>IFERROR(IF(OR(J690=0,K690=""),"",IF(E690="Positivo",MIN(MAX(K690/J690,0),1.3),MIN(MAX(J690/K690,0),1.3))),"") </f>
        <v/>
      </c>
      <c r="M690" s="39">
        <f>IFERROR(IF(OR(J690=0,K690=""),"",IF(E690="Positivo",MAX(K690/J690,0),MAX(J690/K690,0))),"") </f>
        <v/>
      </c>
      <c r="N690" t="inlineStr">
        <is>
          <t>$</t>
        </is>
      </c>
      <c r="O690" t="inlineStr">
        <is>
          <t>$</t>
        </is>
      </c>
      <c r="P690" t="n">
        <v>0</v>
      </c>
      <c r="Q690" t="n">
        <v>0</v>
      </c>
      <c r="R690" t="inlineStr">
        <is>
          <t>385-2023-12-31</t>
        </is>
      </c>
    </row>
    <row r="691">
      <c r="A691" t="n">
        <v>385</v>
      </c>
      <c r="B691" t="inlineStr">
        <is>
          <t>Ingresos totales de educación para la vida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08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100</v>
      </c>
      <c r="K691" t="n">
        <v>88.56</v>
      </c>
      <c r="L691" s="39">
        <f>IFERROR(IF(OR(J691=0,K691=""),"",IF(E691="Positivo",MIN(MAX(K691/J691,0),1.3),MIN(MAX(J691/K691,0),1.3))),"") </f>
        <v/>
      </c>
      <c r="M691" s="39">
        <f>IFERROR(IF(OR(J691=0,K691=""),"",IF(E691="Positivo",MAX(K691/J691,0),MAX(J691/K691,0))),"") </f>
        <v/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385-2024-12-31</t>
        </is>
      </c>
    </row>
    <row r="692">
      <c r="A692" t="n">
        <v>385</v>
      </c>
      <c r="B692" t="inlineStr">
        <is>
          <t>Ingresos totales de educación para la vida</t>
        </is>
      </c>
      <c r="C692" t="inlineStr">
        <is>
          <t>Mercadeo y venta de educación para la vida</t>
        </is>
      </c>
      <c r="D692" t="inlineStr">
        <is>
          <t>Semestral</t>
        </is>
      </c>
      <c r="E692" t="inlineStr">
        <is>
          <t>Positivo</t>
        </is>
      </c>
      <c r="F692" s="108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100</v>
      </c>
      <c r="K692" t="n">
        <v>108.89</v>
      </c>
      <c r="L692" s="39">
        <f>IFERROR(IF(OR(J692=0,K692=""),"",IF(E692="Positivo",MIN(MAX(K692/J692,0),1.3),MIN(MAX(J692/K692,0),1.3))),"") </f>
        <v/>
      </c>
      <c r="M692" s="39">
        <f>IFERROR(IF(OR(J692=0,K692=""),"",IF(E692="Positivo",MAX(K692/J692,0),MAX(J692/K692,0))),"") </f>
        <v/>
      </c>
      <c r="N692" t="inlineStr">
        <is>
          <t>$</t>
        </is>
      </c>
      <c r="O692" t="inlineStr">
        <is>
          <t>$</t>
        </is>
      </c>
      <c r="P692" t="n">
        <v>0</v>
      </c>
      <c r="Q692" t="n">
        <v>0</v>
      </c>
      <c r="R692" t="inlineStr">
        <is>
          <t>385-2025-12-31</t>
        </is>
      </c>
    </row>
    <row r="693">
      <c r="A693" t="n">
        <v>386</v>
      </c>
      <c r="B693" t="inlineStr">
        <is>
          <t>Cumplimiento Meta comercial Educación para toda la vida por linea</t>
        </is>
      </c>
      <c r="C693" t="inlineStr">
        <is>
          <t>Mercadeo y venta de educación para la vida</t>
        </is>
      </c>
      <c r="D693" t="inlineStr">
        <is>
          <t>Semestral</t>
        </is>
      </c>
      <c r="E693" t="inlineStr">
        <is>
          <t>Positivo</t>
        </is>
      </c>
      <c r="F693" s="108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241.20486566654</v>
      </c>
      <c r="L693" s="39">
        <f>IFERROR(IF(OR(J693=0,K693=""),"",IF(E693="Positivo",MIN(MAX(K693/J693,0),1.3),MIN(MAX(J693/K693,0),1.3))),"") </f>
        <v/>
      </c>
      <c r="M693" s="39">
        <f>IFERROR(IF(OR(J693=0,K693=""),"",IF(E693="Positivo",MAX(K693/J693,0),MAX(J693/K693,0))),"") </f>
        <v/>
      </c>
      <c r="N693" t="inlineStr">
        <is>
          <t>%</t>
        </is>
      </c>
      <c r="O693" t="inlineStr">
        <is>
          <t>%</t>
        </is>
      </c>
      <c r="P693" t="n">
        <v>0</v>
      </c>
      <c r="Q693" t="n">
        <v>0</v>
      </c>
      <c r="R693" t="inlineStr">
        <is>
          <t>386-2023-12-31</t>
        </is>
      </c>
    </row>
    <row r="694">
      <c r="A694" t="n">
        <v>386</v>
      </c>
      <c r="B694" t="inlineStr">
        <is>
          <t>Cumplimiento Meta comercial Educación para toda la vida por linea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08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188.64</v>
      </c>
      <c r="L694" s="39">
        <f>IFERROR(IF(OR(J694=0,K694=""),"",IF(E694="Positivo",MIN(MAX(K694/J694,0),1.3),MIN(MAX(J694/K694,0),1.3))),"") </f>
        <v/>
      </c>
      <c r="M694" s="39">
        <f>IFERROR(IF(OR(J694=0,K694=""),"",IF(E694="Positivo",MAX(K694/J694,0),MAX(J694/K694,0))),"") </f>
        <v/>
      </c>
      <c r="N694" t="inlineStr">
        <is>
          <t>%</t>
        </is>
      </c>
      <c r="O694" t="inlineStr">
        <is>
          <t>%</t>
        </is>
      </c>
      <c r="P694" t="n">
        <v>0</v>
      </c>
      <c r="Q694" t="n">
        <v>0</v>
      </c>
      <c r="R694" t="inlineStr">
        <is>
          <t>386-2024-12-31</t>
        </is>
      </c>
    </row>
    <row r="695">
      <c r="A695" t="n">
        <v>386</v>
      </c>
      <c r="B695" t="inlineStr">
        <is>
          <t>Cumplimiento Meta comercial Educación para toda la vida por linea</t>
        </is>
      </c>
      <c r="C695" t="inlineStr">
        <is>
          <t>Mercadeo y venta de educación para la vida</t>
        </is>
      </c>
      <c r="D695" t="inlineStr">
        <is>
          <t>Trimestral</t>
        </is>
      </c>
      <c r="E695" t="inlineStr">
        <is>
          <t>Positivo</t>
        </is>
      </c>
      <c r="F695" s="108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225.46</v>
      </c>
      <c r="L695" s="39">
        <f>IFERROR(IF(OR(J695=0,K695=""),"",IF(E695="Positivo",MIN(MAX(K695/J695,0),1.3),MIN(MAX(J695/K695,0),1.3))),"") </f>
        <v/>
      </c>
      <c r="M695" s="39">
        <f>IFERROR(IF(OR(J695=0,K695=""),"",IF(E695="Positivo",MAX(K695/J695,0),MAX(J695/K695,0))),"") </f>
        <v/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386-2025-12-31</t>
        </is>
      </c>
    </row>
    <row r="696">
      <c r="A696" t="n">
        <v>387</v>
      </c>
      <c r="B696" t="inlineStr">
        <is>
          <t>Programas con reforzamiento curricular por escuela</t>
        </is>
      </c>
      <c r="C696" t="inlineStr">
        <is>
          <t>Gestión, Evaluación e Innovación Curricular</t>
        </is>
      </c>
      <c r="D696" t="inlineStr">
        <is>
          <t>Semestral</t>
        </is>
      </c>
      <c r="E696" t="inlineStr">
        <is>
          <t>Positivo</t>
        </is>
      </c>
      <c r="F696" s="108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38</v>
      </c>
      <c r="K696" t="n">
        <v>38</v>
      </c>
      <c r="L696" s="39">
        <f>IFERROR(IF(OR(J696=0,K696=""),"",IF(E696="Positivo",MIN(MAX(K696/J696,0),1.3),MIN(MAX(J696/K696,0),1.3))),"") </f>
        <v/>
      </c>
      <c r="M696" s="39">
        <f>IFERROR(IF(OR(J696=0,K696=""),"",IF(E696="Positivo",MAX(K696/J696,0),MAX(J696/K696,0))),"") </f>
        <v/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387-2023-12-31</t>
        </is>
      </c>
    </row>
    <row r="697">
      <c r="A697" t="n">
        <v>388</v>
      </c>
      <c r="B697" t="inlineStr">
        <is>
          <t>Programas con matriz de resultados de aprendizaje por escuela</t>
        </is>
      </c>
      <c r="C697" t="inlineStr">
        <is>
          <t>Gestión, Evaluación e Innovación Curricular</t>
        </is>
      </c>
      <c r="D697" t="inlineStr">
        <is>
          <t>Semestral</t>
        </is>
      </c>
      <c r="E697" t="inlineStr">
        <is>
          <t>Positivo</t>
        </is>
      </c>
      <c r="F697" s="108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93</v>
      </c>
      <c r="K697" t="n">
        <v>93</v>
      </c>
      <c r="L697" s="39">
        <f>IFERROR(IF(OR(J697=0,K697=""),"",IF(E697="Positivo",MIN(MAX(K697/J697,0),1.3),MIN(MAX(J697/K697,0),1.3))),"") </f>
        <v/>
      </c>
      <c r="M697" s="39">
        <f>IFERROR(IF(OR(J697=0,K697=""),"",IF(E697="Positivo",MAX(K697/J697,0),MAX(J697/K697,0))),"") </f>
        <v/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388-2023-12-31</t>
        </is>
      </c>
    </row>
    <row r="698">
      <c r="A698" t="n">
        <v>389</v>
      </c>
      <c r="B698" t="inlineStr">
        <is>
          <t>Permanencia por escuela</t>
        </is>
      </c>
      <c r="C698" t="inlineStr">
        <is>
          <t>Permanencia</t>
        </is>
      </c>
      <c r="D698" t="inlineStr">
        <is>
          <t>Semestral</t>
        </is>
      </c>
      <c r="E698" t="inlineStr">
        <is>
          <t>Positivo</t>
        </is>
      </c>
      <c r="F698" s="108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91</v>
      </c>
      <c r="K698" t="n">
        <v>0</v>
      </c>
      <c r="L698" s="39">
        <f>IFERROR(IF(OR(J698=0,K698=""),"",IF(E698="Positivo",MIN(MAX(K698/J698,0),1.3),MIN(MAX(J698/K698,0),1.3))),"") </f>
        <v/>
      </c>
      <c r="M698" s="39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08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39">
        <f>IFERROR(IF(OR(J699=0,K699=""),"",IF(E699="Positivo",MIN(MAX(K699/J699,0),1.3),MIN(MAX(J699/K699,0),1.3))),"") </f>
        <v/>
      </c>
      <c r="M699" s="3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08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39" t="n"/>
      <c r="M700" s="3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08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39">
        <f>IFERROR(IF(OR(J701=0,K701=""),"",IF(E701="Positivo",MIN(MAX(K701/J701,0),1.3),MIN(MAX(J701/K701,0),1.3))),"") </f>
        <v/>
      </c>
      <c r="M701" s="39">
        <f>IFERROR(IF(OR(J701=0,K701=""),"",IF(E701="Positivo",MAX(K701/J701,0),MAX(J701/K701,0))),"") </f>
        <v/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08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39">
        <f>IFERROR(IF(OR(J702=0,K702=""),"",IF(E702="Positivo",MIN(MAX(K702/J702,0),1.3),MIN(MAX(J702/K702,0),1.3))),"") </f>
        <v/>
      </c>
      <c r="M702" s="3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08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39">
        <f>IFERROR(IF(OR(J703=0,K703=""),"",IF(E703="Positivo",MIN(MAX(K703/J703,0),1.3),MIN(MAX(J703/K703,0),1.3))),"") </f>
        <v/>
      </c>
      <c r="M703" s="39">
        <f>IFERROR(IF(OR(J703=0,K703=""),"",IF(E703="Positivo",MAX(K703/J703,0),MAX(J703/K703,0))),"") </f>
        <v/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08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39">
        <f>IFERROR(IF(OR(J704=0,K704=""),"",IF(E704="Positivo",MIN(MAX(K704/J704,0),1.3),MIN(MAX(J704/K704,0),1.3))),"") </f>
        <v/>
      </c>
      <c r="M704" s="39">
        <f>IFERROR(IF(OR(J704=0,K704=""),"",IF(E704="Positivo",MAX(K704/J704,0),MAX(J704/K704,0))),"") </f>
        <v/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08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39">
        <f>IFERROR(IF(OR(J705=0,K705=""),"",IF(E705="Positivo",MIN(MAX(K705/J705,0),1.3),MIN(MAX(J705/K705,0),1.3))),"") </f>
        <v/>
      </c>
      <c r="M705" s="39">
        <f>IFERROR(IF(OR(J705=0,K705=""),"",IF(E705="Positivo",MAX(K705/J705,0),MAX(J705/K705,0))),"") </f>
        <v/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08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39">
        <f>IFERROR(IF(OR(J706=0,K706=""),"",IF(E706="Positivo",MIN(MAX(K706/J706,0),1.3),MIN(MAX(J706/K706,0),1.3))),"") </f>
        <v/>
      </c>
      <c r="M706" s="39">
        <f>IFERROR(IF(OR(J706=0,K706=""),"",IF(E706="Positivo",MAX(K706/J706,0),MAX(J706/K706,0))),"") </f>
        <v/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08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39">
        <f>IFERROR(IF(OR(J707=0,K707=""),"",IF(E707="Positivo",MIN(MAX(K707/J707,0),1.3),MIN(MAX(J707/K707,0),1.3))),"") </f>
        <v/>
      </c>
      <c r="M707" s="39">
        <f>IFERROR(IF(OR(J707=0,K707=""),"",IF(E707="Positivo",MAX(K707/J707,0),MAX(J707/K707,0))),"") </f>
        <v/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08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39">
        <f>IFERROR(IF(OR(J708=0,K708=""),"",IF(E708="Positivo",MIN(MAX(K708/J708,0),1.3),MIN(MAX(J708/K708,0),1.3))),"") </f>
        <v/>
      </c>
      <c r="M708" s="39">
        <f>IFERROR(IF(OR(J708=0,K708=""),"",IF(E708="Positivo",MAX(K708/J708,0),MAX(J708/K708,0))),"") </f>
        <v/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08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39">
        <f>IFERROR(IF(OR(J709=0,K709=""),"",IF(E709="Positivo",MIN(MAX(K709/J709,0),1.3),MIN(MAX(J709/K709,0),1.3))),"") </f>
        <v/>
      </c>
      <c r="M709" s="39">
        <f>IFERROR(IF(OR(J709=0,K709=""),"",IF(E709="Positivo",MAX(K709/J709,0),MAX(J709/K709,0))),"") </f>
        <v/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08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39">
        <f>IFERROR(IF(OR(J710=0,K710=""),"",IF(E710="Positivo",MIN(MAX(K710/J710,0),1.3),MIN(MAX(J710/K710,0),1.3))),"") </f>
        <v/>
      </c>
      <c r="M710" s="39">
        <f>IFERROR(IF(OR(J710=0,K710=""),"",IF(E710="Positivo",MAX(K710/J710,0),MAX(J710/K710,0))),"") </f>
        <v/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08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3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08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39">
        <f>IFERROR(IF(OR(J712=0,K712=""),"",IF(E712="Positivo",MIN(MAX(K712/J712,0),1.3),MIN(MAX(J712/K712,0),1.3))),"") </f>
        <v/>
      </c>
      <c r="M712" s="39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08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39">
        <f>IFERROR(IF(OR(J713=0,K713=""),"",IF(E713="Positivo",MIN(MAX(K713/J713,0),1.3),MIN(MAX(J713/K713,0),1.3))),"") </f>
        <v/>
      </c>
      <c r="M713" s="3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08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39">
        <f>IFERROR(IF(OR(J714=0,K714=""),"",IF(E714="Positivo",MIN(MAX(K714/J714,0),1.3),MIN(MAX(J714/K714,0),1.3))),"") </f>
        <v/>
      </c>
      <c r="M714" s="3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08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39">
        <f>IFERROR(IF(OR(J715=0,K715=""),"",IF(E715="Positivo",MIN(MAX(K715/J715,0),1.3),MIN(MAX(J715/K715,0),1.3))),"") </f>
        <v/>
      </c>
      <c r="M715" s="39">
        <f>IFERROR(IF(OR(J715=0,K715=""),"",IF(E715="Positivo",MAX(K715/J715,0),MAX(J715/K715,0))),"") </f>
        <v/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08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39">
        <f>IFERROR(IF(OR(J716=0,K716=""),"",IF(E716="Positivo",MIN(MAX(K716/J716,0),1.3),MIN(MAX(J716/K716,0),1.3))),"") </f>
        <v/>
      </c>
      <c r="M716" s="3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08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39">
        <f>IFERROR(IF(OR(J717=0,K717=""),"",IF(E717="Positivo",MIN(MAX(K717/J717,0),1.3),MIN(MAX(J717/K717,0),1.3))),"") </f>
        <v/>
      </c>
      <c r="M717" s="39">
        <f>IFERROR(IF(OR(J717=0,K717=""),"",IF(E717="Positivo",MAX(K717/J717,0),MAX(J717/K717,0))),"") </f>
        <v/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08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39">
        <f>IFERROR(IF(OR(J718=0,K718=""),"",IF(E718="Positivo",MIN(MAX(K718/J718,0),1.3),MIN(MAX(J718/K718,0),1.3))),"") </f>
        <v/>
      </c>
      <c r="M718" s="39">
        <f>IFERROR(IF(OR(J718=0,K718=""),"",IF(E718="Positivo",MAX(K718/J718,0),MAX(J718/K718,0))),"") </f>
        <v/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08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39">
        <f>IFERROR(IF(OR(J719=0,K719=""),"",IF(E719="Positivo",MIN(MAX(K719/J719,0),1.3),MIN(MAX(J719/K719,0),1.3))),"") </f>
        <v/>
      </c>
      <c r="M719" s="39">
        <f>IFERROR(IF(OR(J719=0,K719=""),"",IF(E719="Positivo",MAX(K719/J719,0),MAX(J719/K719,0))),"") </f>
        <v/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08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39">
        <f>IFERROR(IF(OR(J720=0,K720=""),"",IF(E720="Positivo",MIN(MAX(K720/J720,0),1.3),MIN(MAX(J720/K720,0),1.3))),"") </f>
        <v/>
      </c>
      <c r="M720" s="39">
        <f>IFERROR(IF(OR(J720=0,K720=""),"",IF(E720="Positivo",MAX(K720/J720,0),MAX(J720/K720,0))),"") </f>
        <v/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08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39">
        <f>IFERROR(IF(OR(J721=0,K721=""),"",IF(E721="Positivo",MIN(MAX(K721/J721,0),1.3),MIN(MAX(J721/K721,0),1.3))),"") </f>
        <v/>
      </c>
      <c r="M721" s="39">
        <f>IFERROR(IF(OR(J721=0,K721=""),"",IF(E721="Positivo",MAX(K721/J721,0),MAX(J721/K721,0))),"") </f>
        <v/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08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39">
        <f>IFERROR(IF(OR(J722=0,K722=""),"",IF(E722="Positivo",MIN(MAX(K722/J722,0),1.3),MIN(MAX(J722/K722,0),1.3))),"") </f>
        <v/>
      </c>
      <c r="M722" s="39">
        <f>IFERROR(IF(OR(J722=0,K722=""),"",IF(E722="Positivo",MAX(K722/J722,0),MAX(J722/K722,0))),"") </f>
        <v/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08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39">
        <f>IFERROR(IF(OR(J723=0,K723=""),"",IF(E723="Positivo",MIN(MAX(K723/J723,0),1.3),MIN(MAX(J723/K723,0),1.3))),"") </f>
        <v/>
      </c>
      <c r="M723" s="3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08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39">
        <f>IFERROR(IF(OR(J724=0,K724=""),"",IF(E724="Positivo",MIN(MAX(K724/J724,0),1.3),MIN(MAX(J724/K724,0),1.3))),"") </f>
        <v/>
      </c>
      <c r="M724" s="39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08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39">
        <f>IFERROR(IF(OR(J725=0,K725=""),"",IF(E725="Positivo",MIN(MAX(K725/J725,0),1.3),MIN(MAX(J725/K725,0),1.3))),"") </f>
        <v/>
      </c>
      <c r="M725" s="39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08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39">
        <f>IFERROR(IF(OR(J726=0,K726=""),"",IF(E726="Positivo",MIN(MAX(K726/J726,0),1.3),MIN(MAX(J726/K726,0),1.3))),"") </f>
        <v/>
      </c>
      <c r="M726" s="39">
        <f>IFERROR(IF(OR(J726=0,K726=""),"",IF(E726="Positivo",MAX(K726/J726,0),MAX(J726/K726,0))),"") </f>
        <v/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08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39">
        <f>IFERROR(IF(OR(J727=0,K727=""),"",IF(E727="Positivo",MIN(MAX(K727/J727,0),1.3),MIN(MAX(J727/K727,0),1.3))),"") </f>
        <v/>
      </c>
      <c r="M727" s="3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08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39">
        <f>IFERROR(IF(OR(J728=0,K728=""),"",IF(E728="Positivo",MIN(MAX(K728/J728,0),1.3),MIN(MAX(J728/K728,0),1.3))),"") </f>
        <v/>
      </c>
      <c r="M728" s="3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08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39">
        <f>IFERROR(IF(OR(J729=0,K729=""),"",IF(E729="Positivo",MIN(MAX(K729/J729,0),1.3),MIN(MAX(J729/K729,0),1.3))),"") </f>
        <v/>
      </c>
      <c r="M729" s="3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08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39">
        <f>IFERROR(IF(OR(J730=0,K730=""),"",IF(E730="Positivo",MIN(MAX(K730/J730,0),1.3),MIN(MAX(J730/K730,0),1.3))),"") </f>
        <v/>
      </c>
      <c r="M730" s="3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08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39">
        <f>IFERROR(IF(OR(J731=0,K731=""),"",IF(E731="Positivo",MIN(MAX(K731/J731,0),1.3),MIN(MAX(J731/K731,0),1.3))),"") </f>
        <v/>
      </c>
      <c r="M731" s="3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08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39">
        <f>IFERROR(IF(OR(J732=0,K732=""),"",IF(E732="Positivo",MIN(MAX(K732/J732,0),1.3),MIN(MAX(J732/K732,0),1.3))),"") </f>
        <v/>
      </c>
      <c r="M732" s="3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08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39">
        <f>IFERROR(IF(OR(J733=0,K733=""),"",IF(E733="Positivo",MIN(MAX(K733/J733,0),1.3),MIN(MAX(J733/K733,0),1.3))),"") </f>
        <v/>
      </c>
      <c r="M733" s="3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08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39">
        <f>IFERROR(IF(OR(J734=0,K734=""),"",IF(E734="Positivo",MIN(MAX(K734/J734,0),1.3),MIN(MAX(J734/K734,0),1.3))),"") </f>
        <v/>
      </c>
      <c r="M734" s="39">
        <f>IFERROR(IF(OR(J734=0,K734=""),"",IF(E734="Positivo",MAX(K734/J734,0),MAX(J734/K734,0))),"") </f>
        <v/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08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39" t="n"/>
      <c r="M735" s="3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08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39">
        <f>IFERROR(IF(OR(J736=0,K736=""),"",IF(E736="Positivo",MIN(MAX(K736/J736,0),1.3),MIN(MAX(J736/K736,0),1.3))),"") </f>
        <v/>
      </c>
      <c r="M736" s="3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08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39" t="n"/>
      <c r="M737" s="3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08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39" t="n"/>
      <c r="M738" s="3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08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39" t="n"/>
      <c r="M739" s="3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08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39" t="n"/>
      <c r="M740" s="3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08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39">
        <f>IFERROR(IF(OR(J741=0,K741=""),"",IF(E741="Positivo",MIN(MAX(K741/J741,0),1.3),MIN(MAX(J741/K741,0),1.3))),"") </f>
        <v/>
      </c>
      <c r="M741" s="39">
        <f>IFERROR(IF(OR(J741=0,K741=""),"",IF(E741="Positivo",MAX(K741/J741,0),MAX(J741/K741,0))),"") </f>
        <v/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08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39">
        <f>IFERROR(IF(OR(J742=0,K742=""),"",IF(E742="Positivo",MIN(MAX(K742/J742,0),1.3),MIN(MAX(J742/K742,0),1.3))),"") </f>
        <v/>
      </c>
      <c r="M742" s="39">
        <f>IFERROR(IF(OR(J742=0,K742=""),"",IF(E742="Positivo",MAX(K742/J742,0),MAX(J742/K742,0))),"") </f>
        <v/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08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39">
        <f>IFERROR(IF(OR(J743=0,K743=""),"",IF(E743="Positivo",MIN(MAX(K743/J743,0),1.3),MIN(MAX(J743/K743,0),1.3))),"") </f>
        <v/>
      </c>
      <c r="M743" s="39">
        <f>IFERROR(IF(OR(J743=0,K743=""),"",IF(E743="Positivo",MAX(K743/J743,0),MAX(J743/K743,0))),"") </f>
        <v/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08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39">
        <f>IFERROR(IF(OR(J744=0,K744=""),"",IF(E744="Positivo",MIN(MAX(K744/J744,0),1.3),MIN(MAX(J744/K744,0),1.3))),"") </f>
        <v/>
      </c>
      <c r="M744" s="39">
        <f>IFERROR(IF(OR(J744=0,K744=""),"",IF(E744="Positivo",MAX(K744/J744,0),MAX(J744/K744,0))),"") </f>
        <v/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08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39">
        <f>IFERROR(IF(OR(J745=0,K745=""),"",IF(E745="Positivo",MIN(MAX(K745/J745,0),1.3),MIN(MAX(J745/K745,0),1.3))),"") </f>
        <v/>
      </c>
      <c r="M745" s="39">
        <f>IFERROR(IF(OR(J745=0,K745=""),"",IF(E745="Positivo",MAX(K745/J745,0),MAX(J745/K745,0))),"") </f>
        <v/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08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39">
        <f>IFERROR(IF(OR(J746=0,K746=""),"",IF(E746="Positivo",MIN(MAX(K746/J746,0),1.3),MIN(MAX(J746/K746,0),1.3))),"") </f>
        <v/>
      </c>
      <c r="M746" s="39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08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39">
        <f>IFERROR(IF(OR(J747=0,K747=""),"",IF(E747="Positivo",MIN(MAX(K747/J747,0),1.3),MIN(MAX(J747/K747,0),1.3))),"") </f>
        <v/>
      </c>
      <c r="M747" s="39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08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39" t="n"/>
      <c r="M748" s="3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08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39">
        <f>IFERROR(IF(OR(J749=0,K749=""),"",IF(E749="Positivo",MIN(MAX(K749/J749,0),1.3),MIN(MAX(J749/K749,0),1.3))),"") </f>
        <v/>
      </c>
      <c r="M749" s="3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08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39">
        <f>IFERROR(IF(OR(J750=0,K750=""),"",IF(E750="Positivo",MIN(MAX(K750/J750,0),1.3),MIN(MAX(J750/K750,0),1.3))),"") </f>
        <v/>
      </c>
      <c r="M750" s="3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08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>
        <f>IFERROR(IF(OR(J751=0,K751=""),"",IF(E751="Positivo",MIN(MAX(K751/J751,0),1.3),MIN(MAX(J751/K751,0),1.3))),"") </f>
        <v/>
      </c>
      <c r="M751" s="3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08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39">
        <f>IFERROR(IF(OR(J752=0,K752=""),"",IF(E752="Positivo",MIN(MAX(K752/J752,0),1.3),MIN(MAX(J752/K752,0),1.3))),"") </f>
        <v/>
      </c>
      <c r="M752" s="39">
        <f>IFERROR(IF(OR(J752=0,K752=""),"",IF(E752="Positivo",MAX(K752/J752,0),MAX(J752/K752,0))),"") </f>
        <v/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08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39">
        <f>IFERROR(IF(OR(J753=0,K753=""),"",IF(E753="Positivo",MIN(MAX(K753/J753,0),1.3),MIN(MAX(J753/K753,0),1.3))),"") </f>
        <v/>
      </c>
      <c r="M753" s="39">
        <f>IFERROR(IF(OR(J753=0,K753=""),"",IF(E753="Positivo",MAX(K753/J753,0),MAX(J753/K753,0))),"") </f>
        <v/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08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39">
        <f>IFERROR(IF(OR(J754=0,K754=""),"",IF(E754="Positivo",MIN(MAX(K754/J754,0),1.3),MIN(MAX(J754/K754,0),1.3))),"") </f>
        <v/>
      </c>
      <c r="M754" s="39">
        <f>IFERROR(IF(OR(J754=0,K754=""),"",IF(E754="Positivo",MAX(K754/J754,0),MAX(J754/K754,0))),"") </f>
        <v/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08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39">
        <f>IFERROR(IF(OR(J755=0,K755=""),"",IF(E755="Positivo",MIN(MAX(K755/J755,0),1.3),MIN(MAX(J755/K755,0),1.3))),"") </f>
        <v/>
      </c>
      <c r="M755" s="39">
        <f>IFERROR(IF(OR(J755=0,K755=""),"",IF(E755="Positivo",MAX(K755/J755,0),MAX(J755/K755,0))),"") </f>
        <v/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08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39">
        <f>IFERROR(IF(OR(J756=0,K756=""),"",IF(E756="Positivo",MIN(MAX(K756/J756,0),1.3),MIN(MAX(J756/K756,0),1.3))),"") </f>
        <v/>
      </c>
      <c r="M756" s="39">
        <f>IFERROR(IF(OR(J756=0,K756=""),"",IF(E756="Positivo",MAX(K756/J756,0),MAX(J756/K756,0))),"") </f>
        <v/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08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39">
        <f>IFERROR(IF(OR(J757=0,K757=""),"",IF(E757="Positivo",MIN(MAX(K757/J757,0),1.3),MIN(MAX(J757/K757,0),1.3))),"") </f>
        <v/>
      </c>
      <c r="M757" s="39">
        <f>IFERROR(IF(OR(J757=0,K757=""),"",IF(E757="Positivo",MAX(K757/J757,0),MAX(J757/K757,0))),"") </f>
        <v/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08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39">
        <f>IFERROR(IF(OR(J758=0,K758=""),"",IF(E758="Positivo",MIN(MAX(K758/J758,0),1.3),MIN(MAX(J758/K758,0),1.3))),"") </f>
        <v/>
      </c>
      <c r="M758" s="3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08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39" t="n"/>
      <c r="M759" s="3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08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39">
        <f>IFERROR(IF(OR(J760=0,K760=""),"",IF(E760="Positivo",MIN(MAX(K760/J760,0),1.3),MIN(MAX(J760/K760,0),1.3))),"") </f>
        <v/>
      </c>
      <c r="M760" s="39">
        <f>IFERROR(IF(OR(J760=0,K760=""),"",IF(E760="Positivo",MAX(K760/J760,0),MAX(J760/K760,0))),"") </f>
        <v/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08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39">
        <f>IFERROR(IF(OR(J761=0,K761=""),"",IF(E761="Positivo",MIN(MAX(K761/J761,0),1.3),MIN(MAX(J761/K761,0),1.3))),"") </f>
        <v/>
      </c>
      <c r="M761" s="39">
        <f>IFERROR(IF(OR(J761=0,K761=""),"",IF(E761="Positivo",MAX(K761/J761,0),MAX(J761/K761,0))),"") </f>
        <v/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08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39">
        <f>IFERROR(IF(OR(J762=0,K762=""),"",IF(E762="Positivo",MIN(MAX(K762/J762,0),1.3),MIN(MAX(J762/K762,0),1.3))),"") </f>
        <v/>
      </c>
      <c r="M762" s="39">
        <f>IFERROR(IF(OR(J762=0,K762=""),"",IF(E762="Positivo",MAX(K762/J762,0),MAX(J762/K762,0))),"") </f>
        <v/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08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39">
        <f>IFERROR(IF(OR(J763=0,K763=""),"",IF(E763="Positivo",MIN(MAX(K763/J763,0),1.3),MIN(MAX(J763/K763,0),1.3))),"") </f>
        <v/>
      </c>
      <c r="M763" s="39">
        <f>IFERROR(IF(OR(J763=0,K763=""),"",IF(E763="Positivo",MAX(K763/J763,0),MAX(J763/K763,0))),"") </f>
        <v/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8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39">
        <f>IFERROR(IF(OR(J764=0,K764=""),"",IF(E764="Positivo",MIN(MAX(K764/J764,0),1.3),MIN(MAX(J764/K764,0),1.3))),"") </f>
        <v/>
      </c>
      <c r="M764" s="39">
        <f>IFERROR(IF(OR(J764=0,K764=""),"",IF(E764="Positivo",MAX(K764/J764,0),MAX(J764/K764,0))),"") </f>
        <v/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08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39">
        <f>IFERROR(IF(OR(J765=0,K765=""),"",IF(E765="Positivo",MIN(MAX(K765/J765,0),1.3),MIN(MAX(J765/K765,0),1.3))),"") </f>
        <v/>
      </c>
      <c r="M765" s="39">
        <f>IFERROR(IF(OR(J765=0,K765=""),"",IF(E765="Positivo",MAX(K765/J765,0),MAX(J765/K765,0))),"") </f>
        <v/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08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39">
        <f>IFERROR(IF(OR(J766=0,K766=""),"",IF(E766="Positivo",MIN(MAX(K766/J766,0),1.3),MIN(MAX(J766/K766,0),1.3))),"") </f>
        <v/>
      </c>
      <c r="M766" s="39">
        <f>IFERROR(IF(OR(J766=0,K766=""),"",IF(E766="Positivo",MAX(K766/J766,0),MAX(J766/K766,0))),"") </f>
        <v/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8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39">
        <f>IFERROR(IF(OR(J767=0,K767=""),"",IF(E767="Positivo",MIN(MAX(K767/J767,0),1.3),MIN(MAX(J767/K767,0),1.3))),"") </f>
        <v/>
      </c>
      <c r="M767" s="3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08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39">
        <f>IFERROR(IF(OR(J768=0,K768=""),"",IF(E768="Positivo",MIN(MAX(K768/J768,0),1.3),MIN(MAX(J768/K768,0),1.3))),"") </f>
        <v/>
      </c>
      <c r="M768" s="3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08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39">
        <f>IFERROR(IF(OR(J769=0,K769=""),"",IF(E769="Positivo",MIN(MAX(K769/J769,0),1.3),MIN(MAX(J769/K769,0),1.3))),"") </f>
        <v/>
      </c>
      <c r="M769" s="3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8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39">
        <f>IFERROR(IF(OR(J770=0,K770=""),"",IF(E770="Positivo",MIN(MAX(K770/J770,0),1.3),MIN(MAX(J770/K770,0),1.3))),"") </f>
        <v/>
      </c>
      <c r="M770" s="3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08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39">
        <f>IFERROR(IF(OR(J771=0,K771=""),"",IF(E771="Positivo",MIN(MAX(K771/J771,0),1.3),MIN(MAX(J771/K771,0),1.3))),"") </f>
        <v/>
      </c>
      <c r="M771" s="3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08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39">
        <f>IFERROR(IF(OR(J772=0,K772=""),"",IF(E772="Positivo",MIN(MAX(K772/J772,0),1.3),MIN(MAX(J772/K772,0),1.3))),"") </f>
        <v/>
      </c>
      <c r="M772" s="3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8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39">
        <f>IFERROR(IF(OR(J773=0,K773=""),"",IF(E773="Positivo",MIN(MAX(K773/J773,0),1.3),MIN(MAX(J773/K773,0),1.3))),"") </f>
        <v/>
      </c>
      <c r="M773" s="3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08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39">
        <f>IFERROR(IF(OR(J774=0,K774=""),"",IF(E774="Positivo",MIN(MAX(K774/J774,0),1.3),MIN(MAX(J774/K774,0),1.3))),"") </f>
        <v/>
      </c>
      <c r="M774" s="3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08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39">
        <f>IFERROR(IF(OR(J775=0,K775=""),"",IF(E775="Positivo",MIN(MAX(K775/J775,0),1.3),MIN(MAX(J775/K775,0),1.3))),"") </f>
        <v/>
      </c>
      <c r="M775" s="3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08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39">
        <f>IFERROR(IF(OR(J776=0,K776=""),"",IF(E776="Positivo",MIN(MAX(K776/J776,0),1.3),MIN(MAX(J776/K776,0),1.3))),"") </f>
        <v/>
      </c>
      <c r="M776" s="3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08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39">
        <f>IFERROR(IF(OR(J777=0,K777=""),"",IF(E777="Positivo",MIN(MAX(K777/J777,0),1.3),MIN(MAX(J777/K777,0),1.3))),"") </f>
        <v/>
      </c>
      <c r="M777" s="3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08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39">
        <f>IFERROR(IF(OR(J778=0,K778=""),"",IF(E778="Positivo",MIN(MAX(K778/J778,0),1.3),MIN(MAX(J778/K778,0),1.3))),"") </f>
        <v/>
      </c>
      <c r="M778" s="39">
        <f>IFERROR(IF(OR(J778=0,K778=""),"",IF(E778="Positivo",MAX(K778/J778,0),MAX(J778/K778,0))),"") </f>
        <v/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08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39">
        <f>IFERROR(IF(OR(J779=0,K779=""),"",IF(E779="Positivo",MIN(MAX(K779/J779,0),1.3),MIN(MAX(J779/K779,0),1.3))),"") </f>
        <v/>
      </c>
      <c r="M779" s="39">
        <f>IFERROR(IF(OR(J779=0,K779=""),"",IF(E779="Positivo",MAX(K779/J779,0),MAX(J779/K779,0))),"") </f>
        <v/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08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39">
        <f>IFERROR(IF(OR(J780=0,K780=""),"",IF(E780="Positivo",MIN(MAX(K780/J780,0),1.3),MIN(MAX(J780/K780,0),1.3))),"") </f>
        <v/>
      </c>
      <c r="M780" s="3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08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39">
        <f>IFERROR(IF(OR(J781=0,K781=""),"",IF(E781="Positivo",MIN(MAX(K781/J781,0),1.3),MIN(MAX(J781/K781,0),1.3))),"") </f>
        <v/>
      </c>
      <c r="M781" s="39">
        <f>IFERROR(IF(OR(J781=0,K781=""),"",IF(E781="Positivo",MAX(K781/J781,0),MAX(J781/K781,0))),"") </f>
        <v/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08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39">
        <f>IFERROR(IF(OR(J782=0,K782=""),"",IF(E782="Positivo",MIN(MAX(K782/J782,0),1.3),MIN(MAX(J782/K782,0),1.3))),"") </f>
        <v/>
      </c>
      <c r="M782" s="39">
        <f>IFERROR(IF(OR(J782=0,K782=""),"",IF(E782="Positivo",MAX(K782/J782,0),MAX(J782/K782,0))),"") </f>
        <v/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08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39">
        <f>IFERROR(IF(OR(J783=0,K783=""),"",IF(E783="Positivo",MIN(MAX(K783/J783,0),1.3),MIN(MAX(J783/K783,0),1.3))),"") </f>
        <v/>
      </c>
      <c r="M783" s="3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08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39">
        <f>IFERROR(IF(OR(J784=0,K784=""),"",IF(E784="Positivo",MIN(MAX(K784/J784,0),1.3),MIN(MAX(J784/K784,0),1.3))),"") </f>
        <v/>
      </c>
      <c r="M784" s="3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08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39">
        <f>IFERROR(IF(OR(J785=0,K785=""),"",IF(E785="Positivo",MIN(MAX(K785/J785,0),1.3),MIN(MAX(J785/K785,0),1.3))),"") </f>
        <v/>
      </c>
      <c r="M785" s="39">
        <f>IFERROR(IF(OR(J785=0,K785=""),"",IF(E785="Positivo",MAX(K785/J785,0),MAX(J785/K785,0))),"") </f>
        <v/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08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39">
        <f>IFERROR(IF(OR(J786=0,K786=""),"",IF(E786="Positivo",MIN(MAX(K786/J786,0),1.3),MIN(MAX(J786/K786,0),1.3))),"") </f>
        <v/>
      </c>
      <c r="M786" s="39">
        <f>IFERROR(IF(OR(J786=0,K786=""),"",IF(E786="Positivo",MAX(K786/J786,0),MAX(J786/K786,0))),"") </f>
        <v/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08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39">
        <f>IFERROR(IF(OR(J787=0,K787=""),"",IF(E787="Positivo",MIN(MAX(K787/J787,0),1.3),MIN(MAX(J787/K787,0),1.3))),"") </f>
        <v/>
      </c>
      <c r="M787" s="39">
        <f>IFERROR(IF(OR(J787=0,K787=""),"",IF(E787="Positivo",MAX(K787/J787,0),MAX(J787/K787,0))),"") </f>
        <v/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08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39">
        <f>IFERROR(IF(OR(J788=0,K788=""),"",IF(E788="Positivo",MIN(MAX(K788/J788,0),1.3),MIN(MAX(J788/K788,0),1.3))),"") </f>
        <v/>
      </c>
      <c r="M788" s="39">
        <f>IFERROR(IF(OR(J788=0,K788=""),"",IF(E788="Positivo",MAX(K788/J788,0),MAX(J788/K788,0))),"") </f>
        <v/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08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39">
        <f>IFERROR(IF(OR(J789=0,K789=""),"",IF(E789="Positivo",MIN(MAX(K789/J789,0),1.3),MIN(MAX(J789/K789,0),1.3))),"") </f>
        <v/>
      </c>
      <c r="M789" s="39">
        <f>IFERROR(IF(OR(J789=0,K789=""),"",IF(E789="Positivo",MAX(K789/J789,0),MAX(J789/K789,0))),"") </f>
        <v/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08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39">
        <f>IFERROR(IF(OR(J790=0,K790=""),"",IF(E790="Positivo",MIN(MAX(K790/J790,0),1.3),MIN(MAX(J790/K790,0),1.3))),"") </f>
        <v/>
      </c>
      <c r="M790" s="39">
        <f>IFERROR(IF(OR(J790=0,K790=""),"",IF(E790="Positivo",MAX(K790/J790,0),MAX(J790/K790,0))),"") </f>
        <v/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08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39">
        <f>IFERROR(IF(OR(J791=0,K791=""),"",IF(E791="Positivo",MIN(MAX(K791/J791,0),1.3),MIN(MAX(J791/K791,0),1.3))),"") </f>
        <v/>
      </c>
      <c r="M791" s="39">
        <f>IFERROR(IF(OR(J791=0,K791=""),"",IF(E791="Positivo",MAX(K791/J791,0),MAX(J791/K791,0))),"") </f>
        <v/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08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39">
        <f>IFERROR(IF(OR(J792=0,K792=""),"",IF(E792="Positivo",MIN(MAX(K792/J792,0),1.3),MIN(MAX(J792/K792,0),1.3))),"") </f>
        <v/>
      </c>
      <c r="M792" s="39">
        <f>IFERROR(IF(OR(J792=0,K792=""),"",IF(E792="Positivo",MAX(K792/J792,0),MAX(J792/K792,0))),"") </f>
        <v/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08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39">
        <f>IFERROR(IF(OR(J793=0,K793=""),"",IF(E793="Positivo",MIN(MAX(K793/J793,0),1.3),MIN(MAX(J793/K793,0),1.3))),"") </f>
        <v/>
      </c>
      <c r="M793" s="39">
        <f>IFERROR(IF(OR(J793=0,K793=""),"",IF(E793="Positivo",MAX(K793/J793,0),MAX(J793/K793,0))),"") </f>
        <v/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08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39" t="n"/>
      <c r="M794" s="3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08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39">
        <f>IFERROR(IF(OR(J795=0,K795=""),"",IF(E795="Positivo",MIN(MAX(K795/J795,0),1.3),MIN(MAX(J795/K795,0),1.3))),"") </f>
        <v/>
      </c>
      <c r="M795" s="39">
        <f>IFERROR(IF(OR(J795=0,K795=""),"",IF(E795="Positivo",MAX(K795/J795,0),MAX(J795/K795,0))),"") </f>
        <v/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08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39">
        <f>IFERROR(IF(OR(J796=0,K796=""),"",IF(E796="Positivo",MIN(MAX(K796/J796,0),1.3),MIN(MAX(J796/K796,0),1.3))),"") </f>
        <v/>
      </c>
      <c r="M796" s="39">
        <f>IFERROR(IF(OR(J796=0,K796=""),"",IF(E796="Positivo",MAX(K796/J796,0),MAX(J796/K796,0))),"") </f>
        <v/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08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39">
        <f>IFERROR(IF(OR(J797=0,K797=""),"",IF(E797="Positivo",MIN(MAX(K797/J797,0),1.3),MIN(MAX(J797/K797,0),1.3))),"") </f>
        <v/>
      </c>
      <c r="M797" s="39">
        <f>IFERROR(IF(OR(J797=0,K797=""),"",IF(E797="Positivo",MAX(K797/J797,0),MAX(J797/K797,0))),"") </f>
        <v/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08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39">
        <f>IFERROR(IF(OR(J798=0,K798=""),"",IF(E798="Positivo",MIN(MAX(K798/J798,0),1.3),MIN(MAX(J798/K798,0),1.3))),"") </f>
        <v/>
      </c>
      <c r="M798" s="39">
        <f>IFERROR(IF(OR(J798=0,K798=""),"",IF(E798="Positivo",MAX(K798/J798,0),MAX(J798/K798,0))),"") </f>
        <v/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08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39">
        <f>IFERROR(IF(OR(J799=0,K799=""),"",IF(E799="Positivo",MIN(MAX(K799/J799,0),1.3),MIN(MAX(J799/K799,0),1.3))),"") </f>
        <v/>
      </c>
      <c r="M799" s="39">
        <f>IFERROR(IF(OR(J799=0,K799=""),"",IF(E799="Positivo",MAX(K799/J799,0),MAX(J799/K799,0))),"") </f>
        <v/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08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39">
        <f>IFERROR(IF(OR(J800=0,K800=""),"",IF(E800="Positivo",MIN(MAX(K800/J800,0),1.3),MIN(MAX(J800/K800,0),1.3))),"") </f>
        <v/>
      </c>
      <c r="M800" s="39">
        <f>IFERROR(IF(OR(J800=0,K800=""),"",IF(E800="Positivo",MAX(K800/J800,0),MAX(J800/K800,0))),"") </f>
        <v/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08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39">
        <f>IFERROR(IF(OR(J801=0,K801=""),"",IF(E801="Positivo",MIN(MAX(K801/J801,0),1.3),MIN(MAX(J801/K801,0),1.3))),"") </f>
        <v/>
      </c>
      <c r="M801" s="39">
        <f>IFERROR(IF(OR(J801=0,K801=""),"",IF(E801="Positivo",MAX(K801/J801,0),MAX(J801/K801,0))),"") </f>
        <v/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08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39">
        <f>IFERROR(IF(OR(J802=0,K802=""),"",IF(E802="Positivo",MIN(MAX(K802/J802,0),1.3),MIN(MAX(J802/K802,0),1.3))),"") </f>
        <v/>
      </c>
      <c r="M802" s="39">
        <f>IFERROR(IF(OR(J802=0,K802=""),"",IF(E802="Positivo",MAX(K802/J802,0),MAX(J802/K802,0))),"") </f>
        <v/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08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39">
        <f>IFERROR(IF(OR(J803=0,K803=""),"",IF(E803="Positivo",MIN(MAX(K803/J803,0),1.3),MIN(MAX(J803/K803,0),1.3))),"") </f>
        <v/>
      </c>
      <c r="M803" s="39">
        <f>IFERROR(IF(OR(J803=0,K803=""),"",IF(E803="Positivo",MAX(K803/J803,0),MAX(J803/K803,0))),"") </f>
        <v/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08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39">
        <f>IFERROR(IF(OR(J804=0,K804=""),"",IF(E804="Positivo",MIN(MAX(K804/J804,0),1.3),MIN(MAX(J804/K804,0),1.3))),"") </f>
        <v/>
      </c>
      <c r="M804" s="39">
        <f>IFERROR(IF(OR(J804=0,K804=""),"",IF(E804="Positivo",MAX(K804/J804,0),MAX(J804/K804,0))),"") </f>
        <v/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08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39">
        <f>IFERROR(IF(OR(J805=0,K805=""),"",IF(E805="Positivo",MIN(MAX(K805/J805,0),1.3),MIN(MAX(J805/K805,0),1.3))),"") </f>
        <v/>
      </c>
      <c r="M805" s="39">
        <f>IFERROR(IF(OR(J805=0,K805=""),"",IF(E805="Positivo",MAX(K805/J805,0),MAX(J805/K805,0))),"") </f>
        <v/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08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39">
        <f>IFERROR(IF(OR(J806=0,K806=""),"",IF(E806="Positivo",MIN(MAX(K806/J806,0),1.3),MIN(MAX(J806/K806,0),1.3))),"") </f>
        <v/>
      </c>
      <c r="M806" s="39">
        <f>IFERROR(IF(OR(J806=0,K806=""),"",IF(E806="Positivo",MAX(K806/J806,0),MAX(J806/K806,0))),"") </f>
        <v/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08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39">
        <f>IFERROR(IF(OR(J807=0,K807=""),"",IF(E807="Positivo",MIN(MAX(K807/J807,0),1.3),MIN(MAX(J807/K807,0),1.3))),"") </f>
        <v/>
      </c>
      <c r="M807" s="39">
        <f>IFERROR(IF(OR(J807=0,K807=""),"",IF(E807="Positivo",MAX(K807/J807,0),MAX(J807/K807,0))),"") </f>
        <v/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08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39">
        <f>IFERROR(IF(OR(J808=0,K808=""),"",IF(E808="Positivo",MIN(MAX(K808/J808,0),1.3),MIN(MAX(J808/K808,0),1.3))),"") </f>
        <v/>
      </c>
      <c r="M808" s="39">
        <f>IFERROR(IF(OR(J808=0,K808=""),"",IF(E808="Positivo",MAX(K808/J808,0),MAX(J808/K808,0))),"") </f>
        <v/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08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39">
        <f>IFERROR(IF(OR(J809=0,K809=""),"",IF(E809="Positivo",MIN(MAX(K809/J809,0),1.3),MIN(MAX(J809/K809,0),1.3))),"") </f>
        <v/>
      </c>
      <c r="M809" s="3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08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39">
        <f>IFERROR(IF(OR(J810=0,K810=""),"",IF(E810="Positivo",MIN(MAX(K810/J810,0),1.3),MIN(MAX(J810/K810,0),1.3))),"") </f>
        <v/>
      </c>
      <c r="M810" s="3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08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39">
        <f>IFERROR(IF(OR(J811=0,K811=""),"",IF(E811="Positivo",MIN(MAX(K811/J811,0),1.3),MIN(MAX(J811/K811,0),1.3))),"") </f>
        <v/>
      </c>
      <c r="M811" s="39">
        <f>IFERROR(IF(OR(J811=0,K811=""),"",IF(E811="Positivo",MAX(K811/J811,0),MAX(J811/K811,0))),"") </f>
        <v/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08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39">
        <f>IFERROR(IF(OR(J812=0,K812=""),"",IF(E812="Positivo",MIN(MAX(K812/J812,0),1.3),MIN(MAX(J812/K812,0),1.3))),"") </f>
        <v/>
      </c>
      <c r="M812" s="39">
        <f>IFERROR(IF(OR(J812=0,K812=""),"",IF(E812="Positivo",MAX(K812/J812,0),MAX(J812/K812,0))),"") </f>
        <v/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08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39">
        <f>IFERROR(IF(OR(J813=0,K813=""),"",IF(E813="Positivo",MIN(MAX(K813/J813,0),1.3),MIN(MAX(J813/K813,0),1.3))),"") </f>
        <v/>
      </c>
      <c r="M813" s="39">
        <f>IFERROR(IF(OR(J813=0,K813=""),"",IF(E813="Positivo",MAX(K813/J813,0),MAX(J813/K813,0))),"") </f>
        <v/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08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39">
        <f>IFERROR(IF(OR(J814=0,K814=""),"",IF(E814="Positivo",MIN(MAX(K814/J814,0),1.3),MIN(MAX(J814/K814,0),1.3))),"") </f>
        <v/>
      </c>
      <c r="M814" s="39">
        <f>IFERROR(IF(OR(J814=0,K814=""),"",IF(E814="Positivo",MAX(K814/J814,0),MAX(J814/K814,0))),"") </f>
        <v/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08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39">
        <f>IFERROR(IF(OR(J815=0,K815=""),"",IF(E815="Positivo",MIN(MAX(K815/J815,0),1.3),MIN(MAX(J815/K815,0),1.3))),"") </f>
        <v/>
      </c>
      <c r="M815" s="39">
        <f>IFERROR(IF(OR(J815=0,K815=""),"",IF(E815="Positivo",MAX(K815/J815,0),MAX(J815/K815,0))),"") </f>
        <v/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08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39">
        <f>IFERROR(IF(OR(J816=0,K816=""),"",IF(E816="Positivo",MIN(MAX(K816/J816,0),1.3),MIN(MAX(J816/K816,0),1.3))),"") </f>
        <v/>
      </c>
      <c r="M816" s="39">
        <f>IFERROR(IF(OR(J816=0,K816=""),"",IF(E816="Positivo",MAX(K816/J816,0),MAX(J816/K816,0))),"") </f>
        <v/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8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39">
        <f>IFERROR(IF(OR(J817=0,K817=""),"",IF(E817="Positivo",MIN(MAX(K817/J817,0),1.3),MIN(MAX(J817/K817,0),1.3))),"") </f>
        <v/>
      </c>
      <c r="M817" s="39">
        <f>IFERROR(IF(OR(J817=0,K817=""),"",IF(E817="Positivo",MAX(K817/J817,0),MAX(J817/K817,0))),"") </f>
        <v/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8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39">
        <f>IFERROR(IF(OR(J818=0,K818=""),"",IF(E818="Positivo",MIN(MAX(K818/J818,0),1.3),MIN(MAX(J818/K818,0),1.3))),"") </f>
        <v/>
      </c>
      <c r="M818" s="39">
        <f>IFERROR(IF(OR(J818=0,K818=""),"",IF(E818="Positivo",MAX(K818/J818,0),MAX(J818/K818,0))),"") </f>
        <v/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8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39">
        <f>IFERROR(IF(OR(J819=0,K819=""),"",IF(E819="Positivo",MIN(MAX(K819/J819,0),1.3),MIN(MAX(J819/K819,0),1.3))),"") </f>
        <v/>
      </c>
      <c r="M819" s="39">
        <f>IFERROR(IF(OR(J819=0,K819=""),"",IF(E819="Positivo",MAX(K819/J819,0),MAX(J819/K819,0))),"") </f>
        <v/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08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39">
        <f>IFERROR(IF(OR(J820=0,K820=""),"",IF(E820="Positivo",MIN(MAX(K820/J820,0),1.3),MIN(MAX(J820/K820,0),1.3))),"") </f>
        <v/>
      </c>
      <c r="M820" s="39">
        <f>IFERROR(IF(OR(J820=0,K820=""),"",IF(E820="Positivo",MAX(K820/J820,0),MAX(J820/K820,0))),"") </f>
        <v/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08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39">
        <f>IFERROR(IF(OR(J821=0,K821=""),"",IF(E821="Positivo",MIN(MAX(K821/J821,0),1.3),MIN(MAX(J821/K821,0),1.3))),"") </f>
        <v/>
      </c>
      <c r="M821" s="39">
        <f>IFERROR(IF(OR(J821=0,K821=""),"",IF(E821="Positivo",MAX(K821/J821,0),MAX(J821/K821,0))),"") </f>
        <v/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08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39">
        <f>IFERROR(IF(OR(J822=0,K822=""),"",IF(E822="Positivo",MIN(MAX(K822/J822,0),1.3),MIN(MAX(J822/K822,0),1.3))),"") </f>
        <v/>
      </c>
      <c r="M822" s="39">
        <f>IFERROR(IF(OR(J822=0,K822=""),"",IF(E822="Positivo",MAX(K822/J822,0),MAX(J822/K822,0))),"") </f>
        <v/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08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39">
        <f>IFERROR(IF(OR(J823=0,K823=""),"",IF(E823="Positivo",MIN(MAX(K823/J823,0),1.3),MIN(MAX(J823/K823,0),1.3))),"") </f>
        <v/>
      </c>
      <c r="M823" s="39">
        <f>IFERROR(IF(OR(J823=0,K823=""),"",IF(E823="Positivo",MAX(K823/J823,0),MAX(J823/K823,0))),"") </f>
        <v/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08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39">
        <f>IFERROR(IF(OR(J824=0,K824=""),"",IF(E824="Positivo",MIN(MAX(K824/J824,0),1.3),MIN(MAX(J824/K824,0),1.3))),"") </f>
        <v/>
      </c>
      <c r="M824" s="39">
        <f>IFERROR(IF(OR(J824=0,K824=""),"",IF(E824="Positivo",MAX(K824/J824,0),MAX(J824/K824,0))),"") </f>
        <v/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08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39">
        <f>IFERROR(IF(OR(J825=0,K825=""),"",IF(E825="Positivo",MIN(MAX(K825/J825,0),1.3),MIN(MAX(J825/K825,0),1.3))),"") </f>
        <v/>
      </c>
      <c r="M825" s="39">
        <f>IFERROR(IF(OR(J825=0,K825=""),"",IF(E825="Positivo",MAX(K825/J825,0),MAX(J825/K825,0))),"") </f>
        <v/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08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39">
        <f>IFERROR(IF(OR(J826=0,K826=""),"",IF(E826="Positivo",MIN(MAX(K826/J826,0),1.3),MIN(MAX(J826/K826,0),1.3))),"") </f>
        <v/>
      </c>
      <c r="M826" s="39">
        <f>IFERROR(IF(OR(J826=0,K826=""),"",IF(E826="Positivo",MAX(K826/J826,0),MAX(J826/K826,0))),"") </f>
        <v/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  <c r="S826" t="inlineStr"/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08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39">
        <f>IFERROR(IF(OR(J827=0,K827=""),"",IF(E827="Positivo",MIN(MAX(K827/J827,0),1.3),MIN(MAX(J827/K827,0),1.3))),"") </f>
        <v/>
      </c>
      <c r="M827" s="39">
        <f>IFERROR(IF(OR(J827=0,K827=""),"",IF(E827="Positivo",MAX(K827/J827,0),MAX(J827/K827,0))),"") </f>
        <v/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08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39">
        <f>IFERROR(IF(OR(J828=0,K828=""),"",IF(E828="Positivo",MIN(MAX(K828/J828,0),1.3),MIN(MAX(J828/K828,0),1.3))),"") </f>
        <v/>
      </c>
      <c r="M828" s="39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08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39">
        <f>IFERROR(IF(OR(J829=0,K829=""),"",IF(E829="Positivo",MIN(MAX(K829/J829,0),1.3),MIN(MAX(J829/K829,0),1.3))),"") </f>
        <v/>
      </c>
      <c r="M829" s="39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08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39">
        <f>IFERROR(IF(OR(J830=0,K830=""),"",IF(E830="Positivo",MIN(MAX(K830/J830,0),1.3),MIN(MAX(J830/K830,0),1.3))),"") </f>
        <v/>
      </c>
      <c r="M830" s="39">
        <f>IFERROR(IF(OR(J830=0,K830=""),"",IF(E830="Positivo",MAX(K830/J830,0),MAX(J830/K830,0))),"") </f>
        <v/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08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39">
        <f>IFERROR(IF(OR(J831=0,K831=""),"",IF(E831="Positivo",MIN(MAX(K831/J831,0),1.3),MIN(MAX(J831/K831,0),1.3))),"") </f>
        <v/>
      </c>
      <c r="M831" s="3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08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39">
        <f>IFERROR(IF(OR(J832=0,K832=""),"",IF(E832="Positivo",MIN(MAX(K832/J832,0),1.3),MIN(MAX(J832/K832,0),1.3))),"") </f>
        <v/>
      </c>
      <c r="M832" s="3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08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39">
        <f>IFERROR(IF(OR(J833=0,K833=""),"",IF(E833="Positivo",MIN(MAX(K833/J833,0),1.3),MIN(MAX(J833/K833,0),1.3))),"") </f>
        <v/>
      </c>
      <c r="M833" s="3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08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39">
        <f>IFERROR(IF(OR(J834=0,K834=""),"",IF(E834="Positivo",MIN(MAX(K834/J834,0),1.3),MIN(MAX(J834/K834,0),1.3))),"") </f>
        <v/>
      </c>
      <c r="M834" s="39">
        <f>IFERROR(IF(OR(J834=0,K834=""),"",IF(E834="Positivo",MAX(K834/J834,0),MAX(J834/K834,0))),"") </f>
        <v/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08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39">
        <f>IFERROR(IF(OR(J835=0,K835=""),"",IF(E835="Positivo",MIN(MAX(K835/J835,0),1.3),MIN(MAX(J835/K835,0),1.3))),"") </f>
        <v/>
      </c>
      <c r="M835" s="3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08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39">
        <f>IFERROR(IF(OR(J836=0,K836=""),"",IF(E836="Positivo",MIN(MAX(K836/J836,0),1.3),MIN(MAX(J836/K836,0),1.3))),"") </f>
        <v/>
      </c>
      <c r="M836" s="3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08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39">
        <f>IFERROR(IF(OR(J837=0,K837=""),"",IF(E837="Positivo",MIN(MAX(K837/J837,0),1.3),MIN(MAX(J837/K837,0),1.3))),"") </f>
        <v/>
      </c>
      <c r="M837" s="39">
        <f>IFERROR(IF(OR(J837=0,K837=""),"",IF(E837="Positivo",MAX(K837/J837,0),MAX(J837/K837,0))),"") </f>
        <v/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08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39">
        <f>IFERROR(IF(OR(J838=0,K838=""),"",IF(E838="Positivo",MIN(MAX(K838/J838,0),1.3),MIN(MAX(J838/K838,0),1.3))),"") </f>
        <v/>
      </c>
      <c r="M838" s="39">
        <f>IFERROR(IF(OR(J838=0,K838=""),"",IF(E838="Positivo",MAX(K838/J838,0),MAX(J838/K838,0))),"") </f>
        <v/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08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39">
        <f>IFERROR(IF(OR(J839=0,K839=""),"",IF(E839="Positivo",MIN(MAX(K839/J839,0),1.3),MIN(MAX(J839/K839,0),1.3))),"") </f>
        <v/>
      </c>
      <c r="M839" s="39">
        <f>IFERROR(IF(OR(J839=0,K839=""),"",IF(E839="Positivo",MAX(K839/J839,0),MAX(J839/K839,0))),"") </f>
        <v/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Negativo</t>
        </is>
      </c>
      <c r="F840" s="108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39" t="n"/>
      <c r="M840" s="3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08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39">
        <f>IFERROR(IF(OR(J841=0,K841=""),"",IF(E841="Positivo",MIN(MAX(K841/J841,0),1.3),MIN(MAX(J841/K841,0),1.3))),"") </f>
        <v/>
      </c>
      <c r="M841" s="39">
        <f>IFERROR(IF(OR(J841=0,K841=""),"",IF(E841="Positivo",MAX(K841/J841,0),MAX(J841/K841,0))),"") </f>
        <v/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08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39">
        <f>IFERROR(IF(OR(J842=0,K842=""),"",IF(E842="Positivo",MIN(MAX(K842/J842,0),1.3),MIN(MAX(J842/K842,0),1.3))),"") </f>
        <v/>
      </c>
      <c r="M842" s="39">
        <f>IFERROR(IF(OR(J842=0,K842=""),"",IF(E842="Positivo",MAX(K842/J842,0),MAX(J842/K842,0))),"") </f>
        <v/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08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39">
        <f>IFERROR(IF(OR(J843=0,K843=""),"",IF(E843="Positivo",MIN(MAX(K843/J843,0),1.3),MIN(MAX(J843/K843,0),1.3))),"") </f>
        <v/>
      </c>
      <c r="M843" s="39">
        <f>IFERROR(IF(OR(J843=0,K843=""),"",IF(E843="Positivo",MAX(K843/J843,0),MAX(J843/K843,0))),"") </f>
        <v/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08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39">
        <f>IFERROR(IF(OR(J844=0,K844=""),"",IF(E844="Positivo",MIN(MAX(K844/J844,0),1.3),MIN(MAX(J844/K844,0),1.3))),"") </f>
        <v/>
      </c>
      <c r="M844" s="39">
        <f>IFERROR(IF(OR(J844=0,K844=""),"",IF(E844="Positivo",MAX(K844/J844,0),MAX(J844/K844,0))),"") </f>
        <v/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08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39">
        <f>IFERROR(IF(OR(J845=0,K845=""),"",IF(E845="Positivo",MIN(MAX(K845/J845,0),1.3),MIN(MAX(J845/K845,0),1.3))),"") </f>
        <v/>
      </c>
      <c r="M845" s="39">
        <f>IFERROR(IF(OR(J845=0,K845=""),"",IF(E845="Positivo",MAX(K845/J845,0),MAX(J845/K845,0))),"") </f>
        <v/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08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39">
        <f>IFERROR(IF(OR(J846=0,K846=""),"",IF(E846="Positivo",MIN(MAX(K846/J846,0),1.3),MIN(MAX(J846/K846,0),1.3))),"") </f>
        <v/>
      </c>
      <c r="M846" s="3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08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39">
        <f>IFERROR(IF(OR(J847=0,K847=""),"",IF(E847="Positivo",MIN(MAX(K847/J847,0),1.3),MIN(MAX(J847/K847,0),1.3))),"") </f>
        <v/>
      </c>
      <c r="M847" s="3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08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39">
        <f>IFERROR(IF(OR(J848=0,K848=""),"",IF(E848="Positivo",MIN(MAX(K848/J848,0),1.3),MIN(MAX(J848/K848,0),1.3))),"") </f>
        <v/>
      </c>
      <c r="M848" s="3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08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39" t="n"/>
      <c r="M849" s="3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08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39">
        <f>IFERROR(IF(OR(J850=0,K850=""),"",IF(E850="Positivo",MIN(MAX(K850/J850,0),1.3),MIN(MAX(J850/K850,0),1.3))),"") </f>
        <v/>
      </c>
      <c r="M850" s="3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08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39">
        <f>IFERROR(IF(OR(J851=0,K851=""),"",IF(E851="Positivo",MIN(MAX(K851/J851,0),1.3),MIN(MAX(J851/K851,0),1.3))),"") </f>
        <v/>
      </c>
      <c r="M851" s="3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08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39">
        <f>IFERROR(IF(OR(J852=0,K852=""),"",IF(E852="Positivo",MIN(MAX(K852/J852,0),1.3),MIN(MAX(J852/K852,0),1.3))),"") </f>
        <v/>
      </c>
      <c r="M852" s="3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08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39">
        <f>IFERROR(IF(OR(J853=0,K853=""),"",IF(E853="Positivo",MIN(MAX(K853/J853,0),1.3),MIN(MAX(J853/K853,0),1.3))),"") </f>
        <v/>
      </c>
      <c r="M853" s="39">
        <f>IFERROR(IF(OR(J853=0,K853=""),"",IF(E853="Positivo",MAX(K853/J853,0),MAX(J853/K853,0))),"") </f>
        <v/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08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39">
        <f>IFERROR(IF(OR(J854=0,K854=""),"",IF(E854="Positivo",MIN(MAX(K854/J854,0),1.3),MIN(MAX(J854/K854,0),1.3))),"") </f>
        <v/>
      </c>
      <c r="M854" s="39">
        <f>IFERROR(IF(OR(J854=0,K854=""),"",IF(E854="Positivo",MAX(K854/J854,0),MAX(J854/K854,0))),"") </f>
        <v/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08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39">
        <f>IFERROR(IF(OR(J855=0,K855=""),"",IF(E855="Positivo",MIN(MAX(K855/J855,0),1.3),MIN(MAX(J855/K855,0),1.3))),"") </f>
        <v/>
      </c>
      <c r="M855" s="3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08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39">
        <f>IFERROR(IF(OR(J856=0,K856=""),"",IF(E856="Positivo",MIN(MAX(K856/J856,0),1.3),MIN(MAX(J856/K856,0),1.3))),"") </f>
        <v/>
      </c>
      <c r="M856" s="3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08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39">
        <f>IFERROR(IF(OR(J857=0,K857=""),"",IF(E857="Positivo",MIN(MAX(K857/J857,0),1.3),MIN(MAX(J857/K857,0),1.3))),"") </f>
        <v/>
      </c>
      <c r="M857" s="3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08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39">
        <f>IFERROR(IF(OR(J858=0,K858=""),"",IF(E858="Positivo",MIN(MAX(K858/J858,0),1.3),MIN(MAX(J858/K858,0),1.3))),"") </f>
        <v/>
      </c>
      <c r="M858" s="3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08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39">
        <f>IFERROR(IF(OR(J859=0,K859=""),"",IF(E859="Positivo",MIN(MAX(K859/J859,0),1.3),MIN(MAX(J859/K859,0),1.3))),"") </f>
        <v/>
      </c>
      <c r="M859" s="3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08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39">
        <f>IFERROR(IF(OR(J860=0,K860=""),"",IF(E860="Positivo",MIN(MAX(K860/J860,0),1.3),MIN(MAX(J860/K860,0),1.3))),"") </f>
        <v/>
      </c>
      <c r="M860" s="3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08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39">
        <f>IFERROR(IF(OR(J861=0,K861=""),"",IF(E861="Positivo",MIN(MAX(K861/J861,0),1.3),MIN(MAX(J861/K861,0),1.3))),"") </f>
        <v/>
      </c>
      <c r="M861" s="3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08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39" t="n"/>
      <c r="M862" s="3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08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39">
        <f>IFERROR(IF(OR(J863=0,K863=""),"",IF(E863="Positivo",MIN(MAX(K863/J863,0),1.3),MIN(MAX(J863/K863,0),1.3))),"") </f>
        <v/>
      </c>
      <c r="M863" s="3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08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39">
        <f>IFERROR(IF(OR(J864=0,K864=""),"",IF(E864="Positivo",MIN(MAX(K864/J864,0),1.3),MIN(MAX(J864/K864,0),1.3))),"") </f>
        <v/>
      </c>
      <c r="M864" s="3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08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39">
        <f>IFERROR(IF(OR(J865=0,K865=""),"",IF(E865="Positivo",MIN(MAX(K865/J865,0),1.3),MIN(MAX(J865/K865,0),1.3))),"") </f>
        <v/>
      </c>
      <c r="M865" s="3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08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39">
        <f>IFERROR(IF(OR(J866=0,K866=""),"",IF(E866="Positivo",MIN(MAX(K866/J866,0),1.0),MIN(MAX(J866/K866,0),1.0))),"") </f>
        <v/>
      </c>
      <c r="M866" s="39">
        <f>IFERROR(IF(OR(J866=0,K866=""),"",IF(E866="Positivo",MAX(K866/J866,0),MAX(J866/K866,0))),"") </f>
        <v/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08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39">
        <f>IFERROR(IF(OR(J867=0,K867=""),"",IF(E867="Positivo",MIN(MAX(K867/J867,0),1.3),MIN(MAX(J867/K867,0),1.3))),"") </f>
        <v/>
      </c>
      <c r="M867" s="3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08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39">
        <f>IFERROR(IF(OR(J868=0,K868=""),"",IF(E868="Positivo",MIN(MAX(K868/J868,0),1.3),MIN(MAX(J868/K868,0),1.3))),"") </f>
        <v/>
      </c>
      <c r="M868" s="39">
        <f>IFERROR(IF(OR(J868=0,K868=""),"",IF(E868="Positivo",MAX(K868/J868,0),MAX(J868/K868,0))),"") </f>
        <v/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08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39">
        <f>IFERROR(IF(OR(J869=0,K869=""),"",IF(E869="Positivo",MIN(MAX(K869/J869,0),1.3),MIN(MAX(J869/K869,0),1.3))),"") </f>
        <v/>
      </c>
      <c r="M869" s="39">
        <f>IFERROR(IF(OR(J869=0,K869=""),"",IF(E869="Positivo",MAX(K869/J869,0),MAX(J869/K869,0))),"") </f>
        <v/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08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39">
        <f>IFERROR(IF(OR(J870=0,K870=""),"",IF(E870="Positivo",MIN(MAX(K870/J870,0),1.3),MIN(MAX(J870/K870,0),1.3))),"") </f>
        <v/>
      </c>
      <c r="M870" s="39">
        <f>IFERROR(IF(OR(J870=0,K870=""),"",IF(E870="Positivo",MAX(K870/J870,0),MAX(J870/K870,0))),"") </f>
        <v/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08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39">
        <f>IFERROR(IF(OR(J871=0,K871=""),"",IF(E871="Positivo",MIN(MAX(K871/J871,0),1.3),MIN(MAX(J871/K871,0),1.3))),"") </f>
        <v/>
      </c>
      <c r="M871" s="39">
        <f>IFERROR(IF(OR(J871=0,K871=""),"",IF(E871="Positivo",MAX(K871/J871,0),MAX(J871/K871,0))),"") </f>
        <v/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08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39">
        <f>IFERROR(IF(OR(J872=0,K872=""),"",IF(E872="Positivo",MIN(MAX(K872/J872,0),1.3),MIN(MAX(J872/K872,0),1.3))),"") </f>
        <v/>
      </c>
      <c r="M872" s="39">
        <f>IFERROR(IF(OR(J872=0,K872=""),"",IF(E872="Positivo",MAX(K872/J872,0),MAX(J872/K872,0))),"") </f>
        <v/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08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39">
        <f>IFERROR(IF(OR(J873=0,K873=""),"",IF(E873="Positivo",MIN(MAX(K873/J873,0),1.3),MIN(MAX(J873/K873,0),1.3))),"") </f>
        <v/>
      </c>
      <c r="M873" s="39">
        <f>IFERROR(IF(OR(J873=0,K873=""),"",IF(E873="Positivo",MAX(K873/J873,0),MAX(J873/K873,0))),"") </f>
        <v/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08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39">
        <f>IFERROR(IF(OR(J874=0,K874=""),"",IF(E874="Positivo",MIN(MAX(K874/J874,0),1.3),MIN(MAX(J874/K874,0),1.3))),"") </f>
        <v/>
      </c>
      <c r="M874" s="3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08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39">
        <f>IFERROR(IF(OR(J875=0,K875=""),"",IF(E875="Positivo",MIN(MAX(K875/J875,0),1.3),MIN(MAX(J875/K875,0),1.3))),"") </f>
        <v/>
      </c>
      <c r="M875" s="3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08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39">
        <f>IFERROR(IF(OR(J876=0,K876=""),"",IF(E876="Positivo",MIN(MAX(K876/J876,0),1.3),MIN(MAX(J876/K876,0),1.3))),"") </f>
        <v/>
      </c>
      <c r="M876" s="3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08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39">
        <f>IFERROR(IF(OR(J877=0,K877=""),"",IF(E877="Positivo",MIN(MAX(K877/J877,0),1.3),MIN(MAX(J877/K877,0),1.3))),"") </f>
        <v/>
      </c>
      <c r="M877" s="39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08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39">
        <f>IFERROR(IF(OR(J878=0,K878=""),"",IF(E878="Positivo",MIN(MAX(K878/J878,0),1.3),MIN(MAX(J878/K878,0),1.3))),"") </f>
        <v/>
      </c>
      <c r="M878" s="3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08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39">
        <f>IFERROR(IF(OR(J879=0,K879=""),"",IF(E879="Positivo",MIN(MAX(K879/J879,0),1.3),MIN(MAX(J879/K879,0),1.3))),"") </f>
        <v/>
      </c>
      <c r="M879" s="3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08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>
        <f>IFERROR(IF(OR(J880=0,K880=""),"",IF(E880="Positivo",MIN(MAX(K880/J880,0),1.3),MIN(MAX(J880/K880,0),1.3))),"") </f>
        <v/>
      </c>
      <c r="M880" s="3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08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39">
        <f>IFERROR(IF(OR(J881=0,K881=""),"",IF(E881="Positivo",MIN(MAX(K881/J881,0),1.0),MIN(MAX(J881/K881,0),1.0))),"") </f>
        <v/>
      </c>
      <c r="M881" s="39">
        <f>IFERROR(IF(OR(J881=0,K881=""),"",IF(E881="Positivo",MAX(K881/J881,0),MAX(J881/K881,0))),"") </f>
        <v/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08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39">
        <f>IFERROR(IF(OR(J882=0,K882=""),"",IF(E882="Positivo",MIN(MAX(K882/J882,0),1.0),MIN(MAX(J882/K882,0),1.0))),"") </f>
        <v/>
      </c>
      <c r="M882" s="39">
        <f>IFERROR(IF(OR(J882=0,K882=""),"",IF(E882="Positivo",MAX(K882/J882,0),MAX(J882/K882,0))),"") </f>
        <v/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08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39">
        <f>IFERROR(IF(OR(J883=0,K883=""),"",IF(E883="Positivo",MIN(MAX(K883/J883,0),1.3),MIN(MAX(J883/K883,0),1.3))),"") </f>
        <v/>
      </c>
      <c r="M883" s="39">
        <f>IFERROR(IF(OR(J883=0,K883=""),"",IF(E883="Positivo",MAX(K883/J883,0),MAX(J883/K883,0))),"") </f>
        <v/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08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39" t="n"/>
      <c r="M884" s="3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08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39">
        <f>IFERROR(IF(OR(J885=0,K885=""),"",IF(E885="Positivo",MIN(MAX(K885/J885,0),1.3),MIN(MAX(J885/K885,0),1.3))),"") </f>
        <v/>
      </c>
      <c r="M885" s="3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08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39">
        <f>IFERROR(IF(OR(J886=0,K886=""),"",IF(E886="Positivo",MIN(MAX(K886/J886,0),1.3),MIN(MAX(J886/K886,0),1.3))),"") </f>
        <v/>
      </c>
      <c r="M886" s="3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08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>
        <f>IFERROR(IF(OR(J887=0,K887=""),"",IF(E887="Positivo",MIN(MAX(K887/J887,0),1.3),MIN(MAX(J887/K887,0),1.3))),"") </f>
        <v/>
      </c>
      <c r="M887" s="3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08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39">
        <f>IFERROR(IF(OR(J888=0,K888=""),"",IF(E888="Positivo",MIN(MAX(K888/J888,0),1.3),MIN(MAX(J888/K888,0),1.3))),"") </f>
        <v/>
      </c>
      <c r="M888" s="39">
        <f>IFERROR(IF(OR(J888=0,K888=""),"",IF(E888="Positivo",MAX(K888/J888,0),MAX(J888/K888,0))),"") </f>
        <v/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08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9">
        <f>IFERROR(IF(OR(J889=0,K889=""),"",IF(E889="Positivo",MIN(MAX(K889/J889,0),1.3),MIN(MAX(J889/K889,0),1.3))),"") </f>
        <v/>
      </c>
      <c r="M889" s="3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08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39">
        <f>IFERROR(IF(OR(J890=0,K890=""),"",IF(E890="Positivo",MIN(MAX(K890/J890,0),1.3),MIN(MAX(J890/K890,0),1.3))),"") </f>
        <v/>
      </c>
      <c r="M890" s="3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08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39" t="n"/>
      <c r="M891" s="3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08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39">
        <f>IFERROR(IF(OR(J892=0,K892=""),"",IF(E892="Positivo",MIN(MAX(K892/J892,0),1.3),MIN(MAX(J892/K892,0),1.3))),"") </f>
        <v/>
      </c>
      <c r="M892" s="39">
        <f>IFERROR(IF(OR(J892=0,K892=""),"",IF(E892="Positivo",MAX(K892/J892,0),MAX(J892/K892,0))),"") </f>
        <v/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08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>
        <f>IFERROR(IF(OR(J893=0,K893=""),"",IF(E893="Positivo",MIN(MAX(K893/J893,0),1.3),MIN(MAX(J893/K893,0),1.3))),"") </f>
        <v/>
      </c>
      <c r="M893" s="3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08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39">
        <f>IFERROR(IF(OR(J894=0,K894=""),"",IF(E894="Positivo",MIN(MAX(K894/J894,0),1.3),MIN(MAX(J894/K894,0),1.3))),"") </f>
        <v/>
      </c>
      <c r="M894" s="39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08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39">
        <f>IFERROR(IF(OR(J895=0,K895=""),"",IF(E895="Positivo",MIN(MAX(K895/J895,0),1.3),MIN(MAX(J895/K895,0),1.3))),"") </f>
        <v/>
      </c>
      <c r="M895" s="39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08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39">
        <f>IFERROR(IF(OR(J896=0,K896=""),"",IF(E896="Positivo",MIN(MAX(K896/J896,0),1.3),MIN(MAX(J896/K896,0),1.3))),"") </f>
        <v/>
      </c>
      <c r="M896" s="39">
        <f>IFERROR(IF(OR(J896=0,K896=""),"",IF(E896="Positivo",MAX(K896/J896,0),MAX(J896/K896,0))),"") </f>
        <v/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08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39">
        <f>IFERROR(IF(OR(J897=0,K897=""),"",IF(E897="Positivo",MIN(MAX(K897/J897,0),1.3),MIN(MAX(J897/K897,0),1.3))),"") </f>
        <v/>
      </c>
      <c r="M897" s="39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08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39">
        <f>IFERROR(IF(OR(J898=0,K898=""),"",IF(E898="Positivo",MIN(MAX(K898/J898,0),1.3),MIN(MAX(J898/K898,0),1.3))),"") </f>
        <v/>
      </c>
      <c r="M898" s="39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08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39">
        <f>IFERROR(IF(OR(J899=0,K899=""),"",IF(E899="Positivo",MIN(MAX(K899/J899,0),1.3),MIN(MAX(J899/K899,0),1.3))),"") </f>
        <v/>
      </c>
      <c r="M899" s="39">
        <f>IFERROR(IF(OR(J899=0,K899=""),"",IF(E899="Positivo",MAX(K899/J899,0),MAX(J899/K899,0))),"") </f>
        <v/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08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39">
        <f>IFERROR(IF(OR(J900=0,K900=""),"",IF(E900="Positivo",MIN(MAX(K900/J900,0),1.3),MIN(MAX(J900/K900,0),1.3))),"") </f>
        <v/>
      </c>
      <c r="M900" s="39">
        <f>IFERROR(IF(OR(J900=0,K900=""),"",IF(E900="Positivo",MAX(K900/J900,0),MAX(J900/K900,0))),"") </f>
        <v/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08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39">
        <f>IFERROR(IF(OR(J901=0,K901=""),"",IF(E901="Positivo",MIN(MAX(K901/J901,0),1.3),MIN(MAX(J901/K901,0),1.3))),"") </f>
        <v/>
      </c>
      <c r="M901" s="3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08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39" t="n"/>
      <c r="M902" s="3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08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39">
        <f>IFERROR(IF(OR(J903=0,K903=""),"",IF(E903="Positivo",MIN(MAX(K903/J903,0),1.3),MIN(MAX(J903/K903,0),1.3))),"") </f>
        <v/>
      </c>
      <c r="M903" s="39">
        <f>IFERROR(IF(OR(J903=0,K903=""),"",IF(E903="Positivo",MAX(K903/J903,0),MAX(J903/K903,0))),"") </f>
        <v/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08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39">
        <f>IFERROR(IF(OR(J904=0,K904=""),"",IF(E904="Positivo",MIN(MAX(K904/J904,0),1.3),MIN(MAX(J904/K904,0),1.3))),"") </f>
        <v/>
      </c>
      <c r="M904" s="39">
        <f>IFERROR(IF(OR(J904=0,K904=""),"",IF(E904="Positivo",MAX(K904/J904,0),MAX(J904/K904,0))),"") </f>
        <v/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08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39">
        <f>IFERROR(IF(OR(J905=0,K905=""),"",IF(E905="Positivo",MIN(MAX(K905/J905,0),1.3),MIN(MAX(J905/K905,0),1.3))),"") </f>
        <v/>
      </c>
      <c r="M905" s="3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08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39">
        <f>IFERROR(IF(OR(J906=0,K906=""),"",IF(E906="Positivo",MIN(MAX(K906/J906,0),1.3),MIN(MAX(J906/K906,0),1.3))),"") </f>
        <v/>
      </c>
      <c r="M906" s="3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08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39" t="n"/>
      <c r="M907" s="3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  <c r="S907" t="inlineStr"/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08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39">
        <f>IFERROR(IF(OR(J908=0,K908=""),"",IF(E908="Positivo",MIN(MAX(K908/J908,0),1.3),MIN(MAX(J908/K908,0),1.3))),"") </f>
        <v/>
      </c>
      <c r="M908" s="3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08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39">
        <f>IFERROR(IF(OR(J909=0,K909=""),"",IF(E909="Positivo",MIN(MAX(K909/J909,0),1.3),MIN(MAX(J909/K909,0),1.3))),"") </f>
        <v/>
      </c>
      <c r="M909" s="39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08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39">
        <f>IFERROR(IF(OR(J910=0,K910=""),"",IF(E910="Positivo",MIN(MAX(K910/J910,0),1.3),MIN(MAX(J910/K910,0),1.3))),"") </f>
        <v/>
      </c>
      <c r="M910" s="3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08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39">
        <f>IFERROR(IF(OR(J911=0,K911=""),"",IF(E911="Positivo",MIN(MAX(K911/J911,0),1.3),MIN(MAX(J911/K911,0),1.3))),"") </f>
        <v/>
      </c>
      <c r="M911" s="3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08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39">
        <f>IFERROR(IF(OR(J912=0,K912=""),"",IF(E912="Positivo",MIN(MAX(K912/J912,0),1.3),MIN(MAX(J912/K912,0),1.3))),"") </f>
        <v/>
      </c>
      <c r="M912" s="3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08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39">
        <f>IFERROR(IF(OR(J913=0,K913=""),"",IF(E913="Positivo",MIN(MAX(K913/J913,0),1.3),MIN(MAX(J913/K913,0),1.3))),"") </f>
        <v/>
      </c>
      <c r="M913" s="3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08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39">
        <f>IFERROR(IF(OR(J914=0,K914=""),"",IF(E914="Positivo",MIN(MAX(K914/J914,0),1.3),MIN(MAX(J914/K914,0),1.3))),"") </f>
        <v/>
      </c>
      <c r="M914" s="3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08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39">
        <f>IFERROR(IF(OR(J915=0,K915=""),"",IF(E915="Positivo",MIN(MAX(K915/J915,0),1.3),MIN(MAX(J915/K915,0),1.3))),"") </f>
        <v/>
      </c>
      <c r="M915" s="3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08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39">
        <f>IFERROR(IF(OR(J916=0,K916=""),"",IF(E916="Positivo",MIN(MAX(K916/J916,0),1.3),MIN(MAX(J916/K916,0),1.3))),"") </f>
        <v/>
      </c>
      <c r="M916" s="3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08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39">
        <f>IFERROR(IF(OR(J917=0,K917=""),"",IF(E917="Positivo",MIN(MAX(K917/J917,0),1.3),MIN(MAX(J917/K917,0),1.3))),"") </f>
        <v/>
      </c>
      <c r="M917" s="3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08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39">
        <f>IFERROR(IF(OR(J918=0,K918=""),"",IF(E918="Positivo",MIN(MAX(K918/J918,0),1.3),MIN(MAX(J918/K918,0),1.3))),"") </f>
        <v/>
      </c>
      <c r="M918" s="3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08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39">
        <f>IFERROR(IF(OR(J919=0,K919=""),"",IF(E919="Positivo",MIN(MAX(K919/J919,0),1.3),MIN(MAX(J919/K919,0),1.3))),"") </f>
        <v/>
      </c>
      <c r="M919" s="3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08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39">
        <f>IFERROR(IF(OR(J920=0,K920=""),"",IF(E920="Positivo",MIN(MAX(K920/J920,0),1.3),MIN(MAX(J920/K920,0),1.3))),"") </f>
        <v/>
      </c>
      <c r="M920" s="3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08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39">
        <f>IFERROR(IF(OR(J921=0,K921=""),"",IF(E921="Positivo",MIN(MAX(K921/J921,0),1.3),MIN(MAX(J921/K921,0),1.3))),"") </f>
        <v/>
      </c>
      <c r="M921" s="3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08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39">
        <f>IFERROR(IF(OR(J922=0,K922=""),"",IF(E922="Positivo",MIN(MAX(K922/J922,0),1.3),MIN(MAX(J922/K922,0),1.3))),"") </f>
        <v/>
      </c>
      <c r="M922" s="3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08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39">
        <f>IFERROR(IF(OR(J923=0,K923=""),"",IF(E923="Positivo",MIN(MAX(K923/J923,0),1.3),MIN(MAX(J923/K923,0),1.3))),"") </f>
        <v/>
      </c>
      <c r="M923" s="3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08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39">
        <f>IFERROR(IF(OR(J924=0,K924=""),"",IF(E924="Positivo",MIN(MAX(K924/J924,0),1.3),MIN(MAX(J924/K924,0),1.3))),"") </f>
        <v/>
      </c>
      <c r="M924" s="3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08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39">
        <f>IFERROR(IF(OR(J925=0,K925=""),"",IF(E925="Positivo",MIN(MAX(K925/J925,0),1.3),MIN(MAX(J925/K925,0),1.3))),"") </f>
        <v/>
      </c>
      <c r="M925" s="3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08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39">
        <f>IFERROR(IF(OR(J926=0,K926=""),"",IF(E926="Positivo",MIN(MAX(K926/J926,0),1.3),MIN(MAX(J926/K926,0),1.3))),"") </f>
        <v/>
      </c>
      <c r="M926" s="3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08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39">
        <f>IFERROR(IF(OR(J927=0,K927=""),"",IF(E927="Positivo",MIN(MAX(K927/J927,0),1.3),MIN(MAX(J927/K927,0),1.3))),"") </f>
        <v/>
      </c>
      <c r="M927" s="3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  <c r="S927" t="inlineStr"/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08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39">
        <f>IFERROR(IF(OR(J928=0,K928=""),"",IF(E928="Positivo",MIN(MAX(K928/J928,0),1.3),MIN(MAX(J928/K928,0),1.3))),"") </f>
        <v/>
      </c>
      <c r="M928" s="3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t="n">
        <v>500</v>
      </c>
      <c r="B929" t="inlineStr">
        <is>
          <t>Nivel de Satisfacción Servicios Prestados -Servicio de Salud</t>
        </is>
      </c>
      <c r="C929" t="inlineStr">
        <is>
          <t>Servicio de Salud</t>
        </is>
      </c>
      <c r="D929" t="inlineStr">
        <is>
          <t>Anual</t>
        </is>
      </c>
      <c r="E929" t="inlineStr">
        <is>
          <t>Positivo</t>
        </is>
      </c>
      <c r="F929" s="108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39">
        <f>IFERROR(IF(OR(J929=0,K929=""),"",IF(E929="Positivo",MIN(MAX(K929/J929,0),1.3),MIN(MAX(J929/K929,0),1.3))),"") </f>
        <v/>
      </c>
      <c r="M929" s="3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500-2025-12-31</t>
        </is>
      </c>
    </row>
    <row r="930">
      <c r="A930" t="n">
        <v>501</v>
      </c>
      <c r="B930" t="inlineStr">
        <is>
          <t>Nivel de Satisfacción Servicios Prestados -Gestión, evaluación e innovación curricular</t>
        </is>
      </c>
      <c r="C930" t="inlineStr">
        <is>
          <t>Gestión, Evaluación e Innovación Curricular</t>
        </is>
      </c>
      <c r="D930" t="inlineStr">
        <is>
          <t>Anual</t>
        </is>
      </c>
      <c r="E930" t="inlineStr">
        <is>
          <t>Positivo</t>
        </is>
      </c>
      <c r="F930" s="108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88</v>
      </c>
      <c r="L930" s="39">
        <f>IFERROR(IF(OR(J930=0,K930=""),"",IF(E930="Positivo",MIN(MAX(K930/J930,0),1.3),MIN(MAX(J930/K930,0),1.3))),"") </f>
        <v/>
      </c>
      <c r="M930" s="3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08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39">
        <f>IFERROR(IF(OR(J931=0,K931=""),"",IF(E931="Positivo",MIN(MAX(K931/J931,0),1.3),MIN(MAX(J931/K931,0),1.3))),"") </f>
        <v/>
      </c>
      <c r="M931" s="3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08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39">
        <f>IFERROR(IF(OR(J932=0,K932=""),"",IF(E932="Positivo",MIN(MAX(K932/J932,0),1.3),MIN(MAX(J932/K932,0),1.3))),"") </f>
        <v/>
      </c>
      <c r="M932" s="3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08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39">
        <f>IFERROR(IF(OR(J933=0,K933=""),"",IF(E933="Positivo",MIN(MAX(K933/J933,0),1.3),MIN(MAX(J933/K933,0),1.3))),"") </f>
        <v/>
      </c>
      <c r="M933" s="3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08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39">
        <f>IFERROR(IF(OR(J934=0,K934=""),"",IF(E934="Positivo",MIN(MAX(K934/J934,0),1.3),MIN(MAX(J934/K934,0),1.3))),"") </f>
        <v/>
      </c>
      <c r="M934" s="3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08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39">
        <f>IFERROR(IF(OR(J935=0,K935=""),"",IF(E935="Positivo",MIN(MAX(K935/J935,0),1.3),MIN(MAX(J935/K935,0),1.3))),"") </f>
        <v/>
      </c>
      <c r="M935" s="3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08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39">
        <f>IFERROR(IF(OR(J936=0,K936=""),"",IF(E936="Positivo",MIN(MAX(K936/J936,0),1.3),MIN(MAX(J936/K936,0),1.3))),"") </f>
        <v/>
      </c>
      <c r="M936" s="3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08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39">
        <f>IFERROR(IF(OR(J937=0,K937=""),"",IF(E937="Positivo",MIN(MAX(K937/J937,0),1.3),MIN(MAX(J937/K937,0),1.3))),"") </f>
        <v/>
      </c>
      <c r="M937" s="3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08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39">
        <f>IFERROR(IF(OR(J938=0,K938=""),"",IF(E938="Positivo",MIN(MAX(K938/J938,0),1.3),MIN(MAX(J938/K938,0),1.3))),"") </f>
        <v/>
      </c>
      <c r="M938" s="3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08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39">
        <f>IFERROR(IF(OR(J939=0,K939=""),"",IF(E939="Positivo",MIN(MAX(K939/J939,0),1.3),MIN(MAX(J939/K939,0),1.3))),"") </f>
        <v/>
      </c>
      <c r="M939" s="3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08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39">
        <f>IFERROR(IF(OR(J940=0,K940=""),"",IF(E940="Positivo",MIN(MAX(K940/J940,0),1.3),MIN(MAX(J940/K940,0),1.3))),"") </f>
        <v/>
      </c>
      <c r="M940" s="3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08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39">
        <f>IFERROR(IF(OR(J941=0,K941=""),"",IF(E941="Positivo",MIN(MAX(K941/J941,0),1.3),MIN(MAX(J941/K941,0),1.3))),"") </f>
        <v/>
      </c>
      <c r="M941" s="3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08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39">
        <f>IFERROR(IF(OR(J942=0,K942=""),"",IF(E942="Positivo",MIN(MAX(K942/J942,0),1.3),MIN(MAX(J942/K942,0),1.3))),"") </f>
        <v/>
      </c>
      <c r="M942" s="3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08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39">
        <f>IFERROR(IF(OR(J943=0,K943=""),"",IF(E943="Positivo",MIN(MAX(K943/J943,0),1.3),MIN(MAX(J943/K943,0),1.3))),"") </f>
        <v/>
      </c>
      <c r="M943" s="3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08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39">
        <f>IFERROR(IF(OR(J944=0,K944=""),"",IF(E944="Positivo",MIN(MAX(K944/J944,0),1.3),MIN(MAX(J944/K944,0),1.3))),"") </f>
        <v/>
      </c>
      <c r="M944" s="3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08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39">
        <f>IFERROR(IF(OR(J945=0,K945=""),"",IF(E945="Positivo",MIN(MAX(K945/J945,0),1.3),MIN(MAX(J945/K945,0),1.3))),"") </f>
        <v/>
      </c>
      <c r="M945" s="3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08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39">
        <f>IFERROR(IF(OR(J946=0,K946=""),"",IF(E946="Positivo",MIN(MAX(K946/J946,0),1.3),MIN(MAX(J946/K946,0),1.3))),"") </f>
        <v/>
      </c>
      <c r="M946" s="3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08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39" t="n"/>
      <c r="M947" s="3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08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3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08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L949" s="39" t="n"/>
      <c r="M949" s="39" t="n"/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08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39">
        <f>IFERROR(IF(OR(J950=0,K950=""),"",IF(E950="Positivo",MIN(MAX(K950/J950,0),1.3),MIN(MAX(J950/K950,0),1.3))),"") </f>
        <v/>
      </c>
      <c r="M950" s="3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08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39" t="n"/>
      <c r="M951" s="3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08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39" t="n"/>
      <c r="M952" s="3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08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39">
        <f>IFERROR(IF(OR(J953=0,K953=""),"",IF(E953="Positivo",MIN(MAX(K953/J953,0),1.3),MIN(MAX(J953/K953,0),1.3))),"") </f>
        <v/>
      </c>
      <c r="M953" s="3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08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39">
        <f>IFERROR(IF(OR(J954=0,K954=""),"",IF(E954="Positivo",MIN(MAX(K954/J954,0),1.3),MIN(MAX(J954/K954,0),1.3))),"") </f>
        <v/>
      </c>
      <c r="M954" s="3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08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39">
        <f>IFERROR(IF(OR(J955=0,K955=""),"",IF(E955="Positivo",MIN(MAX(K955/J955,0),1.3),MIN(MAX(J955/K955,0),1.3))),"") </f>
        <v/>
      </c>
      <c r="M955" s="3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s="5" t="n">
        <v>523</v>
      </c>
      <c r="B956" s="5" t="inlineStr">
        <is>
          <t>Ingresos totales de educación para la vida</t>
        </is>
      </c>
      <c r="C956" s="5" t="inlineStr">
        <is>
          <t>Planeación Financiera</t>
        </is>
      </c>
      <c r="D956" s="5" t="inlineStr">
        <is>
          <t>Trimestral</t>
        </is>
      </c>
      <c r="E956" s="5" t="inlineStr">
        <is>
          <t>Positivo</t>
        </is>
      </c>
      <c r="F956" s="101" t="n">
        <v>46022</v>
      </c>
      <c r="G956" s="5" t="n">
        <v>2025</v>
      </c>
      <c r="H956" s="5" t="inlineStr">
        <is>
          <t>Diciembre</t>
        </is>
      </c>
      <c r="I956" s="6" t="inlineStr">
        <is>
          <t>2025-2</t>
        </is>
      </c>
      <c r="J956" s="73" t="n">
        <v>95</v>
      </c>
      <c r="K956" s="9" t="n">
        <v>95.76000000000001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 t="inlineStr">
        <is>
          <t>523-2025-12-31</t>
        </is>
      </c>
    </row>
    <row r="957">
      <c r="A957" s="5" t="n">
        <v>524</v>
      </c>
      <c r="B957" s="5" t="inlineStr">
        <is>
          <t>Total Leads por canales de captación</t>
        </is>
      </c>
      <c r="C957" s="5" t="inlineStr">
        <is>
          <t>Mercadeo de programas académicos</t>
        </is>
      </c>
      <c r="D957" s="5" t="inlineStr">
        <is>
          <t>Trimestral</t>
        </is>
      </c>
      <c r="E957" s="5" t="inlineStr">
        <is>
          <t>Positivo</t>
        </is>
      </c>
      <c r="F957" s="101" t="n">
        <v>46022</v>
      </c>
      <c r="G957" s="5" t="n">
        <v>2025</v>
      </c>
      <c r="H957" s="5" t="inlineStr">
        <is>
          <t>Diciembre</t>
        </is>
      </c>
      <c r="I957" s="6" t="inlineStr">
        <is>
          <t>2025-2</t>
        </is>
      </c>
      <c r="J957" s="5" t="n">
        <v>200</v>
      </c>
      <c r="K957" s="5" t="n">
        <v>205.45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inlineStr">
        <is>
          <t>ENT</t>
        </is>
      </c>
      <c r="O957" s="5" t="inlineStr">
        <is>
          <t>ENT</t>
        </is>
      </c>
      <c r="P957" s="5" t="n">
        <v>0</v>
      </c>
      <c r="Q957" s="5" t="n">
        <v>0</v>
      </c>
      <c r="R957" s="5" t="inlineStr">
        <is>
          <t>524-2025-12-31</t>
        </is>
      </c>
    </row>
    <row r="958">
      <c r="A958" s="5" t="n">
        <v>526</v>
      </c>
      <c r="B958" s="5" t="inlineStr">
        <is>
          <t>Cumplimiento Politica Polisigs</t>
        </is>
      </c>
      <c r="C958" s="5" t="inlineStr">
        <is>
          <t>Planificación POLISIGS</t>
        </is>
      </c>
      <c r="D958" s="5" t="inlineStr">
        <is>
          <t>Semestral</t>
        </is>
      </c>
      <c r="E958" s="5" t="inlineStr">
        <is>
          <t>Positivo</t>
        </is>
      </c>
      <c r="F958" s="101" t="n">
        <v>45930</v>
      </c>
      <c r="G958" s="5" t="n">
        <v>2025</v>
      </c>
      <c r="H958" s="5" t="inlineStr">
        <is>
          <t>Septiembre</t>
        </is>
      </c>
      <c r="I958" s="6" t="inlineStr">
        <is>
          <t>2025-2</t>
        </is>
      </c>
      <c r="J958" s="5" t="n">
        <v>95</v>
      </c>
      <c r="K958" s="5" t="n">
        <v>96.59999999999999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 t="inlineStr">
        <is>
          <t>526-2025-09-30</t>
        </is>
      </c>
      <c r="S958" t="inlineStr"/>
    </row>
    <row r="959">
      <c r="A959" t="n">
        <v>526</v>
      </c>
      <c r="B959" t="inlineStr">
        <is>
          <t>Cumplimiento Politica Polisigs</t>
        </is>
      </c>
      <c r="C959" t="inlineStr">
        <is>
          <t>Planificación POLISIGS</t>
        </is>
      </c>
      <c r="D959" t="inlineStr">
        <is>
          <t>Semestral</t>
        </is>
      </c>
      <c r="E959" t="inlineStr">
        <is>
          <t>Positivo</t>
        </is>
      </c>
      <c r="F959" s="108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95</v>
      </c>
      <c r="K959" t="n">
        <v>96.59999999999999</v>
      </c>
      <c r="L959" s="39">
        <f>IFERROR(IF(OR(J959=0,K959=""),"",IF(E959="Positivo",MIN(MAX(K959/J959,0),1.3),MIN(MAX(J959/K959,0),1.3))),"") </f>
        <v/>
      </c>
      <c r="M959" s="3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526-2025-12-31</t>
        </is>
      </c>
      <c r="S959" t="inlineStr">
        <is>
          <t>Sin Reporte</t>
        </is>
      </c>
    </row>
    <row r="960">
      <c r="A960" t="n">
        <v>527</v>
      </c>
      <c r="B960" t="inlineStr">
        <is>
          <t>Participación de Grupos de Interés en la construcción del nuevo plan de desarrollo (PDI)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08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3690</v>
      </c>
      <c r="K960" t="n">
        <v>7304</v>
      </c>
      <c r="L960" s="39">
        <f>IFERROR(IF(OR(J960=0,K960=""),"",IF(E960="Positivo",MIN(MAX(K960/J960,0),1.3),MIN(MAX(J960/K960,0),1.3))),"") </f>
        <v/>
      </c>
      <c r="M960" s="3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527-2025-12-31</t>
        </is>
      </c>
    </row>
    <row r="961">
      <c r="A961" t="n">
        <v>528</v>
      </c>
      <c r="B961" t="inlineStr">
        <is>
          <t>Participación de la comunidad en la Rendición de Cuentas</t>
        </is>
      </c>
      <c r="C961" t="inlineStr">
        <is>
          <t>Planeación Estratégica</t>
        </is>
      </c>
      <c r="D961" t="inlineStr">
        <is>
          <t>Anual</t>
        </is>
      </c>
      <c r="E961" t="inlineStr">
        <is>
          <t>Positivo</t>
        </is>
      </c>
      <c r="F961" s="108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2014</v>
      </c>
      <c r="L961" s="39">
        <f>IFERROR(IF(OR(J961=0,K961=""),"",IF(E961="Positivo",MIN(MAX(K961/J961,0),1.3),MIN(MAX(J961/K961,0),1.3))),"") </f>
        <v/>
      </c>
      <c r="M961" s="39">
        <f>IFERROR(IF(OR(J961=0,K961=""),"",IF(E961="Positivo",MAX(K961/J961,0),MAX(J961/K961,0))),"") </f>
        <v/>
      </c>
      <c r="N961" t="inlineStr">
        <is>
          <t>ENT</t>
        </is>
      </c>
      <c r="O961" t="inlineStr">
        <is>
          <t>ENT</t>
        </is>
      </c>
      <c r="P961" t="n">
        <v>0</v>
      </c>
      <c r="Q961" t="n">
        <v>0</v>
      </c>
      <c r="R961" t="inlineStr">
        <is>
          <t>528-2025-12-31</t>
        </is>
      </c>
    </row>
    <row r="962">
      <c r="A962" t="n">
        <v>529</v>
      </c>
      <c r="B962" t="inlineStr">
        <is>
          <t>Oportunidad en la solución de solicitudes de infraestructura</t>
        </is>
      </c>
      <c r="C962" t="inlineStr">
        <is>
          <t>Gestión Infraestructura Física</t>
        </is>
      </c>
      <c r="D962" t="inlineStr">
        <is>
          <t>Semestral</t>
        </is>
      </c>
      <c r="E962" t="inlineStr">
        <is>
          <t>Positivo</t>
        </is>
      </c>
      <c r="F962" s="108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180</v>
      </c>
      <c r="K962" t="n">
        <v>294.16</v>
      </c>
      <c r="L962" s="39">
        <f>IFERROR(IF(OR(J962=0,K962=""),"",IF(E962="Positivo",MIN(MAX(K962/J962,0),1.3),MIN(MAX(J962/K962,0),1.3))),"") </f>
        <v/>
      </c>
      <c r="M962" s="3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529-2025-12-31</t>
        </is>
      </c>
    </row>
    <row r="963">
      <c r="A963" t="n">
        <v>530</v>
      </c>
      <c r="B963" t="inlineStr">
        <is>
          <t>Índice de Cumplimiento del Sprint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08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97</v>
      </c>
      <c r="K963" t="n">
        <v>85.56</v>
      </c>
      <c r="L963" s="39">
        <f>IFERROR(IF(OR(J963=0,K963=""),"",IF(E963="Positivo",MIN(MAX(K963/J963,0),1.3),MIN(MAX(J963/K963,0),1.3))),"") </f>
        <v/>
      </c>
      <c r="M963" s="3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530-2025-12-31</t>
        </is>
      </c>
    </row>
    <row r="964">
      <c r="A964" t="n">
        <v>531</v>
      </c>
      <c r="B964" t="inlineStr">
        <is>
          <t>Eficiencia de capacidad instalada</t>
        </is>
      </c>
      <c r="C964" t="inlineStr">
        <is>
          <t>GESTIÓN DE LA TECNOLOGÍA E INNOVACIÓN DIGITAL</t>
        </is>
      </c>
      <c r="D964" t="inlineStr">
        <is>
          <t>Trimestral</t>
        </is>
      </c>
      <c r="E964" t="inlineStr">
        <is>
          <t>Positivo</t>
        </is>
      </c>
      <c r="F964" s="108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90</v>
      </c>
      <c r="K964" t="n">
        <v>93.94</v>
      </c>
      <c r="L964" s="39">
        <f>IFERROR(IF(OR(J964=0,K964=""),"",IF(E964="Positivo",MIN(MAX(K964/J964,0),1.3),MIN(MAX(J964/K964,0),1.3))),"") </f>
        <v/>
      </c>
      <c r="M964" s="3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531-2025-12-31</t>
        </is>
      </c>
    </row>
    <row r="965">
      <c r="A965" t="n">
        <v>532</v>
      </c>
      <c r="B965" t="inlineStr">
        <is>
          <t>Actividades de Cooperación en Internacionalización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08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267.93</v>
      </c>
      <c r="L965" s="39">
        <f>IFERROR(IF(OR(J965=0,K965=""),"",IF(E965="Positivo",MIN(MAX(K965/J965,0),1.3),MIN(MAX(J965/K965,0),1.3))),"") </f>
        <v/>
      </c>
      <c r="M965" s="3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532-2025-12-31</t>
        </is>
      </c>
    </row>
    <row r="966">
      <c r="A966" t="n">
        <v>533</v>
      </c>
      <c r="B966" t="inlineStr">
        <is>
          <t>Participación de estudiantes externos invitados a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08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302.84</v>
      </c>
      <c r="L966" s="39">
        <f>IFERROR(IF(OR(J966=0,K966=""),"",IF(E966="Positivo",MIN(MAX(K966/J966,0),1.3),MIN(MAX(J966/K966,0),1.3))),"") </f>
        <v/>
      </c>
      <c r="M966" s="3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533-2025-12-31</t>
        </is>
      </c>
    </row>
    <row r="967">
      <c r="A967" t="n">
        <v>534</v>
      </c>
      <c r="B967" t="inlineStr">
        <is>
          <t>Participación de estudiantes POLI en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08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268.62</v>
      </c>
      <c r="L967" s="39">
        <f>IFERROR(IF(OR(J967=0,K967=""),"",IF(E967="Positivo",MIN(MAX(K967/J967,0),1.3),MIN(MAX(J967/K967,0),1.3))),"") </f>
        <v/>
      </c>
      <c r="M967" s="39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534-2025-12-31</t>
        </is>
      </c>
    </row>
    <row r="968">
      <c r="A968" t="n">
        <v>535</v>
      </c>
      <c r="B968" t="inlineStr">
        <is>
          <t>Participación de profesores externos invitados a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08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342.3</v>
      </c>
      <c r="L968" s="39">
        <f>IFERROR(IF(OR(J968=0,K968=""),"",IF(E968="Positivo",MIN(MAX(K968/J968,0),1.3),MIN(MAX(J968/K968,0),1.3))),"") </f>
        <v/>
      </c>
      <c r="M968" s="3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535-2025-12-31</t>
        </is>
      </c>
    </row>
    <row r="969">
      <c r="A969" t="n">
        <v>536</v>
      </c>
      <c r="B969" t="inlineStr">
        <is>
          <t>Participación de profesores POLI en actividades de cooperación nacional e internacional</t>
        </is>
      </c>
      <c r="C969" t="inlineStr">
        <is>
          <t>VISIBILIDAD NACIONAL E INTERNACIONAL</t>
        </is>
      </c>
      <c r="D969" t="inlineStr">
        <is>
          <t>Trimestral</t>
        </is>
      </c>
      <c r="E969" t="inlineStr">
        <is>
          <t>Positivo</t>
        </is>
      </c>
      <c r="F969" s="108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200</v>
      </c>
      <c r="K969" t="n">
        <v>370.08</v>
      </c>
      <c r="L969" s="39">
        <f>IFERROR(IF(OR(J969=0,K969=""),"",IF(E969="Positivo",MIN(MAX(K969/J969,0),1.3),MIN(MAX(J969/K969,0),1.3))),"") </f>
        <v/>
      </c>
      <c r="M969" s="3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536-2025-12-31</t>
        </is>
      </c>
    </row>
    <row r="970">
      <c r="A970" t="n">
        <v>537</v>
      </c>
      <c r="B970" t="inlineStr">
        <is>
          <t>FCR- Resolución en primer contacto</t>
        </is>
      </c>
      <c r="C970" t="inlineStr">
        <is>
          <t>Servicio</t>
        </is>
      </c>
      <c r="D970" t="inlineStr">
        <is>
          <t>Trimestral</t>
        </is>
      </c>
      <c r="E970" t="inlineStr">
        <is>
          <t>Positivo</t>
        </is>
      </c>
      <c r="F970" s="108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65</v>
      </c>
      <c r="K970" t="n">
        <v>64.3</v>
      </c>
      <c r="L970" s="39">
        <f>IFERROR(IF(OR(J970=0,K970=""),"",IF(E970="Positivo",MIN(MAX(K970/J970,0),1.3),MIN(MAX(J970/K970,0),1.3))),"") </f>
        <v/>
      </c>
      <c r="M970" s="39">
        <f>IFERROR(IF(OR(J970=0,K970=""),"",IF(E970="Positivo",MAX(K970/J970,0),MAX(J970/K970,0))),"") </f>
        <v/>
      </c>
      <c r="N970" t="inlineStr">
        <is>
          <t>ENT</t>
        </is>
      </c>
      <c r="O970" t="inlineStr">
        <is>
          <t>ENT</t>
        </is>
      </c>
      <c r="P970" t="n">
        <v>0</v>
      </c>
      <c r="Q970" t="n">
        <v>0</v>
      </c>
      <c r="R970" t="inlineStr">
        <is>
          <t>537-2025-12-31</t>
        </is>
      </c>
    </row>
    <row r="971">
      <c r="A971" t="n">
        <v>538</v>
      </c>
      <c r="B971" t="inlineStr">
        <is>
          <t>Cumplimiento de sesiones de socialización de planeación académica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Positivo</t>
        </is>
      </c>
      <c r="F971" s="108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90</v>
      </c>
      <c r="K971" t="n">
        <v>100</v>
      </c>
      <c r="L971" s="39">
        <f>IFERROR(IF(OR(J971=0,K971=""),"",IF(E971="Positivo",MIN(MAX(K971/J971,0),1.3),MIN(MAX(J971/K971,0),1.3))),"") </f>
        <v/>
      </c>
      <c r="M971" s="3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538-2025-12-31</t>
        </is>
      </c>
    </row>
    <row r="972">
      <c r="A972" t="n">
        <v>539</v>
      </c>
      <c r="B972" t="inlineStr">
        <is>
          <t>CES emisión de certificados</t>
        </is>
      </c>
      <c r="C972" t="inlineStr">
        <is>
          <t>Registro y Control</t>
        </is>
      </c>
      <c r="D972" t="inlineStr">
        <is>
          <t>Trimestral</t>
        </is>
      </c>
      <c r="E972" t="inlineStr">
        <is>
          <t>Negativo</t>
        </is>
      </c>
      <c r="F972" s="108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2.5</v>
      </c>
      <c r="K972" t="n">
        <v>2.5</v>
      </c>
      <c r="L972" s="39">
        <f>IFERROR(IF(OR(J972=0,K972=""),"",IF(E972="Positivo",MIN(MAX(K972/J972,0),1.3),MIN(MAX(J972/K972,0),1.3))),"") </f>
        <v/>
      </c>
      <c r="M972" s="3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539-2025-12-31</t>
        </is>
      </c>
    </row>
    <row r="973">
      <c r="A973" t="n">
        <v>540</v>
      </c>
      <c r="B973" t="inlineStr">
        <is>
          <t>Nivel de Calidad de los Datos Cargados al SNIES</t>
        </is>
      </c>
      <c r="C973" t="inlineStr">
        <is>
          <t>DATOS Y ANALÍTICA</t>
        </is>
      </c>
      <c r="D973" t="inlineStr">
        <is>
          <t>Trimestral</t>
        </is>
      </c>
      <c r="E973" t="inlineStr">
        <is>
          <t>Positivo</t>
        </is>
      </c>
      <c r="F973" s="108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97</v>
      </c>
      <c r="K973" t="n">
        <v>97.61500000000001</v>
      </c>
      <c r="L973" s="39">
        <f>IFERROR(IF(OR(J973=0,K973=""),"",IF(E973="Positivo",MIN(MAX(K973/J973,0),1.3),MIN(MAX(J973/K973,0),1.3))),"") </f>
        <v/>
      </c>
      <c r="M973" s="3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540-2025-12-31</t>
        </is>
      </c>
    </row>
    <row r="974">
      <c r="A974" t="n">
        <v>541</v>
      </c>
      <c r="B974" t="inlineStr">
        <is>
          <t>Participación de graduados en actividades de empleabilidad y relacionamiento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08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4</v>
      </c>
      <c r="K974" t="n">
        <v>6.99</v>
      </c>
      <c r="L974" s="39">
        <f>IFERROR(IF(OR(J974=0,K974=""),"",IF(E974="Positivo",MIN(MAX(K974/J974,0),1.3),MIN(MAX(J974/K974,0),1.3))),"") </f>
        <v/>
      </c>
      <c r="M974" s="3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541-2025-12-31</t>
        </is>
      </c>
    </row>
    <row r="975">
      <c r="A975" t="n">
        <v>542</v>
      </c>
      <c r="B975" t="inlineStr">
        <is>
          <t>Tasa de cotización del graduado - Metrica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08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81.23999999999999</v>
      </c>
      <c r="L975" s="39" t="n"/>
      <c r="M975" s="3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542-2025-12-31</t>
        </is>
      </c>
      <c r="S975" t="inlineStr">
        <is>
          <t>Metrica</t>
        </is>
      </c>
    </row>
    <row r="976">
      <c r="A976" t="n">
        <v>543</v>
      </c>
      <c r="B976" t="inlineStr">
        <is>
          <t>Tasa de interacción por usuario</t>
        </is>
      </c>
      <c r="C976" t="inlineStr">
        <is>
          <t>Editorial y Publicaciones</t>
        </is>
      </c>
      <c r="D976" t="inlineStr">
        <is>
          <t>Trimestral</t>
        </is>
      </c>
      <c r="E976" t="inlineStr">
        <is>
          <t>Positivo</t>
        </is>
      </c>
      <c r="F976" s="108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K976" t="n">
        <v>14.2</v>
      </c>
      <c r="L976" s="39" t="n"/>
      <c r="M976" s="39" t="n"/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543-2025-12-31</t>
        </is>
      </c>
    </row>
    <row r="977">
      <c r="A977" t="n">
        <v>544</v>
      </c>
      <c r="B977" t="inlineStr">
        <is>
          <t>Producción de ambientes inmersivos LEI</t>
        </is>
      </c>
      <c r="C977" t="inlineStr">
        <is>
          <t>LEI</t>
        </is>
      </c>
      <c r="D977" t="inlineStr">
        <is>
          <t>Trimestral</t>
        </is>
      </c>
      <c r="E977" t="inlineStr">
        <is>
          <t>Positivo</t>
        </is>
      </c>
      <c r="F977" s="108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206.25</v>
      </c>
      <c r="L977" s="39">
        <f>IFERROR(IF(OR(J977=0,K977=""),"",IF(E977="Positivo",MIN(MAX(K977/J977,0),1.3),MIN(MAX(J977/K977,0),1.3))),"") </f>
        <v/>
      </c>
      <c r="M977" s="39">
        <f>IFERROR(IF(OR(J977=0,K977=""),"",IF(E977="Positivo",MAX(K977/J977,0),MAX(J977/K977,0))),"") </f>
        <v/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544-2025-12-31</t>
        </is>
      </c>
    </row>
    <row r="978">
      <c r="A978" t="n">
        <v>546</v>
      </c>
      <c r="B978" t="inlineStr">
        <is>
          <t>Tasa de participación de graduados en instrumentos de seguimiento (M0, M1, M5)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08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113.38</v>
      </c>
      <c r="L978" s="39">
        <f>IFERROR(IF(OR(J978=0,K978=""),"",IF(E978="Positivo",MIN(MAX(K978/J978,0),1.3),MIN(MAX(J978/K978,0),1.3))),"") </f>
        <v/>
      </c>
      <c r="M978" s="3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546-2025-12-31</t>
        </is>
      </c>
    </row>
    <row r="979">
      <c r="A979" t="n">
        <v>547</v>
      </c>
      <c r="B979" t="inlineStr">
        <is>
          <t>Nivel de satisfacción del graduado con la institución</t>
        </is>
      </c>
      <c r="C979" t="inlineStr">
        <is>
          <t>Gestión de Graduados</t>
        </is>
      </c>
      <c r="D979" t="inlineStr">
        <is>
          <t>Anual</t>
        </is>
      </c>
      <c r="E979" t="inlineStr">
        <is>
          <t>Positivo</t>
        </is>
      </c>
      <c r="F979" s="108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K979" t="n">
        <v>92</v>
      </c>
      <c r="L979" s="39" t="n"/>
      <c r="M979" s="39" t="n"/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547-2025-12-31</t>
        </is>
      </c>
    </row>
    <row r="980">
      <c r="A980" t="n">
        <v>550</v>
      </c>
      <c r="B980" t="inlineStr">
        <is>
          <t>Nivel de satisfacción con las actividades de formación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08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95.5</v>
      </c>
      <c r="L980" s="39">
        <f>IFERROR(IF(OR(J980=0,K980=""),"",IF(E980="Positivo",MIN(MAX(K980/J980,0),1.3),MIN(MAX(J980/K980,0),1.3))),"") </f>
        <v/>
      </c>
      <c r="M980" s="3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550-2025-12-31</t>
        </is>
      </c>
    </row>
    <row r="981">
      <c r="A981" t="n">
        <v>551</v>
      </c>
      <c r="B981" t="inlineStr">
        <is>
          <t>Evaluación del desempeño de los mentores</t>
        </is>
      </c>
      <c r="C981" t="inlineStr">
        <is>
          <t>Emprendimiento</t>
        </is>
      </c>
      <c r="D981" t="inlineStr">
        <is>
          <t>Trimestral</t>
        </is>
      </c>
      <c r="E981" t="inlineStr">
        <is>
          <t>Positivo</t>
        </is>
      </c>
      <c r="F981" s="108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4</v>
      </c>
      <c r="K981" t="n">
        <v>5</v>
      </c>
      <c r="L981" s="39">
        <f>IFERROR(IF(OR(J981=0,K981=""),"",IF(E981="Positivo",MIN(MAX(K981/J981,0),1.3),MIN(MAX(J981/K981,0),1.3))),"") </f>
        <v/>
      </c>
      <c r="M981" s="39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551-2025-12-31</t>
        </is>
      </c>
    </row>
    <row r="982">
      <c r="A982" t="n">
        <v>552</v>
      </c>
      <c r="B982" t="inlineStr">
        <is>
          <t>Nivel de Satisfacción Servicios Prestados -Gestión de la Responsabilidad Social</t>
        </is>
      </c>
      <c r="C982" t="inlineStr">
        <is>
          <t>Gestión de la Responsabilidad Social</t>
        </is>
      </c>
      <c r="D982" t="inlineStr">
        <is>
          <t>Anual</t>
        </is>
      </c>
      <c r="E982" t="inlineStr">
        <is>
          <t>Positivo</t>
        </is>
      </c>
      <c r="F982" s="108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92</v>
      </c>
      <c r="L982" s="39">
        <f>IFERROR(IF(OR(J982=0,K982=""),"",IF(E982="Positivo",MIN(MAX(K982/J982,0),1.3),MIN(MAX(J982/K982,0),1.3))),"") </f>
        <v/>
      </c>
      <c r="M982" s="3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552-2025-12-31</t>
        </is>
      </c>
    </row>
    <row r="983">
      <c r="A983" t="n">
        <v>553</v>
      </c>
      <c r="B983" t="inlineStr">
        <is>
          <t>Nivel de Satisfacción Servicios Prestados -Inscripción, admisión y matrícula de estudiantes nuevos</t>
        </is>
      </c>
      <c r="C983" t="inlineStr">
        <is>
          <t>Inscripción, admisión y matrícula de estudiantes nuevos</t>
        </is>
      </c>
      <c r="D983" t="inlineStr">
        <is>
          <t>Anual</t>
        </is>
      </c>
      <c r="E983" t="inlineStr">
        <is>
          <t>Positivo</t>
        </is>
      </c>
      <c r="F983" s="108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83</v>
      </c>
      <c r="L983" s="39">
        <f>IFERROR(IF(OR(J983=0,K983=""),"",IF(E983="Positivo",MIN(MAX(K983/J983,0),1.3),MIN(MAX(J983/K983,0),1.3))),"") </f>
        <v/>
      </c>
      <c r="M983" s="39">
        <f>IFERROR(IF(OR(J983=0,K983=""),"",IF(E983="Positivo",MAX(K983/J983,0),MAX(J983/K983,0))),"") </f>
        <v/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553-2025-12-31</t>
        </is>
      </c>
    </row>
    <row r="984">
      <c r="A984" t="n">
        <v>554</v>
      </c>
      <c r="B984" t="inlineStr">
        <is>
          <t>Nivel de Satisfacción Servicios Prestados -Permanencia</t>
        </is>
      </c>
      <c r="C984" t="inlineStr">
        <is>
          <t>Permanencia</t>
        </is>
      </c>
      <c r="D984" t="inlineStr">
        <is>
          <t>Trimestral</t>
        </is>
      </c>
      <c r="E984" t="inlineStr">
        <is>
          <t>Positivo</t>
        </is>
      </c>
      <c r="F984" s="108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95</v>
      </c>
      <c r="L984" s="39">
        <f>IFERROR(IF(OR(J984=0,K984=""),"",IF(E984="Positivo",MIN(MAX(K984/J984,0),1.3),MIN(MAX(J984/K984,0),1.3))),"") </f>
        <v/>
      </c>
      <c r="M984" s="3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554-2025-12-31</t>
        </is>
      </c>
    </row>
    <row r="985">
      <c r="A985" t="n">
        <v>555</v>
      </c>
      <c r="B985" t="inlineStr">
        <is>
          <t>Nivel de Satisfacción Servicios Prestados -Mercadeo y venta de educación para la vida</t>
        </is>
      </c>
      <c r="C985" t="inlineStr">
        <is>
          <t>Mercadeo y venta de educación para la vida</t>
        </is>
      </c>
      <c r="D985" t="inlineStr">
        <is>
          <t>Trimestral</t>
        </is>
      </c>
      <c r="E985" t="inlineStr">
        <is>
          <t>Positivo</t>
        </is>
      </c>
      <c r="F985" s="108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80</v>
      </c>
      <c r="K985" t="n">
        <v>100</v>
      </c>
      <c r="L985" s="39">
        <f>IFERROR(IF(OR(J985=0,K985=""),"",IF(E985="Positivo",MIN(MAX(K985/J985,0),1.3),MIN(MAX(J985/K985,0),1.3))),"") </f>
        <v/>
      </c>
      <c r="M985" s="39">
        <f>IFERROR(IF(OR(J985=0,K985=""),"",IF(E985="Positivo",MAX(K985/J985,0),MAX(J985/K985,0))),"") </f>
        <v/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555-2025-12-31</t>
        </is>
      </c>
    </row>
    <row r="986">
      <c r="A986" t="n">
        <v>556</v>
      </c>
      <c r="B986" t="inlineStr">
        <is>
          <t>Cumplimiento Plan de formación Institucional</t>
        </is>
      </c>
      <c r="C986" t="inlineStr">
        <is>
          <t>GESTIÓN Y DESARROLLO DEL TALENTO HUMANO</t>
        </is>
      </c>
      <c r="D986" t="inlineStr">
        <is>
          <t>Anual</t>
        </is>
      </c>
      <c r="E986" t="inlineStr">
        <is>
          <t>Positivo</t>
        </is>
      </c>
      <c r="F986" s="108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70</v>
      </c>
      <c r="K986" t="n">
        <v>113.75</v>
      </c>
      <c r="L986" s="39">
        <f>IFERROR(IF(OR(J986=0,K986=""),"",IF(E986="Positivo",MIN(MAX(K986/J986,0),1.3),MIN(MAX(J986/K986,0),1.3))),"") </f>
        <v/>
      </c>
      <c r="M986" s="39">
        <f>IFERROR(IF(OR(J986=0,K986=""),"",IF(E986="Positivo",MAX(K986/J986,0),MAX(J986/K986,0))),"") </f>
        <v/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556-2025-12-31</t>
        </is>
      </c>
    </row>
  </sheetData>
  <conditionalFormatting sqref="A22">
    <cfRule type="duplicateValues" priority="275" dxfId="0"/>
    <cfRule type="duplicateValues" priority="276" dxfId="0"/>
    <cfRule type="duplicateValues" priority="277" dxfId="0"/>
  </conditionalFormatting>
  <conditionalFormatting sqref="A23">
    <cfRule type="duplicateValues" priority="279" dxfId="0"/>
  </conditionalFormatting>
  <conditionalFormatting sqref="A606">
    <cfRule type="duplicateValues" priority="250" dxfId="0"/>
    <cfRule type="duplicateValues" priority="251" dxfId="0"/>
    <cfRule type="duplicateValues" priority="252" dxfId="0"/>
    <cfRule type="duplicateValues" priority="253" dxfId="0"/>
  </conditionalFormatting>
  <conditionalFormatting sqref="A908:A916">
    <cfRule type="duplicateValues" priority="249" dxfId="0"/>
  </conditionalFormatting>
  <conditionalFormatting sqref="A956">
    <cfRule type="duplicateValues" priority="235" dxfId="0"/>
    <cfRule type="duplicateValues" priority="236" dxfId="0"/>
  </conditionalFormatting>
  <conditionalFormatting sqref="A1050">
    <cfRule type="duplicateValues" priority="80" dxfId="0"/>
    <cfRule type="duplicateValues" priority="82" dxfId="0"/>
    <cfRule type="duplicateValues" priority="83" dxfId="0"/>
    <cfRule type="duplicateValues" priority="84" dxfId="0"/>
  </conditionalFormatting>
  <conditionalFormatting sqref="A1051">
    <cfRule type="duplicateValues" priority="74" dxfId="0"/>
    <cfRule type="duplicateValues" priority="76" dxfId="0"/>
    <cfRule type="duplicateValues" priority="77" dxfId="0"/>
    <cfRule type="duplicateValues" priority="78" dxfId="0"/>
  </conditionalFormatting>
  <conditionalFormatting sqref="A1052">
    <cfRule type="duplicateValues" priority="68" dxfId="0"/>
    <cfRule type="duplicateValues" priority="70" dxfId="0"/>
    <cfRule type="duplicateValues" priority="71" dxfId="0"/>
    <cfRule type="duplicateValues" priority="72" dxfId="0"/>
  </conditionalFormatting>
  <conditionalFormatting sqref="A1053">
    <cfRule type="duplicateValues" priority="62" dxfId="0"/>
    <cfRule type="duplicateValues" priority="64" dxfId="0"/>
    <cfRule type="duplicateValues" priority="65" dxfId="0"/>
    <cfRule type="duplicateValues" priority="66" dxfId="0"/>
  </conditionalFormatting>
  <conditionalFormatting sqref="A1075">
    <cfRule type="duplicateValues" priority="59" dxfId="0"/>
    <cfRule type="duplicateValues" priority="60" dxfId="0"/>
    <cfRule type="duplicateValues" priority="61" dxfId="0"/>
  </conditionalFormatting>
  <conditionalFormatting sqref="A1144">
    <cfRule type="duplicateValues" priority="49" dxfId="0"/>
    <cfRule type="duplicateValues" priority="51" dxfId="0"/>
    <cfRule type="duplicateValues" priority="52" dxfId="0"/>
    <cfRule type="duplicateValues" priority="53" dxfId="0"/>
  </conditionalFormatting>
  <conditionalFormatting sqref="A1145">
    <cfRule type="duplicateValues" priority="37" dxfId="0"/>
    <cfRule type="duplicateValues" priority="39" dxfId="0"/>
    <cfRule type="duplicateValues" priority="40" dxfId="0"/>
    <cfRule type="duplicateValues" priority="41" dxfId="0"/>
  </conditionalFormatting>
  <conditionalFormatting sqref="A1146">
    <cfRule type="duplicateValues" priority="31" dxfId="0"/>
    <cfRule type="duplicateValues" priority="33" dxfId="0"/>
    <cfRule type="duplicateValues" priority="34" dxfId="0"/>
    <cfRule type="duplicateValues" priority="35" dxfId="0"/>
  </conditionalFormatting>
  <conditionalFormatting sqref="A1147">
    <cfRule type="duplicateValues" priority="25" dxfId="0"/>
    <cfRule type="duplicateValues" priority="27" dxfId="0"/>
    <cfRule type="duplicateValues" priority="28" dxfId="0"/>
    <cfRule type="duplicateValues" priority="29" dxfId="0"/>
  </conditionalFormatting>
  <conditionalFormatting sqref="A1148">
    <cfRule type="duplicateValues" priority="19" dxfId="0"/>
    <cfRule type="duplicateValues" priority="21" dxfId="0"/>
    <cfRule type="duplicateValues" priority="22" dxfId="0"/>
    <cfRule type="duplicateValues" priority="23" dxfId="0"/>
  </conditionalFormatting>
  <conditionalFormatting sqref="A1149">
    <cfRule type="duplicateValues" priority="43" dxfId="0"/>
    <cfRule type="duplicateValues" priority="44" dxfId="0"/>
    <cfRule type="duplicateValues" priority="45" dxfId="0"/>
    <cfRule type="duplicateValues" priority="46" dxfId="0"/>
  </conditionalFormatting>
  <conditionalFormatting sqref="A1150">
    <cfRule type="duplicateValues" priority="15" dxfId="0"/>
    <cfRule type="duplicateValues" priority="16" dxfId="0"/>
    <cfRule type="duplicateValues" priority="17" dxfId="0"/>
    <cfRule type="duplicateValues" priority="18" dxfId="0"/>
  </conditionalFormatting>
  <conditionalFormatting sqref="A1166">
    <cfRule type="duplicateValues" priority="7" dxfId="0"/>
    <cfRule type="duplicateValues" priority="9" dxfId="0"/>
    <cfRule type="duplicateValues" priority="10" dxfId="0"/>
    <cfRule type="duplicateValues" priority="11" dxfId="0"/>
  </conditionalFormatting>
  <conditionalFormatting sqref="A1167">
    <cfRule type="duplicateValues" priority="1" dxfId="0"/>
    <cfRule type="duplicateValues" priority="3" dxfId="0"/>
    <cfRule type="duplicateValues" priority="4" dxfId="0"/>
    <cfRule type="duplicateValues" priority="5" dxfId="0"/>
  </conditionalFormatting>
  <conditionalFormatting sqref="A1171">
    <cfRule type="duplicateValues" priority="92" dxfId="0"/>
    <cfRule type="duplicateValues" priority="93" dxfId="0"/>
    <cfRule type="duplicateValues" priority="94" dxfId="0"/>
  </conditionalFormatting>
  <conditionalFormatting sqref="A1378">
    <cfRule type="duplicateValues" priority="90" dxfId="0"/>
    <cfRule type="duplicateValues" priority="91" dxfId="0"/>
  </conditionalFormatting>
  <conditionalFormatting sqref="B15">
    <cfRule type="duplicateValues" priority="167" dxfId="0"/>
    <cfRule type="duplicateValues" priority="168" dxfId="0"/>
  </conditionalFormatting>
  <conditionalFormatting sqref="B16">
    <cfRule type="duplicateValues" priority="165" dxfId="0"/>
    <cfRule type="duplicateValues" priority="166" dxfId="0"/>
  </conditionalFormatting>
  <conditionalFormatting sqref="B19">
    <cfRule type="duplicateValues" priority="119" dxfId="0"/>
    <cfRule type="duplicateValues" priority="120" dxfId="0"/>
  </conditionalFormatting>
  <conditionalFormatting sqref="B20">
    <cfRule type="duplicateValues" priority="117" dxfId="0"/>
    <cfRule type="duplicateValues" priority="118" dxfId="0"/>
  </conditionalFormatting>
  <conditionalFormatting sqref="B21">
    <cfRule type="duplicateValues" priority="125" dxfId="0"/>
    <cfRule type="duplicateValues" priority="126" dxfId="0"/>
  </conditionalFormatting>
  <conditionalFormatting sqref="B22">
    <cfRule type="duplicateValues" priority="123" dxfId="0"/>
    <cfRule type="duplicateValues" priority="124" dxfId="0"/>
  </conditionalFormatting>
  <conditionalFormatting sqref="B988">
    <cfRule type="duplicateValues" priority="88" dxfId="0"/>
    <cfRule type="duplicateValues" priority="89" dxfId="0"/>
  </conditionalFormatting>
  <conditionalFormatting sqref="B994">
    <cfRule type="duplicateValues" priority="86" dxfId="0"/>
    <cfRule type="duplicateValues" priority="87" dxfId="0"/>
  </conditionalFormatting>
  <conditionalFormatting sqref="B1050">
    <cfRule type="duplicateValues" priority="81" dxfId="0"/>
    <cfRule type="duplicateValues" priority="85" dxfId="0"/>
  </conditionalFormatting>
  <conditionalFormatting sqref="B1051">
    <cfRule type="duplicateValues" priority="75" dxfId="0"/>
    <cfRule type="duplicateValues" priority="79" dxfId="0"/>
  </conditionalFormatting>
  <conditionalFormatting sqref="B1052">
    <cfRule type="duplicateValues" priority="69" dxfId="0"/>
    <cfRule type="duplicateValues" priority="73" dxfId="0"/>
  </conditionalFormatting>
  <conditionalFormatting sqref="B1053">
    <cfRule type="duplicateValues" priority="63" dxfId="0"/>
    <cfRule type="duplicateValues" priority="67" dxfId="0"/>
  </conditionalFormatting>
  <conditionalFormatting sqref="B1074">
    <cfRule type="duplicateValues" priority="13" dxfId="0"/>
    <cfRule type="duplicateValues" priority="14" dxfId="0"/>
  </conditionalFormatting>
  <conditionalFormatting sqref="B1094">
    <cfRule type="duplicateValues" priority="57" dxfId="0"/>
    <cfRule type="duplicateValues" priority="58" dxfId="0"/>
  </conditionalFormatting>
  <conditionalFormatting sqref="B1095">
    <cfRule type="duplicateValues" priority="55" dxfId="0"/>
    <cfRule type="duplicateValues" priority="56" dxfId="0"/>
  </conditionalFormatting>
  <conditionalFormatting sqref="B1144">
    <cfRule type="duplicateValues" priority="50" dxfId="0"/>
    <cfRule type="duplicateValues" priority="54" dxfId="0"/>
  </conditionalFormatting>
  <conditionalFormatting sqref="B1145">
    <cfRule type="duplicateValues" priority="38" dxfId="0"/>
    <cfRule type="duplicateValues" priority="42" dxfId="0"/>
  </conditionalFormatting>
  <conditionalFormatting sqref="B1146">
    <cfRule type="duplicateValues" priority="32" dxfId="0"/>
    <cfRule type="duplicateValues" priority="36" dxfId="0"/>
  </conditionalFormatting>
  <conditionalFormatting sqref="B1147">
    <cfRule type="duplicateValues" priority="26" dxfId="0"/>
    <cfRule type="duplicateValues" priority="30" dxfId="0"/>
  </conditionalFormatting>
  <conditionalFormatting sqref="B1148">
    <cfRule type="duplicateValues" priority="20" dxfId="0"/>
    <cfRule type="duplicateValues" priority="24" dxfId="0"/>
  </conditionalFormatting>
  <conditionalFormatting sqref="B1149">
    <cfRule type="duplicateValues" priority="47" dxfId="0"/>
    <cfRule type="duplicateValues" priority="48" dxfId="0"/>
  </conditionalFormatting>
  <conditionalFormatting sqref="B1166">
    <cfRule type="duplicateValues" priority="8" dxfId="0"/>
    <cfRule type="duplicateValues" priority="12" dxfId="0"/>
  </conditionalFormatting>
  <conditionalFormatting sqref="B1167">
    <cfRule type="duplicateValues" priority="2" dxfId="0"/>
    <cfRule type="duplicateValues" priority="6" dxfId="0"/>
  </conditionalFormatting>
  <conditionalFormatting sqref="B1171">
    <cfRule type="duplicateValues" priority="95" dxfId="0"/>
    <cfRule type="duplicateValues" priority="9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96" min="1" max="1"/>
    <col width="19.6640625" bestFit="1" customWidth="1" style="96" min="2" max="2"/>
    <col width="24.88671875" bestFit="1" customWidth="1" style="96" min="3" max="3"/>
    <col width="11.5546875" customWidth="1" style="96" min="4" max="4"/>
    <col width="44.88671875" bestFit="1" customWidth="1" style="96" min="5" max="5"/>
    <col width="49.88671875" customWidth="1" style="96" min="6" max="6"/>
    <col width="2.5546875" customWidth="1" style="96" min="7" max="7"/>
    <col width="24.88671875" bestFit="1" customWidth="1" style="96" min="8" max="8"/>
    <col width="11.5546875" customWidth="1" style="96" min="9" max="9"/>
    <col width="46.109375" customWidth="1" style="96" min="10" max="10"/>
    <col width="35.77734375" customWidth="1" style="96" min="11" max="11"/>
    <col width="11.5546875" customWidth="1" style="96" min="12" max="12"/>
    <col width="11.5546875" customWidth="1" style="96" min="13" max="16384"/>
  </cols>
  <sheetData>
    <row r="1">
      <c r="A1" s="66" t="n"/>
      <c r="B1" s="66" t="n"/>
      <c r="C1" s="95" t="inlineStr">
        <is>
          <t>Serie Unica</t>
        </is>
      </c>
      <c r="H1" s="97" t="inlineStr">
        <is>
          <t>Multiserie</t>
        </is>
      </c>
      <c r="I1" s="98" t="n"/>
      <c r="J1" s="98" t="n"/>
      <c r="K1" s="99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92" t="inlineStr">
        <is>
          <t>Resultados Consolidado</t>
        </is>
      </c>
      <c r="B3" s="92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93" t="n"/>
      <c r="B4" s="93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93" t="n"/>
      <c r="B5" s="94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93" t="n"/>
      <c r="B6" s="92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93" t="n"/>
      <c r="B7" s="94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93" t="n"/>
      <c r="B8" s="92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94" t="n"/>
      <c r="B9" s="94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14</v>
      </c>
      <c r="B2" t="inlineStr">
        <is>
          <t>Total Población</t>
        </is>
      </c>
      <c r="C2" t="inlineStr">
        <is>
          <t>Estratégico</t>
        </is>
      </c>
      <c r="D2" t="inlineStr">
        <is>
          <t>Servicio</t>
        </is>
      </c>
      <c r="E2" t="inlineStr">
        <is>
          <t>Semestral</t>
        </is>
      </c>
      <c r="F2" t="inlineStr">
        <is>
          <t>Positivo</t>
        </is>
      </c>
      <c r="G2" t="inlineStr"/>
      <c r="H2" t="inlineStr">
        <is>
          <t>Historico</t>
        </is>
      </c>
      <c r="I2" t="inlineStr">
        <is>
          <t>Historico</t>
        </is>
      </c>
      <c r="J2" t="inlineStr">
        <is>
          <t>Acumulado</t>
        </is>
      </c>
      <c r="K2" t="inlineStr">
        <is>
          <t>Suma de total de indicador 379 y total indicador 274</t>
        </is>
      </c>
      <c r="L2" t="inlineStr">
        <is>
          <t>ENT</t>
        </is>
      </c>
    </row>
    <row r="3">
      <c r="A3" t="n">
        <v>68</v>
      </c>
      <c r="B3" t="inlineStr">
        <is>
          <t>Evaluación de desempeño a proveedores críticos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Semestral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69</v>
      </c>
      <c r="B4" t="inlineStr">
        <is>
          <t>Oportunidad de Respuesta Solicitudes de Compra No Licitadas</t>
        </is>
      </c>
      <c r="C4" t="inlineStr">
        <is>
          <t>Operativo</t>
        </is>
      </c>
      <c r="D4" t="inlineStr">
        <is>
          <t>GESTIÓN DE ABASTECIMIENTO</t>
        </is>
      </c>
      <c r="E4" t="inlineStr">
        <is>
          <t>Trimestral</t>
        </is>
      </c>
      <c r="F4" t="inlineStr">
        <is>
          <t>Positivo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%</t>
        </is>
      </c>
    </row>
    <row r="5">
      <c r="A5" t="n">
        <v>73</v>
      </c>
      <c r="B5" t="inlineStr">
        <is>
          <t>Tiempo respuesta selección y contratación de colaboradores de planta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Negativo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Días</t>
        </is>
      </c>
    </row>
    <row r="6">
      <c r="A6" t="n">
        <v>74</v>
      </c>
      <c r="B6" t="inlineStr">
        <is>
          <t>Efectividad en las contrataciones</t>
        </is>
      </c>
      <c r="C6" t="inlineStr">
        <is>
          <t>Operativo</t>
        </is>
      </c>
      <c r="D6" t="inlineStr">
        <is>
          <t>GESTIÓN Y DESARROLLO DEL TALENTO HUMANO</t>
        </is>
      </c>
      <c r="E6" t="inlineStr">
        <is>
          <t>Semestral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77</v>
      </c>
      <c r="B7" t="inlineStr">
        <is>
          <t>Disponibilidad de servicios tecnológicos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Serie Unica</t>
        </is>
      </c>
      <c r="H7" t="inlineStr">
        <is>
          <t>Activo</t>
        </is>
      </c>
      <c r="I7" t="inlineStr">
        <is>
          <t>API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78</v>
      </c>
      <c r="B8" t="inlineStr">
        <is>
          <t>Cumplimiento programa de auditoría</t>
        </is>
      </c>
      <c r="C8" t="inlineStr">
        <is>
          <t>Estratégico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79</v>
      </c>
      <c r="B9" t="inlineStr">
        <is>
          <t>Cierre Eficaz De Oportunidades De Mejora De Auditoria Interna</t>
        </is>
      </c>
      <c r="C9" t="inlineStr">
        <is>
          <t>Operativo</t>
        </is>
      </c>
      <c r="D9" t="inlineStr">
        <is>
          <t>AUDITORÍA INTERNA</t>
        </is>
      </c>
      <c r="E9" t="inlineStr">
        <is>
          <t>Bimestral</t>
        </is>
      </c>
      <c r="F9" t="inlineStr">
        <is>
          <t>Positivo</t>
        </is>
      </c>
      <c r="G9" t="inlineStr"/>
      <c r="H9" t="inlineStr">
        <is>
          <t>Historico</t>
        </is>
      </c>
      <c r="I9" t="inlineStr">
        <is>
          <t>Historico</t>
        </is>
      </c>
      <c r="J9" t="inlineStr">
        <is>
          <t>Promedio</t>
        </is>
      </c>
      <c r="K9" t="inlineStr"/>
      <c r="L9" t="inlineStr">
        <is>
          <t>%</t>
        </is>
      </c>
    </row>
    <row r="10">
      <c r="A10" t="n">
        <v>84</v>
      </c>
      <c r="B10" t="inlineStr">
        <is>
          <t>Funcionamiento del COPASST</t>
        </is>
      </c>
      <c r="C10" t="inlineStr">
        <is>
          <t>Estratégico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85</v>
      </c>
      <c r="B11" t="inlineStr">
        <is>
          <t>Plan de Emergencias</t>
        </is>
      </c>
      <c r="C11" t="inlineStr">
        <is>
          <t>Operativo</t>
        </is>
      </c>
      <c r="D11" t="inlineStr">
        <is>
          <t>GESTIÓN DE SEGURIDAD Y SALUD EN EL TRABAJO</t>
        </is>
      </c>
      <c r="E11" t="inlineStr">
        <is>
          <t>Anual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Cierre</t>
        </is>
      </c>
      <c r="K11" t="inlineStr"/>
      <c r="L11" t="inlineStr">
        <is>
          <t>%</t>
        </is>
      </c>
    </row>
    <row r="12">
      <c r="A12" t="n">
        <v>86</v>
      </c>
      <c r="B12" t="inlineStr">
        <is>
          <t>Reporte e investigación</t>
        </is>
      </c>
      <c r="C12" t="inlineStr">
        <is>
          <t>Estratégico</t>
        </is>
      </c>
      <c r="D12" t="inlineStr">
        <is>
          <t>GESTIÓN DE SEGURIDAD Y SALUD EN EL TRABAJO</t>
        </is>
      </c>
      <c r="E12" t="inlineStr">
        <is>
          <t>Semestral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Promedio</t>
        </is>
      </c>
      <c r="K12" t="inlineStr"/>
      <c r="L12" t="inlineStr">
        <is>
          <t>%</t>
        </is>
      </c>
    </row>
    <row r="13">
      <c r="A13" t="n">
        <v>87</v>
      </c>
      <c r="B13" t="inlineStr">
        <is>
          <t>Autoevaluación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88</v>
      </c>
      <c r="B14" t="inlineStr">
        <is>
          <t>Ejecución del plan de trabajo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89</v>
      </c>
      <c r="B15" t="inlineStr">
        <is>
          <t>Ejecución plan de capacitación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90</v>
      </c>
      <c r="B16" t="inlineStr">
        <is>
          <t>Ejecución de Simulacros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91</v>
      </c>
      <c r="B17" t="inlineStr">
        <is>
          <t>Participación en capacitaciones SST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92</v>
      </c>
      <c r="B18" t="inlineStr">
        <is>
          <t>Evaluación condiciones de salud (examen médico)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94</v>
      </c>
      <c r="B19" t="inlineStr">
        <is>
          <t>Cobertura Elementos de Protección Personal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Anual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Cierre</t>
        </is>
      </c>
      <c r="K19" t="inlineStr"/>
      <c r="L19" t="inlineStr">
        <is>
          <t>%</t>
        </is>
      </c>
    </row>
    <row r="20">
      <c r="A20" t="n">
        <v>95</v>
      </c>
      <c r="B20" t="inlineStr">
        <is>
          <t>Inspecciones de seguridad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Serie Unica</t>
        </is>
      </c>
      <c r="H20" t="inlineStr">
        <is>
          <t>Activo</t>
        </is>
      </c>
      <c r="I20" t="inlineStr">
        <is>
          <t>API</t>
        </is>
      </c>
      <c r="J20" t="inlineStr">
        <is>
          <t>Promedio</t>
        </is>
      </c>
      <c r="K20" t="inlineStr"/>
      <c r="L20" t="inlineStr">
        <is>
          <t>%</t>
        </is>
      </c>
    </row>
    <row r="21">
      <c r="A21" t="n">
        <v>96</v>
      </c>
      <c r="B21" t="inlineStr">
        <is>
          <t>Inducción Institucional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/>
      <c r="H21" t="inlineStr">
        <is>
          <t>Historico</t>
        </is>
      </c>
      <c r="I21" t="inlineStr">
        <is>
          <t>Historico</t>
        </is>
      </c>
      <c r="J21" t="inlineStr">
        <is>
          <t>Cierre</t>
        </is>
      </c>
      <c r="K21" t="inlineStr"/>
      <c r="L21" t="inlineStr">
        <is>
          <t>ENT</t>
        </is>
      </c>
    </row>
    <row r="22">
      <c r="A22" t="n">
        <v>100</v>
      </c>
      <c r="B22" t="inlineStr">
        <is>
          <t>Cumplimiento de requisitos legales SST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Positivo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%</t>
        </is>
      </c>
    </row>
    <row r="23">
      <c r="A23" t="n">
        <v>104</v>
      </c>
      <c r="B23" t="inlineStr">
        <is>
          <t>Tasa de accidentalidad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106</v>
      </c>
      <c r="B24" t="inlineStr">
        <is>
          <t>Mortalidad de los accidentes laborales</t>
        </is>
      </c>
      <c r="C24" t="inlineStr">
        <is>
          <t>Operativo</t>
        </is>
      </c>
      <c r="D24" t="inlineStr">
        <is>
          <t>GESTIÓN DE SEGURIDAD Y SALUD EN EL TRABAJO</t>
        </is>
      </c>
      <c r="E24" t="inlineStr">
        <is>
          <t>Anual</t>
        </is>
      </c>
      <c r="F24" t="inlineStr">
        <is>
          <t>Negativo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DEC</t>
        </is>
      </c>
    </row>
    <row r="25">
      <c r="A25" t="n">
        <v>109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Comunicaciones Internas</t>
        </is>
      </c>
      <c r="E25" t="inlineStr">
        <is>
          <t>Anual</t>
        </is>
      </c>
      <c r="F25" t="inlineStr">
        <is>
          <t>Positivo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110</v>
      </c>
      <c r="B26" t="inlineStr">
        <is>
          <t>Nivel de Satisfacción Servicios Prestados</t>
        </is>
      </c>
      <c r="C26" t="inlineStr">
        <is>
          <t>Estratégico</t>
        </is>
      </c>
      <c r="D26" t="inlineStr">
        <is>
          <t>GESTIÓN FINANCIERA</t>
        </is>
      </c>
      <c r="E26" t="inlineStr">
        <is>
          <t>Anual</t>
        </is>
      </c>
      <c r="F26" t="inlineStr">
        <is>
          <t>Positivo</t>
        </is>
      </c>
      <c r="G26" t="inlineStr"/>
      <c r="H26" t="inlineStr">
        <is>
          <t>Historico</t>
        </is>
      </c>
      <c r="I26" t="inlineStr">
        <is>
          <t>Historico</t>
        </is>
      </c>
      <c r="J26" t="inlineStr">
        <is>
          <t>Cierre</t>
        </is>
      </c>
      <c r="K26" t="inlineStr"/>
      <c r="L26" t="inlineStr">
        <is>
          <t>%</t>
        </is>
      </c>
    </row>
    <row r="27">
      <c r="A27" t="n">
        <v>111</v>
      </c>
      <c r="B27" t="inlineStr">
        <is>
          <t>Nivel de Satisfacción Servicios Prestados</t>
        </is>
      </c>
      <c r="C27" t="inlineStr">
        <is>
          <t>Operativo</t>
        </is>
      </c>
      <c r="D27" t="inlineStr">
        <is>
          <t>GESTIÓN DE ABASTECIMIENTO</t>
        </is>
      </c>
      <c r="E27" t="inlineStr">
        <is>
          <t>Trimestral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K27" t="inlineStr"/>
      <c r="L27" t="inlineStr">
        <is>
          <t>%</t>
        </is>
      </c>
    </row>
    <row r="28">
      <c r="A28" t="n">
        <v>112</v>
      </c>
      <c r="B28" t="inlineStr">
        <is>
          <t>Nivel de Satisfacción Servicios Prestados</t>
        </is>
      </c>
      <c r="C28" t="inlineStr">
        <is>
          <t>Estratégico</t>
        </is>
      </c>
      <c r="D28" t="inlineStr">
        <is>
          <t>Gestión Infraestructura Física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113</v>
      </c>
      <c r="B29" t="inlineStr">
        <is>
          <t>Nivel de Satisfacción Servicios Prestados</t>
        </is>
      </c>
      <c r="C29" t="inlineStr">
        <is>
          <t>Operativo</t>
        </is>
      </c>
      <c r="D29" t="inlineStr">
        <is>
          <t>GESTIÓN Y DESARROLLO DEL TALENTO HUMANO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114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LA TECNOLOGÍA E INNOVACIÓN DIGITAL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115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116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AUDITORÍA INTERNA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117</v>
      </c>
      <c r="B33" t="inlineStr">
        <is>
          <t>Nivel de Satisfacción Servicios Prestados</t>
        </is>
      </c>
      <c r="C33" t="inlineStr">
        <is>
          <t>Estratégico</t>
        </is>
      </c>
      <c r="D33" t="inlineStr">
        <is>
          <t>GESTIÓN AMBIENTAL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118</v>
      </c>
      <c r="B34" t="inlineStr">
        <is>
          <t>Nivel de Satisfacción del sistema de gestión de calidad</t>
        </is>
      </c>
      <c r="C34" t="inlineStr">
        <is>
          <t>Estratégico</t>
        </is>
      </c>
      <c r="D34" t="inlineStr">
        <is>
          <t>Gestión de calidad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%</t>
        </is>
      </c>
    </row>
    <row r="35">
      <c r="A35" t="n">
        <v>121</v>
      </c>
      <c r="B35" t="inlineStr">
        <is>
          <t>Ejecución presupuestal de la nómina acumulada</t>
        </is>
      </c>
      <c r="C35" t="inlineStr">
        <is>
          <t>Operativo</t>
        </is>
      </c>
      <c r="D35" t="inlineStr">
        <is>
          <t>GESTIÓN Y DESARROLLO DEL TALENTO HUMANO</t>
        </is>
      </c>
      <c r="E35" t="inlineStr">
        <is>
          <t>Mensual</t>
        </is>
      </c>
      <c r="F35" t="inlineStr">
        <is>
          <t>Negativo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K35" t="inlineStr"/>
      <c r="L35" t="inlineStr">
        <is>
          <t>$</t>
        </is>
      </c>
    </row>
    <row r="36">
      <c r="A36" t="n">
        <v>122</v>
      </c>
      <c r="B36" t="inlineStr">
        <is>
          <t>Eficacia en la solicitud documental- por periodo</t>
        </is>
      </c>
      <c r="C36" t="inlineStr">
        <is>
          <t>Operativo</t>
        </is>
      </c>
      <c r="D36" t="inlineStr">
        <is>
          <t>Gestión de calidad</t>
        </is>
      </c>
      <c r="E36" t="inlineStr">
        <is>
          <t>Mensual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%</t>
        </is>
      </c>
    </row>
    <row r="37">
      <c r="A37" t="n">
        <v>124</v>
      </c>
      <c r="B37" t="inlineStr">
        <is>
          <t>Indice de Frecuencia de accidentalidad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125</v>
      </c>
      <c r="B38" t="inlineStr">
        <is>
          <t>Indice de severidad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Mensual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Promedio</t>
        </is>
      </c>
      <c r="K38" t="inlineStr"/>
      <c r="L38" t="inlineStr">
        <is>
          <t>DEC</t>
        </is>
      </c>
    </row>
    <row r="39">
      <c r="A39" t="n">
        <v>126</v>
      </c>
      <c r="B39" t="inlineStr">
        <is>
          <t>Indice de Prevalencia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127</v>
      </c>
      <c r="B40" t="inlineStr">
        <is>
          <t>Indice de Incidencia EL Enfermedad laboral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Anual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Cierre</t>
        </is>
      </c>
      <c r="K40" t="inlineStr"/>
      <c r="L40" t="inlineStr">
        <is>
          <t>DEC</t>
        </is>
      </c>
    </row>
    <row r="41">
      <c r="A41" t="n">
        <v>128</v>
      </c>
      <c r="B41" t="inlineStr">
        <is>
          <t>Ausentísmo por causa médica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Mensual</t>
        </is>
      </c>
      <c r="F41" t="inlineStr">
        <is>
          <t>Negativo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Promedio</t>
        </is>
      </c>
      <c r="K41" t="inlineStr"/>
      <c r="L41" t="inlineStr">
        <is>
          <t>DEC</t>
        </is>
      </c>
    </row>
    <row r="42">
      <c r="A42" t="n">
        <v>133</v>
      </c>
      <c r="B42" t="inlineStr">
        <is>
          <t>Nivel de Satisfacción Servicios Prestados</t>
        </is>
      </c>
      <c r="C42" t="inlineStr">
        <is>
          <t>Estratégico</t>
        </is>
      </c>
      <c r="D42" t="inlineStr">
        <is>
          <t>VISIBILIDAD NACIONAL E INTERNACIONAL</t>
        </is>
      </c>
      <c r="E42" t="inlineStr">
        <is>
          <t>Anual</t>
        </is>
      </c>
      <c r="F42" t="inlineStr">
        <is>
          <t>Positivo</t>
        </is>
      </c>
      <c r="G42" t="inlineStr">
        <is>
          <t>Serie Unica</t>
        </is>
      </c>
      <c r="H42" t="inlineStr">
        <is>
          <t>Activo</t>
        </is>
      </c>
      <c r="I42" t="inlineStr">
        <is>
          <t>API</t>
        </is>
      </c>
      <c r="J42" t="inlineStr">
        <is>
          <t>Cierre</t>
        </is>
      </c>
      <c r="K42" t="inlineStr"/>
      <c r="L42" t="inlineStr">
        <is>
          <t>%</t>
        </is>
      </c>
    </row>
    <row r="43">
      <c r="A43" t="n">
        <v>136</v>
      </c>
      <c r="B43" t="inlineStr">
        <is>
          <t>Ejecución de actividades culturales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Semestral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%</t>
        </is>
      </c>
    </row>
    <row r="44">
      <c r="A44" t="n">
        <v>137</v>
      </c>
      <c r="B44" t="inlineStr">
        <is>
          <t>Ejecución de Talleres de formación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Trimestral</t>
        </is>
      </c>
      <c r="F44" t="inlineStr">
        <is>
          <t>Positivo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Promedio</t>
        </is>
      </c>
      <c r="K44" t="inlineStr"/>
      <c r="L44" t="inlineStr">
        <is>
          <t>ENT</t>
        </is>
      </c>
    </row>
    <row r="45">
      <c r="A45" t="n">
        <v>139</v>
      </c>
      <c r="B45" t="inlineStr">
        <is>
          <t>Ejecución presupuestal del gasto</t>
        </is>
      </c>
      <c r="C45" t="inlineStr">
        <is>
          <t>Operativo</t>
        </is>
      </c>
      <c r="D45" t="inlineStr">
        <is>
          <t>Biblioteca Institucional</t>
        </is>
      </c>
      <c r="E45" t="inlineStr">
        <is>
          <t>Mensual</t>
        </is>
      </c>
      <c r="F45" t="inlineStr">
        <is>
          <t>Negativo</t>
        </is>
      </c>
      <c r="G45" t="inlineStr"/>
      <c r="H45" t="inlineStr">
        <is>
          <t>Historico</t>
        </is>
      </c>
      <c r="I45" t="inlineStr">
        <is>
          <t>Historico</t>
        </is>
      </c>
      <c r="J45" t="inlineStr">
        <is>
          <t>Cierre</t>
        </is>
      </c>
      <c r="K45" t="inlineStr"/>
      <c r="L45" t="inlineStr">
        <is>
          <t>$</t>
        </is>
      </c>
    </row>
    <row r="46">
      <c r="A46" t="n">
        <v>143</v>
      </c>
      <c r="B46" t="inlineStr">
        <is>
          <t>Proyectos de investigación e innovación- Metrica</t>
        </is>
      </c>
      <c r="C46" t="inlineStr">
        <is>
          <t>Operativo</t>
        </is>
      </c>
      <c r="D46" t="inlineStr">
        <is>
          <t>Investigación, desarrollo tecnológico, innovación y creación</t>
        </is>
      </c>
      <c r="E46" t="inlineStr">
        <is>
          <t>Semestral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Promedio</t>
        </is>
      </c>
      <c r="K46" t="inlineStr"/>
      <c r="L46" t="inlineStr">
        <is>
          <t>ENT</t>
        </is>
      </c>
    </row>
    <row r="47">
      <c r="A47" t="n">
        <v>144</v>
      </c>
      <c r="B47" t="inlineStr">
        <is>
          <t>Productos de investigación</t>
        </is>
      </c>
      <c r="C47" t="inlineStr">
        <is>
          <t>Estratégico</t>
        </is>
      </c>
      <c r="D47" t="inlineStr">
        <is>
          <t>Investigación, desarrollo tecnológico, innovación y creación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Cierre</t>
        </is>
      </c>
      <c r="K47" t="inlineStr"/>
      <c r="L47" t="inlineStr">
        <is>
          <t>DEC</t>
        </is>
      </c>
    </row>
    <row r="48">
      <c r="A48" t="n">
        <v>145</v>
      </c>
      <c r="B48" t="inlineStr">
        <is>
          <t>Semilleros de Investigación, Innovación y Creación</t>
        </is>
      </c>
      <c r="C48" t="inlineStr">
        <is>
          <t>Estratégico</t>
        </is>
      </c>
      <c r="D48" t="inlineStr">
        <is>
          <t>Formación para la investigación, creación e innovación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146</v>
      </c>
      <c r="B49" t="inlineStr">
        <is>
          <t>Docentes vinculados a investigación</t>
        </is>
      </c>
      <c r="C49" t="inlineStr">
        <is>
          <t>Estratégico</t>
        </is>
      </c>
      <c r="D49" t="inlineStr">
        <is>
          <t>Investigación, desarrollo tecnológico, innovación y creación</t>
        </is>
      </c>
      <c r="E49" t="inlineStr">
        <is>
          <t>Semestral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Promedio</t>
        </is>
      </c>
      <c r="K49" t="inlineStr"/>
      <c r="L49" t="inlineStr">
        <is>
          <t>ENT</t>
        </is>
      </c>
    </row>
    <row r="50">
      <c r="A50" t="n">
        <v>147</v>
      </c>
      <c r="B50" t="inlineStr">
        <is>
          <t>Grupos de investigación categorizados</t>
        </is>
      </c>
      <c r="C50" t="inlineStr">
        <is>
          <t>Operativo</t>
        </is>
      </c>
      <c r="D50" t="inlineStr">
        <is>
          <t>Investigación, desarrollo tecnológico, innovación y creación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Cierre</t>
        </is>
      </c>
      <c r="K50" t="inlineStr"/>
      <c r="L50" t="inlineStr">
        <is>
          <t>ENT</t>
        </is>
      </c>
    </row>
    <row r="51">
      <c r="A51" t="n">
        <v>148</v>
      </c>
      <c r="B51" t="inlineStr">
        <is>
          <t>Estudiantes vinculados a investigación</t>
        </is>
      </c>
      <c r="C51" t="inlineStr">
        <is>
          <t>Estratégico</t>
        </is>
      </c>
      <c r="D51" t="inlineStr">
        <is>
          <t>Formación para la investigación, creación e innovación</t>
        </is>
      </c>
      <c r="E51" t="inlineStr">
        <is>
          <t>Semestral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Promedio</t>
        </is>
      </c>
      <c r="K51" t="inlineStr"/>
      <c r="L51" t="inlineStr">
        <is>
          <t>%</t>
        </is>
      </c>
    </row>
    <row r="52">
      <c r="A52" t="n">
        <v>150</v>
      </c>
      <c r="B52" t="inlineStr">
        <is>
          <t>Nivel de Satisfacción Servicios Prestados- Investigación, desarrollo tecnológico, innovación y creación</t>
        </is>
      </c>
      <c r="C52" t="inlineStr">
        <is>
          <t>Estratégico</t>
        </is>
      </c>
      <c r="D52" t="inlineStr">
        <is>
          <t>Investigación, desarrollo tecnológico, innovación y creación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151</v>
      </c>
      <c r="B53" t="inlineStr">
        <is>
          <t>Nivel de Satisfacción Servicios Prestados</t>
        </is>
      </c>
      <c r="C53" t="inlineStr">
        <is>
          <t>Estratégico</t>
        </is>
      </c>
      <c r="D53" t="inlineStr">
        <is>
          <t>Biblioteca Institucional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Unica</t>
        </is>
      </c>
      <c r="H53" t="inlineStr">
        <is>
          <t>Activo</t>
        </is>
      </c>
      <c r="I53" t="inlineStr">
        <is>
          <t>API</t>
        </is>
      </c>
      <c r="J53" t="inlineStr">
        <is>
          <t>Cierre</t>
        </is>
      </c>
      <c r="K53" t="inlineStr"/>
      <c r="L53" t="inlineStr">
        <is>
          <t>%</t>
        </is>
      </c>
    </row>
    <row r="54">
      <c r="A54" t="n">
        <v>157</v>
      </c>
      <c r="B54" t="inlineStr">
        <is>
          <t>Indexación de bases de datos o SIRES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Anual</t>
        </is>
      </c>
      <c r="F54" t="inlineStr">
        <is>
          <t>Positivo</t>
        </is>
      </c>
      <c r="G54" t="inlineStr"/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K54" t="inlineStr"/>
      <c r="L54" t="inlineStr">
        <is>
          <t>ENT</t>
        </is>
      </c>
    </row>
    <row r="55">
      <c r="A55" t="n">
        <v>159</v>
      </c>
      <c r="B55" t="inlineStr">
        <is>
          <t>Nivel de Satisfacción Servicios Prestados</t>
        </is>
      </c>
      <c r="C55" t="inlineStr">
        <is>
          <t>Estratégico</t>
        </is>
      </c>
      <c r="D55" t="inlineStr">
        <is>
          <t>Editorial y Publicaciones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167</v>
      </c>
      <c r="B56" t="inlineStr">
        <is>
          <t>Satisfacción actividades plan de bienestar</t>
        </is>
      </c>
      <c r="C56" t="inlineStr">
        <is>
          <t>Operativo</t>
        </is>
      </c>
      <c r="D56" t="inlineStr">
        <is>
          <t>GESTIÓN Y DESARROLLO DEL TALENTO HUMANO</t>
        </is>
      </c>
      <c r="E56" t="inlineStr">
        <is>
          <t>Semestral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172</v>
      </c>
      <c r="B57" t="inlineStr">
        <is>
          <t>Cumplimiento plan operativo del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Mensual</t>
        </is>
      </c>
      <c r="F57" t="inlineStr">
        <is>
          <t>Positivo</t>
        </is>
      </c>
      <c r="G57" t="inlineStr">
        <is>
          <t>Serie Unica</t>
        </is>
      </c>
      <c r="H57" t="inlineStr">
        <is>
          <t>Activo</t>
        </is>
      </c>
      <c r="I57" t="inlineStr">
        <is>
          <t>API</t>
        </is>
      </c>
      <c r="J57" t="inlineStr">
        <is>
          <t>Promedio</t>
        </is>
      </c>
      <c r="K57" t="inlineStr"/>
      <c r="L57" t="inlineStr">
        <is>
          <t>%</t>
        </is>
      </c>
    </row>
    <row r="58">
      <c r="A58" t="n">
        <v>174</v>
      </c>
      <c r="B58" t="inlineStr">
        <is>
          <t>Cumplimiento Plan de Formación SGC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Semestral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K58" t="inlineStr"/>
      <c r="L58" t="inlineStr">
        <is>
          <t>%</t>
        </is>
      </c>
    </row>
    <row r="59">
      <c r="A59" t="n">
        <v>176</v>
      </c>
      <c r="B59" t="inlineStr">
        <is>
          <t>Cumplimiento Planes de Mejora</t>
        </is>
      </c>
      <c r="C59" t="inlineStr">
        <is>
          <t>Operativo</t>
        </is>
      </c>
      <c r="D59" t="inlineStr">
        <is>
          <t>Gestión de calidad</t>
        </is>
      </c>
      <c r="E59" t="inlineStr">
        <is>
          <t>Mensual</t>
        </is>
      </c>
      <c r="F59" t="inlineStr">
        <is>
          <t>Positivo</t>
        </is>
      </c>
      <c r="G59" t="inlineStr"/>
      <c r="H59" t="inlineStr">
        <is>
          <t>Historico</t>
        </is>
      </c>
      <c r="I59" t="inlineStr">
        <is>
          <t>Historico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193</v>
      </c>
      <c r="B60" t="inlineStr">
        <is>
          <t>Porcentaje de Cumplimiento del Acuerdo de Nivel de Servicio (ANS)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>
        <is>
          <t>Serie Unica</t>
        </is>
      </c>
      <c r="H60" t="inlineStr">
        <is>
          <t>Activo</t>
        </is>
      </c>
      <c r="I60" t="inlineStr">
        <is>
          <t>API</t>
        </is>
      </c>
      <c r="J60" t="inlineStr">
        <is>
          <t>Promedio</t>
        </is>
      </c>
      <c r="K60" t="inlineStr"/>
      <c r="L60" t="inlineStr">
        <is>
          <t>%</t>
        </is>
      </c>
    </row>
    <row r="61">
      <c r="A61" t="n">
        <v>194</v>
      </c>
      <c r="B61" t="inlineStr">
        <is>
          <t>Índice de satisfacción del estudiante (SSI)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K61" t="inlineStr"/>
      <c r="L61" t="inlineStr">
        <is>
          <t>%</t>
        </is>
      </c>
    </row>
    <row r="62">
      <c r="A62" t="n">
        <v>195</v>
      </c>
      <c r="B62" t="inlineStr">
        <is>
          <t>NPS- Net Promotor Score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Positivo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Promedio</t>
        </is>
      </c>
      <c r="K62" t="inlineStr"/>
      <c r="L62" t="inlineStr">
        <is>
          <t>ENT</t>
        </is>
      </c>
    </row>
    <row r="63">
      <c r="A63" t="n">
        <v>196</v>
      </c>
      <c r="B63" t="inlineStr">
        <is>
          <t>(% de solicitudes procesos Pareto)</t>
        </is>
      </c>
      <c r="C63" t="inlineStr">
        <is>
          <t>Estratégico</t>
        </is>
      </c>
      <c r="D63" t="inlineStr">
        <is>
          <t>Servicio</t>
        </is>
      </c>
      <c r="E63" t="inlineStr">
        <is>
          <t>Semestral</t>
        </is>
      </c>
      <c r="F63" t="inlineStr">
        <is>
          <t>Negativo</t>
        </is>
      </c>
      <c r="G63" t="inlineStr"/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K63" t="inlineStr"/>
      <c r="L63" t="inlineStr">
        <is>
          <t>%</t>
        </is>
      </c>
    </row>
    <row r="64">
      <c r="A64" t="n">
        <v>197</v>
      </c>
      <c r="B64" t="inlineStr">
        <is>
          <t>Cumplimiento cronograma Mantenimiento de Equipos</t>
        </is>
      </c>
      <c r="C64" t="inlineStr">
        <is>
          <t>Estratégico</t>
        </is>
      </c>
      <c r="D64" t="inlineStr">
        <is>
          <t>Gestión Infraestructura Física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199</v>
      </c>
      <c r="B65" t="inlineStr">
        <is>
          <t>Nivel de cumplimiento de eficacia las capacitaciones</t>
        </is>
      </c>
      <c r="C65" t="inlineStr">
        <is>
          <t>Operativo</t>
        </is>
      </c>
      <c r="D65" t="inlineStr">
        <is>
          <t>GESTIÓN Y DESARROLLO DEL TALENTO HUMANO</t>
        </is>
      </c>
      <c r="E65" t="inlineStr">
        <is>
          <t>Semestral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Promedio</t>
        </is>
      </c>
      <c r="K65" t="inlineStr"/>
      <c r="L65" t="inlineStr">
        <is>
          <t>%</t>
        </is>
      </c>
    </row>
    <row r="66">
      <c r="A66" t="n">
        <v>200</v>
      </c>
      <c r="B66" t="inlineStr">
        <is>
          <t>Nivel de efectividad de las capacitaciones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%</t>
        </is>
      </c>
    </row>
    <row r="67">
      <c r="A67" t="n">
        <v>202</v>
      </c>
      <c r="B67" t="inlineStr">
        <is>
          <t>Great Place to Work</t>
        </is>
      </c>
      <c r="C67" t="inlineStr">
        <is>
          <t>Estratégico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DEC</t>
        </is>
      </c>
    </row>
    <row r="68">
      <c r="A68" t="n">
        <v>203</v>
      </c>
      <c r="B68" t="inlineStr">
        <is>
          <t>Cumplimiento de Ingresos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Multiserie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204</v>
      </c>
      <c r="B69" t="inlineStr">
        <is>
          <t>Caja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205</v>
      </c>
      <c r="B70" t="inlineStr">
        <is>
          <t>Utilidad Neta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Semestral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$</t>
        </is>
      </c>
    </row>
    <row r="71">
      <c r="A71" t="n">
        <v>206</v>
      </c>
      <c r="B71" t="inlineStr">
        <is>
          <t>Inversión en CAPEX de la utilidad anterior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%</t>
        </is>
      </c>
    </row>
    <row r="72">
      <c r="A72" t="n">
        <v>207</v>
      </c>
      <c r="B72" t="inlineStr">
        <is>
          <t>Nivel de Cumplimiento Opex</t>
        </is>
      </c>
      <c r="C72" t="inlineStr">
        <is>
          <t>Estratégico</t>
        </is>
      </c>
      <c r="D72" t="inlineStr">
        <is>
          <t>Planeación Financiera</t>
        </is>
      </c>
      <c r="E72" t="inlineStr">
        <is>
          <t>Semestral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K72" t="inlineStr"/>
      <c r="L72" t="inlineStr">
        <is>
          <t>$</t>
        </is>
      </c>
    </row>
    <row r="73">
      <c r="A73" t="n">
        <v>208</v>
      </c>
      <c r="B73" t="inlineStr">
        <is>
          <t>Consumo de Agua m3 Mensual</t>
        </is>
      </c>
      <c r="C73" t="inlineStr">
        <is>
          <t>Operativo</t>
        </is>
      </c>
      <c r="D73" t="inlineStr">
        <is>
          <t>GESTIÓN AMBIENTAL</t>
        </is>
      </c>
      <c r="E73" t="inlineStr">
        <is>
          <t>Mensual</t>
        </is>
      </c>
      <c r="F73" t="inlineStr">
        <is>
          <t>Negativo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K73" t="inlineStr"/>
      <c r="L73" t="inlineStr">
        <is>
          <t>m3</t>
        </is>
      </c>
    </row>
    <row r="74">
      <c r="A74" t="n">
        <v>213</v>
      </c>
      <c r="B74" t="inlineStr">
        <is>
          <t>Cumplimiento del Plan Anual del Sistema de Gestión Ambiental</t>
        </is>
      </c>
      <c r="C74" t="inlineStr">
        <is>
          <t>Estratégico</t>
        </is>
      </c>
      <c r="D74" t="inlineStr">
        <is>
          <t>GESTIÓN AMBIENTAL</t>
        </is>
      </c>
      <c r="E74" t="inlineStr">
        <is>
          <t>Trimestral</t>
        </is>
      </c>
      <c r="F74" t="inlineStr">
        <is>
          <t>Positivo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Cierre</t>
        </is>
      </c>
      <c r="K74" t="inlineStr"/>
      <c r="L74" t="inlineStr">
        <is>
          <t>%</t>
        </is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Mensual</t>
        </is>
      </c>
      <c r="F75" t="inlineStr">
        <is>
          <t>Negativo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Acumulado</t>
        </is>
      </c>
      <c r="K75" t="inlineStr"/>
      <c r="L75" t="inlineStr">
        <is>
          <t>Kg</t>
        </is>
      </c>
    </row>
    <row r="76">
      <c r="A76" t="n">
        <v>215</v>
      </c>
      <c r="B76" t="inlineStr">
        <is>
          <t>Disminución de la Generación de Residuos per Cápita</t>
        </is>
      </c>
      <c r="C76" t="inlineStr">
        <is>
          <t>Operativo</t>
        </is>
      </c>
      <c r="D76" t="inlineStr">
        <is>
          <t>GESTIÓN AMBIENTAL</t>
        </is>
      </c>
      <c r="E76" t="inlineStr">
        <is>
          <t>Semestral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216</v>
      </c>
      <c r="B77" t="inlineStr">
        <is>
          <t>Disposición Ambientalmente Adecuada de Residuos Peligrosos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Anual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Promedio</t>
        </is>
      </c>
      <c r="K77" t="inlineStr"/>
      <c r="L77" t="inlineStr">
        <is>
          <t>%</t>
        </is>
      </c>
    </row>
    <row r="78">
      <c r="A78" t="n">
        <v>217</v>
      </c>
      <c r="B78" t="inlineStr">
        <is>
          <t>Aprovechamiento de Residuos</t>
        </is>
      </c>
      <c r="C78" t="inlineStr">
        <is>
          <t>Estratégico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Positivo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%</t>
        </is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Mensual</t>
        </is>
      </c>
      <c r="F79" t="inlineStr">
        <is>
          <t>Negativo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Acumulado</t>
        </is>
      </c>
      <c r="K79" t="inlineStr"/>
      <c r="L79" t="inlineStr">
        <is>
          <t>kWh</t>
        </is>
      </c>
    </row>
    <row r="80">
      <c r="A80" t="n">
        <v>219</v>
      </c>
      <c r="B80" t="inlineStr">
        <is>
          <t>Disminución del Consumo de Energía Eléctrica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220</v>
      </c>
      <c r="B81" t="inlineStr">
        <is>
          <t>Disminución del Consumo de Agua per Cápita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221</v>
      </c>
      <c r="B82" t="inlineStr">
        <is>
          <t>Riesgo de la Calidad del Agua Potable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Promedio</t>
        </is>
      </c>
      <c r="K82" t="inlineStr"/>
      <c r="L82" t="inlineStr">
        <is>
          <t>%</t>
        </is>
      </c>
    </row>
    <row r="83">
      <c r="A83" t="n">
        <v>222</v>
      </c>
      <c r="B83" t="inlineStr">
        <is>
          <t>Calidad de las Aguas Residuales Domesticas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Acumulado</t>
        </is>
      </c>
      <c r="K83" t="inlineStr"/>
      <c r="L83" t="inlineStr">
        <is>
          <t>%</t>
        </is>
      </c>
    </row>
    <row r="84">
      <c r="A84" t="n">
        <v>223</v>
      </c>
      <c r="B84" t="inlineStr">
        <is>
          <t>Registro de Publicidad Exterior Visual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K84" t="inlineStr"/>
      <c r="L84" t="inlineStr">
        <is>
          <t>%</t>
        </is>
      </c>
    </row>
    <row r="85">
      <c r="A85" t="n">
        <v>224</v>
      </c>
      <c r="B85" t="inlineStr">
        <is>
          <t>Cumplimiento Nivel de Emisión de Ruido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Anual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Acumulado</t>
        </is>
      </c>
      <c r="K85" t="inlineStr"/>
      <c r="L85" t="inlineStr">
        <is>
          <t>%</t>
        </is>
      </c>
    </row>
    <row r="86">
      <c r="A86" t="n">
        <v>225</v>
      </c>
      <c r="B86" t="inlineStr">
        <is>
          <t>Acciones para el Cuidado y Mantenimiento de las Especies de Flora y el Suelo de las Áreas Naturales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Mensual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K86" t="inlineStr"/>
      <c r="L86" t="inlineStr">
        <is>
          <t>%</t>
        </is>
      </c>
    </row>
    <row r="87">
      <c r="A87" t="n">
        <v>226</v>
      </c>
      <c r="B87" t="inlineStr">
        <is>
          <t>Generación de Gases de Efecto Invernadero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Positivo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K87" t="inlineStr"/>
      <c r="L87" t="inlineStr">
        <is>
          <t>%</t>
        </is>
      </c>
    </row>
    <row r="88">
      <c r="A88" t="n">
        <v>227</v>
      </c>
      <c r="B88" t="inlineStr">
        <is>
          <t>Generación de  Gases de Efecto Invernadero per Cápita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Negativo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K88" t="inlineStr"/>
      <c r="L88" t="inlineStr">
        <is>
          <t>%</t>
        </is>
      </c>
    </row>
    <row r="89">
      <c r="A89" t="n">
        <v>228</v>
      </c>
      <c r="B89" t="inlineStr">
        <is>
          <t>Compensación de Gases de Efecto Invernadero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Anual</t>
        </is>
      </c>
      <c r="F89" t="inlineStr">
        <is>
          <t>Positivo</t>
        </is>
      </c>
      <c r="G89" t="inlineStr">
        <is>
          <t>Multiserie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K89" t="inlineStr"/>
      <c r="L89" t="inlineStr">
        <is>
          <t>tCO2e</t>
        </is>
      </c>
    </row>
    <row r="90">
      <c r="A90" t="n">
        <v>230</v>
      </c>
      <c r="B90" t="inlineStr">
        <is>
          <t>Ejecución de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Promedio</t>
        </is>
      </c>
      <c r="K90" t="inlineStr"/>
      <c r="L90" t="inlineStr">
        <is>
          <t>%</t>
        </is>
      </c>
    </row>
    <row r="91">
      <c r="A91" t="n">
        <v>231</v>
      </c>
      <c r="B91" t="inlineStr">
        <is>
          <t>Asistencia Eventos de Formación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232</v>
      </c>
      <c r="B92" t="inlineStr">
        <is>
          <t>Ejecución de las Comunicaciones en Materia Ambiental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Acumulado</t>
        </is>
      </c>
      <c r="K92" t="inlineStr"/>
      <c r="L92" t="inlineStr">
        <is>
          <t>%</t>
        </is>
      </c>
    </row>
    <row r="93">
      <c r="A93" t="n">
        <v>233</v>
      </c>
      <c r="B93" t="inlineStr">
        <is>
          <t>Impacto de las Comunicaciones Correo Electrónico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%</t>
        </is>
      </c>
    </row>
    <row r="94">
      <c r="A94" t="n">
        <v>234</v>
      </c>
      <c r="B94" t="inlineStr">
        <is>
          <t>Impacto de las Comunicaciones en Materia Ambiental a Través de Redes Sociales - Instagram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Trimestral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Promedio</t>
        </is>
      </c>
      <c r="K94" t="inlineStr"/>
      <c r="L94" t="inlineStr">
        <is>
          <t>ENT</t>
        </is>
      </c>
    </row>
    <row r="95">
      <c r="A95" t="n">
        <v>235</v>
      </c>
      <c r="B95" t="inlineStr">
        <is>
          <t>Cumplimiento de Requisitos Legales Ambientales Aplicables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236</v>
      </c>
      <c r="B96" t="inlineStr">
        <is>
          <t>Actos Administrativos o Decisiones Judiciales Ambientales</t>
        </is>
      </c>
      <c r="C96" t="inlineStr">
        <is>
          <t>Operativo</t>
        </is>
      </c>
      <c r="D96" t="inlineStr">
        <is>
          <t>GESTIÓN AMBIENTAL</t>
        </is>
      </c>
      <c r="E96" t="inlineStr">
        <is>
          <t>Anual</t>
        </is>
      </c>
      <c r="F96" t="inlineStr">
        <is>
          <t>Negativo</t>
        </is>
      </c>
      <c r="G96" t="inlineStr">
        <is>
          <t>Serie Unica</t>
        </is>
      </c>
      <c r="H96" t="inlineStr">
        <is>
          <t>Activo</t>
        </is>
      </c>
      <c r="I96" t="inlineStr">
        <is>
          <t>API</t>
        </is>
      </c>
      <c r="J96" t="inlineStr">
        <is>
          <t>Cierre</t>
        </is>
      </c>
      <c r="K96" t="inlineStr"/>
      <c r="L96" t="inlineStr">
        <is>
          <t>%</t>
        </is>
      </c>
    </row>
    <row r="97">
      <c r="A97" t="n">
        <v>238</v>
      </c>
      <c r="B97" t="inlineStr">
        <is>
          <t>Cumplimiento de la Protección del Medio Ambiente</t>
        </is>
      </c>
      <c r="C97" t="inlineStr">
        <is>
          <t>Estratégico</t>
        </is>
      </c>
      <c r="D97" t="inlineStr">
        <is>
          <t>GESTIÓN AMBIENTAL</t>
        </is>
      </c>
      <c r="E97" t="inlineStr">
        <is>
          <t>Trimestral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Promedio</t>
        </is>
      </c>
      <c r="K97" t="inlineStr"/>
      <c r="L97" t="inlineStr">
        <is>
          <t>%</t>
        </is>
      </c>
    </row>
    <row r="98">
      <c r="A98" t="n">
        <v>239</v>
      </c>
      <c r="B98" t="inlineStr">
        <is>
          <t>Portafolio de Proyectos - Metrica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Mensual</t>
        </is>
      </c>
      <c r="F98" t="inlineStr">
        <is>
          <t>Positivo</t>
        </is>
      </c>
      <c r="G98" t="inlineStr">
        <is>
          <t>Multiserie</t>
        </is>
      </c>
      <c r="H98" t="inlineStr">
        <is>
          <t>Activo</t>
        </is>
      </c>
      <c r="I98" t="inlineStr">
        <is>
          <t>API</t>
        </is>
      </c>
      <c r="J98" t="inlineStr">
        <is>
          <t>Cierre</t>
        </is>
      </c>
      <c r="K98" t="inlineStr"/>
      <c r="L98" t="inlineStr">
        <is>
          <t>ENT</t>
        </is>
      </c>
    </row>
    <row r="99">
      <c r="A99" t="n">
        <v>240</v>
      </c>
      <c r="B99" t="inlineStr">
        <is>
          <t>Cumplimiento de Gestión De Proyectos Cerrados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Trimestral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241</v>
      </c>
      <c r="B100" t="inlineStr">
        <is>
          <t>Cumplimiento de gestión de proyectos fase inicio</t>
        </is>
      </c>
      <c r="C100" t="inlineStr">
        <is>
          <t>Operativo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>
        <is>
          <t>Serie Unica</t>
        </is>
      </c>
      <c r="H100" t="inlineStr">
        <is>
          <t>Activo</t>
        </is>
      </c>
      <c r="I100" t="inlineStr">
        <is>
          <t>API</t>
        </is>
      </c>
      <c r="J100" t="inlineStr">
        <is>
          <t>Promedio</t>
        </is>
      </c>
      <c r="K100" t="inlineStr"/>
      <c r="L100" t="inlineStr">
        <is>
          <t>%</t>
        </is>
      </c>
    </row>
    <row r="101">
      <c r="A101" t="n">
        <v>242</v>
      </c>
      <c r="B101" t="inlineStr">
        <is>
          <t>Cumplimiento a cronograma de proyectos</t>
        </is>
      </c>
      <c r="C101" t="inlineStr">
        <is>
          <t>Estratégico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Positivo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K101" t="inlineStr"/>
      <c r="L101" t="inlineStr">
        <is>
          <t>%</t>
        </is>
      </c>
    </row>
    <row r="102">
      <c r="A102" t="n">
        <v>243</v>
      </c>
      <c r="B102" t="inlineStr">
        <is>
          <t>Cumplimiento de gestión de proyectos control de cambios</t>
        </is>
      </c>
      <c r="C102" t="inlineStr">
        <is>
          <t>Operativo</t>
        </is>
      </c>
      <c r="D102" t="inlineStr">
        <is>
          <t>Gestión de Proyectos</t>
        </is>
      </c>
      <c r="E102" t="inlineStr">
        <is>
          <t>Mensual</t>
        </is>
      </c>
      <c r="F102" t="inlineStr">
        <is>
          <t>Negativo</t>
        </is>
      </c>
      <c r="G102" t="inlineStr"/>
      <c r="H102" t="inlineStr">
        <is>
          <t>Historico</t>
        </is>
      </c>
      <c r="I102" t="inlineStr">
        <is>
          <t>Historico</t>
        </is>
      </c>
      <c r="J102" t="inlineStr">
        <is>
          <t>Promedio</t>
        </is>
      </c>
      <c r="K102" t="inlineStr"/>
      <c r="L102" t="inlineStr">
        <is>
          <t>%</t>
        </is>
      </c>
    </row>
    <row r="103">
      <c r="A103" t="n">
        <v>244</v>
      </c>
      <c r="B103" t="inlineStr">
        <is>
          <t>GreenMetric - Nacional</t>
        </is>
      </c>
      <c r="C103" t="inlineStr">
        <is>
          <t>Estratégico</t>
        </is>
      </c>
      <c r="D103" t="inlineStr">
        <is>
          <t>GESTIÓN AMBIENTAL</t>
        </is>
      </c>
      <c r="E103" t="inlineStr">
        <is>
          <t>Anual</t>
        </is>
      </c>
      <c r="F103" t="inlineStr">
        <is>
          <t>Negativo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ENT</t>
        </is>
      </c>
    </row>
    <row r="104">
      <c r="A104" t="n">
        <v>245</v>
      </c>
      <c r="B104" t="inlineStr">
        <is>
          <t>Tasa de Permanencia Intersemestral</t>
        </is>
      </c>
      <c r="C104" t="inlineStr">
        <is>
          <t>Estratégico</t>
        </is>
      </c>
      <c r="D104" t="inlineStr">
        <is>
          <t>Permanencia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246</v>
      </c>
      <c r="B105" t="inlineStr">
        <is>
          <t>Satisfacción del proceso de grados presencial</t>
        </is>
      </c>
      <c r="C105" t="inlineStr">
        <is>
          <t>Estratégico</t>
        </is>
      </c>
      <c r="D105" t="inlineStr">
        <is>
          <t>Registro y Control</t>
        </is>
      </c>
      <c r="E105" t="inlineStr">
        <is>
          <t>Semestral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K105" t="inlineStr"/>
      <c r="L105" t="inlineStr">
        <is>
          <t>%</t>
        </is>
      </c>
    </row>
    <row r="106">
      <c r="A106" t="n">
        <v>247</v>
      </c>
      <c r="B106" t="inlineStr">
        <is>
          <t>Solicitud de certificados</t>
        </is>
      </c>
      <c r="C106" t="inlineStr">
        <is>
          <t>Operativo</t>
        </is>
      </c>
      <c r="D106" t="inlineStr">
        <is>
          <t>Registro y Control</t>
        </is>
      </c>
      <c r="E106" t="inlineStr">
        <is>
          <t>Mensual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Promedio</t>
        </is>
      </c>
      <c r="K106" t="inlineStr"/>
      <c r="L106" t="inlineStr">
        <is>
          <t>DEC</t>
        </is>
      </c>
    </row>
    <row r="107">
      <c r="A107" t="n">
        <v>248</v>
      </c>
      <c r="B107" t="inlineStr">
        <is>
          <t>Programas con reforzamiento curricular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249</v>
      </c>
      <c r="B108" t="inlineStr">
        <is>
          <t>Programas con matriz de resultado de aprendizaje</t>
        </is>
      </c>
      <c r="C108" t="inlineStr">
        <is>
          <t>Estratégico</t>
        </is>
      </c>
      <c r="D108" t="inlineStr">
        <is>
          <t>Gestión, Evaluación e Innovación Curricular</t>
        </is>
      </c>
      <c r="E108" t="inlineStr">
        <is>
          <t>Semestral</t>
        </is>
      </c>
      <c r="F108" t="inlineStr">
        <is>
          <t>Positivo</t>
        </is>
      </c>
      <c r="G108" t="inlineStr"/>
      <c r="H108" t="inlineStr">
        <is>
          <t>Historico</t>
        </is>
      </c>
      <c r="I108" t="inlineStr">
        <is>
          <t>Historico</t>
        </is>
      </c>
      <c r="J108" t="inlineStr">
        <is>
          <t>Acumulado</t>
        </is>
      </c>
      <c r="K108" t="inlineStr"/>
      <c r="L108" t="inlineStr">
        <is>
          <t>ENT</t>
        </is>
      </c>
    </row>
    <row r="109">
      <c r="A109" t="n">
        <v>251</v>
      </c>
      <c r="B109" t="inlineStr">
        <is>
          <t>Subprocesos Con indicadores definidos</t>
        </is>
      </c>
      <c r="C109" t="inlineStr">
        <is>
          <t>Estratégico</t>
        </is>
      </c>
      <c r="D109" t="inlineStr">
        <is>
          <t>Desempeño Institucional</t>
        </is>
      </c>
      <c r="E109" t="inlineStr">
        <is>
          <t>Trimestral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252</v>
      </c>
      <c r="B110" t="inlineStr">
        <is>
          <t>Tasa de Permanencia Intersemestral de Estudiantes Ingresantes</t>
        </is>
      </c>
      <c r="C110" t="inlineStr">
        <is>
          <t>Estratégico</t>
        </is>
      </c>
      <c r="D110" t="inlineStr">
        <is>
          <t>Permanencia</t>
        </is>
      </c>
      <c r="E110" t="inlineStr">
        <is>
          <t>Semestral</t>
        </is>
      </c>
      <c r="F110" t="inlineStr">
        <is>
          <t>Positivo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K110" t="inlineStr"/>
      <c r="L110" t="inlineStr">
        <is>
          <t>%</t>
        </is>
      </c>
    </row>
    <row r="111">
      <c r="A111" t="n">
        <v>253</v>
      </c>
      <c r="B111" t="inlineStr">
        <is>
          <t>Oportunidad en la entrega de informes de auditoria</t>
        </is>
      </c>
      <c r="C111" t="inlineStr">
        <is>
          <t>Estratégico</t>
        </is>
      </c>
      <c r="D111" t="inlineStr">
        <is>
          <t>AUDITORÍA INTERNA</t>
        </is>
      </c>
      <c r="E111" t="inlineStr">
        <is>
          <t>Bimestral</t>
        </is>
      </c>
      <c r="F111" t="inlineStr">
        <is>
          <t>Negativo</t>
        </is>
      </c>
      <c r="G111" t="inlineStr"/>
      <c r="H111" t="inlineStr">
        <is>
          <t>Historico</t>
        </is>
      </c>
      <c r="I111" t="inlineStr">
        <is>
          <t>Historico</t>
        </is>
      </c>
      <c r="J111" t="inlineStr">
        <is>
          <t>Promedio</t>
        </is>
      </c>
      <c r="K111" t="inlineStr"/>
      <c r="L111" t="inlineStr">
        <is>
          <t>Días</t>
        </is>
      </c>
    </row>
    <row r="112">
      <c r="A112" t="n">
        <v>254</v>
      </c>
      <c r="B112" t="inlineStr">
        <is>
          <t>Áreas con reportes de plan de retos</t>
        </is>
      </c>
      <c r="C112" t="inlineStr">
        <is>
          <t>Estratégico</t>
        </is>
      </c>
      <c r="D112" t="inlineStr">
        <is>
          <t>Planeación Estratégica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Serie Unica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255</v>
      </c>
      <c r="B113" t="inlineStr">
        <is>
          <t>Informe anual de índice H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Cierre</t>
        </is>
      </c>
      <c r="K113" t="inlineStr"/>
      <c r="L113" t="inlineStr">
        <is>
          <t>ENT</t>
        </is>
      </c>
    </row>
    <row r="114">
      <c r="A114" t="n">
        <v>256</v>
      </c>
      <c r="B114" t="inlineStr">
        <is>
          <t>Publicaciones editadas por la editorial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Serie Unica</t>
        </is>
      </c>
      <c r="H114" t="inlineStr">
        <is>
          <t>Activo</t>
        </is>
      </c>
      <c r="I114" t="inlineStr">
        <is>
          <t>API</t>
        </is>
      </c>
      <c r="J114" t="inlineStr">
        <is>
          <t>Acumulado</t>
        </is>
      </c>
      <c r="K114" t="inlineStr"/>
      <c r="L114" t="inlineStr">
        <is>
          <t>ENT</t>
        </is>
      </c>
    </row>
    <row r="115">
      <c r="A115" t="n">
        <v>257</v>
      </c>
      <c r="B115" t="inlineStr">
        <is>
          <t>N de publicaciones aprobadas en convocatorias</t>
        </is>
      </c>
      <c r="C115" t="inlineStr">
        <is>
          <t>Estratégico</t>
        </is>
      </c>
      <c r="D115" t="inlineStr">
        <is>
          <t>Editorial y Publicaciones</t>
        </is>
      </c>
      <c r="E115" t="inlineStr">
        <is>
          <t>Semestral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ENT</t>
        </is>
      </c>
    </row>
    <row r="116">
      <c r="A116" t="n">
        <v>259</v>
      </c>
      <c r="B116" t="inlineStr">
        <is>
          <t>Subprocesos con indicadores reportados oportunamente</t>
        </is>
      </c>
      <c r="C116" t="inlineStr">
        <is>
          <t>Operativo</t>
        </is>
      </c>
      <c r="D116" t="inlineStr">
        <is>
          <t>Desempeño Institucional</t>
        </is>
      </c>
      <c r="E116" t="inlineStr">
        <is>
          <t>Trimestral</t>
        </is>
      </c>
      <c r="F116" t="inlineStr">
        <is>
          <t>Positivo</t>
        </is>
      </c>
      <c r="G116" t="inlineStr"/>
      <c r="H116" t="inlineStr">
        <is>
          <t>Historico</t>
        </is>
      </c>
      <c r="I116" t="inlineStr">
        <is>
          <t>Historico</t>
        </is>
      </c>
      <c r="J116" t="inlineStr">
        <is>
          <t>Cierre</t>
        </is>
      </c>
      <c r="K116" t="inlineStr"/>
      <c r="L116" t="inlineStr">
        <is>
          <t>%</t>
        </is>
      </c>
    </row>
    <row r="117">
      <c r="A117" t="n">
        <v>260</v>
      </c>
      <c r="B117" t="inlineStr">
        <is>
          <t>CES- Costumer Effort Score del proceso de Rematrícula</t>
        </is>
      </c>
      <c r="C117" t="inlineStr">
        <is>
          <t>Estratégico</t>
        </is>
      </c>
      <c r="D117" t="inlineStr">
        <is>
          <t>Rematrícula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261</v>
      </c>
      <c r="B118" t="inlineStr">
        <is>
          <t>CES- Costumer Effort Score del proceso de Saber Pro</t>
        </is>
      </c>
      <c r="C118" t="inlineStr">
        <is>
          <t>Estratégico</t>
        </is>
      </c>
      <c r="D118" t="inlineStr">
        <is>
          <t>Servicio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DEC</t>
        </is>
      </c>
    </row>
    <row r="119">
      <c r="A119" t="n">
        <v>262</v>
      </c>
      <c r="B119" t="inlineStr">
        <is>
          <t>Reducción de número de sentencias condenatorias en contra del Poli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Semestral</t>
        </is>
      </c>
      <c r="F119" t="inlineStr">
        <is>
          <t>Negativo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Cierre</t>
        </is>
      </c>
      <c r="K119" t="inlineStr"/>
      <c r="L119" t="inlineStr">
        <is>
          <t>%</t>
        </is>
      </c>
    </row>
    <row r="120">
      <c r="A120" t="n">
        <v>263</v>
      </c>
      <c r="B120" t="inlineStr">
        <is>
          <t>Oportunidad de respuesta de PQRS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Trimestral</t>
        </is>
      </c>
      <c r="F120" t="inlineStr">
        <is>
          <t>Positivo</t>
        </is>
      </c>
      <c r="G120" t="inlineStr">
        <is>
          <t>Serie Unica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264</v>
      </c>
      <c r="B121" t="inlineStr">
        <is>
          <t>Eficiencia Emisión De Conceptos Jurídicos (Educación)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Semestral</t>
        </is>
      </c>
      <c r="F121" t="inlineStr">
        <is>
          <t>Positivo</t>
        </is>
      </c>
      <c r="G121" t="inlineStr"/>
      <c r="H121" t="inlineStr">
        <is>
          <t>Historico</t>
        </is>
      </c>
      <c r="I121" t="inlineStr">
        <is>
          <t>Historico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265</v>
      </c>
      <c r="B122" t="inlineStr">
        <is>
          <t>Eficiencia Emisión De Conceptos Jurídicos (Jurídicos)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266</v>
      </c>
      <c r="B123" t="inlineStr">
        <is>
          <t>Oportunidad en la elaboración de contratos</t>
        </is>
      </c>
      <c r="C123" t="inlineStr">
        <is>
          <t>Estratégico</t>
        </is>
      </c>
      <c r="D123" t="inlineStr">
        <is>
          <t>GESTIÓN JURÍDICA Y NORMATIVA</t>
        </is>
      </c>
      <c r="E123" t="inlineStr">
        <is>
          <t>Trimestral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Promedio</t>
        </is>
      </c>
      <c r="K123" t="inlineStr"/>
      <c r="L123" t="inlineStr">
        <is>
          <t>%</t>
        </is>
      </c>
    </row>
    <row r="124">
      <c r="A124" t="n">
        <v>268</v>
      </c>
      <c r="B124" t="inlineStr">
        <is>
          <t>Cantidad de usuarios - (Metrica)</t>
        </is>
      </c>
      <c r="C124" t="inlineStr">
        <is>
          <t>Estratégico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ENT</t>
        </is>
      </c>
    </row>
    <row r="125">
      <c r="A125" t="n">
        <v>269</v>
      </c>
      <c r="B125" t="inlineStr">
        <is>
          <t>N de personas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DEC</t>
        </is>
      </c>
    </row>
    <row r="126">
      <c r="A126" t="n">
        <v>270</v>
      </c>
      <c r="B126" t="inlineStr">
        <is>
          <t>N de horas promedio por evento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271</v>
      </c>
      <c r="B127" t="inlineStr">
        <is>
          <t>N de horas por solicitud - (Metrica)</t>
        </is>
      </c>
      <c r="C127" t="inlineStr">
        <is>
          <t>Operativo</t>
        </is>
      </c>
      <c r="D127" t="inlineStr">
        <is>
          <t>Centro de Medios Audiovisuales</t>
        </is>
      </c>
      <c r="E127" t="inlineStr">
        <is>
          <t>Semestral</t>
        </is>
      </c>
      <c r="F127" t="inlineStr">
        <is>
          <t>Positivo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272</v>
      </c>
      <c r="B128" t="inlineStr">
        <is>
          <t>Proporción de accidentes de trabajo mortales</t>
        </is>
      </c>
      <c r="C128" t="inlineStr">
        <is>
          <t>Estratégico</t>
        </is>
      </c>
      <c r="D128" t="inlineStr">
        <is>
          <t>GESTIÓN DE SEGURIDAD Y SALUD EN EL TRABAJO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Cierre</t>
        </is>
      </c>
      <c r="K128" t="inlineStr"/>
      <c r="L128" t="inlineStr">
        <is>
          <t>ENT</t>
        </is>
      </c>
    </row>
    <row r="129">
      <c r="A129" t="n">
        <v>273</v>
      </c>
      <c r="B129" t="inlineStr">
        <is>
          <t>Número de programas con condiciones iniciales elaboradas y analizadas institucionalmente</t>
        </is>
      </c>
      <c r="C129" t="inlineStr">
        <is>
          <t>Estratégico</t>
        </is>
      </c>
      <c r="D129" t="inlineStr">
        <is>
          <t>Autoevaluación de programas académicos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274</v>
      </c>
      <c r="B130" t="inlineStr">
        <is>
          <t>Cumplimiento total estudiantes antiguos</t>
        </is>
      </c>
      <c r="C130" t="inlineStr">
        <is>
          <t>Estratégico</t>
        </is>
      </c>
      <c r="D130" t="inlineStr">
        <is>
          <t>Rematrícula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K130" t="inlineStr"/>
      <c r="L130" t="inlineStr">
        <is>
          <t>ENT</t>
        </is>
      </c>
    </row>
    <row r="131">
      <c r="A131" t="n">
        <v>275</v>
      </c>
      <c r="B131" t="inlineStr">
        <is>
          <t>Satisfacción Institucional por grupo de interes</t>
        </is>
      </c>
      <c r="C131" t="inlineStr">
        <is>
          <t>Estratégico</t>
        </is>
      </c>
      <c r="D131" t="inlineStr">
        <is>
          <t>EXPERIENCIA INSTITUCIONAL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Multiserie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K131" t="inlineStr"/>
      <c r="L131" t="inlineStr">
        <is>
          <t>%</t>
        </is>
      </c>
    </row>
    <row r="132">
      <c r="A132" t="n">
        <v>276</v>
      </c>
      <c r="B132" t="inlineStr">
        <is>
          <t>Relación Estudiante-Docente Tiempo completo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ENT</t>
        </is>
      </c>
    </row>
    <row r="133">
      <c r="A133" t="n">
        <v>277</v>
      </c>
      <c r="B133" t="inlineStr">
        <is>
          <t>Relación estudiante docente TCE (Tiempo Completo Equivalente)</t>
        </is>
      </c>
      <c r="C133" t="inlineStr">
        <is>
          <t>Estratégico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Negativo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K133" t="inlineStr"/>
      <c r="L133" t="inlineStr">
        <is>
          <t>DEC</t>
        </is>
      </c>
    </row>
    <row r="134">
      <c r="A134" t="n">
        <v>278</v>
      </c>
      <c r="B134" t="inlineStr">
        <is>
          <t>Docentes contratados - Metrica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>
        <is>
          <t>Multiserie</t>
        </is>
      </c>
      <c r="H134" t="inlineStr">
        <is>
          <t>Activo</t>
        </is>
      </c>
      <c r="I134" t="inlineStr">
        <is>
          <t>API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279</v>
      </c>
      <c r="B135" t="inlineStr">
        <is>
          <t>Docentes tiempo completo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280</v>
      </c>
      <c r="B136" t="inlineStr">
        <is>
          <t>Docentes medio tiempo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281</v>
      </c>
      <c r="B137" t="inlineStr">
        <is>
          <t>Docentes cátedra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/>
      <c r="H137" t="inlineStr">
        <is>
          <t>Historico</t>
        </is>
      </c>
      <c r="I137" t="inlineStr">
        <is>
          <t>Historico</t>
        </is>
      </c>
      <c r="J137" t="inlineStr">
        <is>
          <t>Acumulado</t>
        </is>
      </c>
      <c r="K137" t="inlineStr"/>
      <c r="L137" t="inlineStr">
        <is>
          <t>ENT</t>
        </is>
      </c>
    </row>
    <row r="138">
      <c r="A138" t="n">
        <v>282</v>
      </c>
      <c r="B138" t="inlineStr">
        <is>
          <t>Docentes evaluados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Acumulado</t>
        </is>
      </c>
      <c r="K138" t="inlineStr"/>
      <c r="L138" t="inlineStr">
        <is>
          <t>%</t>
        </is>
      </c>
    </row>
    <row r="139">
      <c r="A139" t="n">
        <v>283</v>
      </c>
      <c r="B139" t="inlineStr">
        <is>
          <t>Resultado evaluación docente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>
        <is>
          <t>Serie Unica</t>
        </is>
      </c>
      <c r="H139" t="inlineStr">
        <is>
          <t>Activo</t>
        </is>
      </c>
      <c r="I139" t="inlineStr">
        <is>
          <t>API</t>
        </is>
      </c>
      <c r="J139" t="inlineStr">
        <is>
          <t>Cierre</t>
        </is>
      </c>
      <c r="K139" t="inlineStr"/>
      <c r="L139" t="inlineStr">
        <is>
          <t>DEC</t>
        </is>
      </c>
    </row>
    <row r="140">
      <c r="A140" t="n">
        <v>284</v>
      </c>
      <c r="B140" t="inlineStr">
        <is>
          <t>Número Horas semanales docentes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/>
      <c r="H140" t="inlineStr">
        <is>
          <t>Historico</t>
        </is>
      </c>
      <c r="I140" t="inlineStr">
        <is>
          <t>Historico</t>
        </is>
      </c>
      <c r="J140" t="inlineStr">
        <is>
          <t>Acumulado</t>
        </is>
      </c>
      <c r="K140" t="inlineStr"/>
      <c r="L140" t="inlineStr">
        <is>
          <t>ENT</t>
        </is>
      </c>
    </row>
    <row r="141">
      <c r="A141" t="n">
        <v>285</v>
      </c>
      <c r="B141" t="inlineStr">
        <is>
          <t>Docentes con plan de trabajo asignado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K141" t="inlineStr"/>
      <c r="L141" t="inlineStr">
        <is>
          <t>%</t>
        </is>
      </c>
    </row>
    <row r="142">
      <c r="A142" t="n">
        <v>286</v>
      </c>
      <c r="B142" t="inlineStr">
        <is>
          <t>Total docentes por nivel de estudios - Metrica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Multiserie</t>
        </is>
      </c>
      <c r="H142" t="inlineStr">
        <is>
          <t>Activo</t>
        </is>
      </c>
      <c r="I142" t="inlineStr">
        <is>
          <t>API</t>
        </is>
      </c>
      <c r="J142" t="inlineStr">
        <is>
          <t>Acumulado</t>
        </is>
      </c>
      <c r="K142" t="inlineStr"/>
      <c r="L142" t="inlineStr">
        <is>
          <t>ENT</t>
        </is>
      </c>
    </row>
    <row r="143">
      <c r="A143" t="n">
        <v>288</v>
      </c>
      <c r="B143" t="inlineStr">
        <is>
          <t>Número docentes escalafonados presentados en convocatoria</t>
        </is>
      </c>
      <c r="C143" t="inlineStr">
        <is>
          <t>Operativo</t>
        </is>
      </c>
      <c r="D143" t="inlineStr">
        <is>
          <t>Gestión Docente</t>
        </is>
      </c>
      <c r="E143" t="inlineStr">
        <is>
          <t>Anual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K143" t="inlineStr"/>
      <c r="L143" t="inlineStr">
        <is>
          <t>ENT</t>
        </is>
      </c>
    </row>
    <row r="144">
      <c r="A144" t="n">
        <v>289</v>
      </c>
      <c r="B144" t="inlineStr">
        <is>
          <t>Cumplimiento plan de comunicaciones SGC</t>
        </is>
      </c>
      <c r="C144" t="inlineStr">
        <is>
          <t>Operativo</t>
        </is>
      </c>
      <c r="D144" t="inlineStr">
        <is>
          <t>Gestión de calidad</t>
        </is>
      </c>
      <c r="E144" t="inlineStr">
        <is>
          <t>Trimestral</t>
        </is>
      </c>
      <c r="F144" t="inlineStr">
        <is>
          <t>Positivo</t>
        </is>
      </c>
      <c r="G144" t="inlineStr"/>
      <c r="H144" t="inlineStr">
        <is>
          <t>Historico</t>
        </is>
      </c>
      <c r="I144" t="inlineStr">
        <is>
          <t>Historico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290</v>
      </c>
      <c r="B145" t="inlineStr">
        <is>
          <t>Cierre eficaz de las oportunidades de mejora</t>
        </is>
      </c>
      <c r="C145" t="inlineStr">
        <is>
          <t>Estratégico</t>
        </is>
      </c>
      <c r="D145" t="inlineStr">
        <is>
          <t>Planificación POLISIGS</t>
        </is>
      </c>
      <c r="E145" t="inlineStr">
        <is>
          <t>Bimestral</t>
        </is>
      </c>
      <c r="F145" t="inlineStr">
        <is>
          <t>Positivo</t>
        </is>
      </c>
      <c r="G145" t="inlineStr">
        <is>
          <t>Multiserie</t>
        </is>
      </c>
      <c r="H145" t="inlineStr">
        <is>
          <t>Activo</t>
        </is>
      </c>
      <c r="I145" t="inlineStr">
        <is>
          <t>API</t>
        </is>
      </c>
      <c r="J145" t="inlineStr">
        <is>
          <t>Cierre</t>
        </is>
      </c>
      <c r="K145" t="inlineStr"/>
      <c r="L145" t="inlineStr">
        <is>
          <t>%</t>
        </is>
      </c>
    </row>
    <row r="146">
      <c r="A146" t="n">
        <v>291</v>
      </c>
      <c r="B146" t="inlineStr">
        <is>
          <t>Cumplimiento del cronograma de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/>
      <c r="H146" t="inlineStr">
        <is>
          <t>Historico</t>
        </is>
      </c>
      <c r="I146" t="inlineStr">
        <is>
          <t>Historico</t>
        </is>
      </c>
      <c r="J146" t="inlineStr">
        <is>
          <t>Promedio</t>
        </is>
      </c>
      <c r="K146" t="inlineStr"/>
      <c r="L146" t="inlineStr">
        <is>
          <t>%</t>
        </is>
      </c>
    </row>
    <row r="147">
      <c r="A147" t="n">
        <v>292</v>
      </c>
      <c r="B147" t="inlineStr">
        <is>
          <t>Participación en Actividades deportivas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Multiserie</t>
        </is>
      </c>
      <c r="H147" t="inlineStr">
        <is>
          <t>Activo</t>
        </is>
      </c>
      <c r="I147" t="inlineStr">
        <is>
          <t>API</t>
        </is>
      </c>
      <c r="J147" t="inlineStr">
        <is>
          <t>Acumulado</t>
        </is>
      </c>
      <c r="K147" t="inlineStr"/>
      <c r="L147" t="inlineStr">
        <is>
          <t>%</t>
        </is>
      </c>
    </row>
    <row r="148">
      <c r="A148" t="n">
        <v>293</v>
      </c>
      <c r="B148" t="inlineStr">
        <is>
          <t>Cumplimiento del cronograma de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/>
      <c r="H148" t="inlineStr">
        <is>
          <t>Historico</t>
        </is>
      </c>
      <c r="I148" t="inlineStr">
        <is>
          <t>Historico</t>
        </is>
      </c>
      <c r="J148" t="inlineStr">
        <is>
          <t>Promedio</t>
        </is>
      </c>
      <c r="K148" t="inlineStr"/>
      <c r="L148" t="inlineStr">
        <is>
          <t>%</t>
        </is>
      </c>
    </row>
    <row r="149">
      <c r="A149" t="n">
        <v>294</v>
      </c>
      <c r="B149" t="inlineStr">
        <is>
          <t>Participación en actividades culturales</t>
        </is>
      </c>
      <c r="C149" t="inlineStr">
        <is>
          <t>Operativo</t>
        </is>
      </c>
      <c r="D149" t="inlineStr">
        <is>
          <t>Cultura y Deporte</t>
        </is>
      </c>
      <c r="E149" t="inlineStr">
        <is>
          <t>Semestral</t>
        </is>
      </c>
      <c r="F149" t="inlineStr">
        <is>
          <t>Positivo</t>
        </is>
      </c>
      <c r="G149" t="inlineStr">
        <is>
          <t>Multiserie</t>
        </is>
      </c>
      <c r="H149" t="inlineStr">
        <is>
          <t>Activo</t>
        </is>
      </c>
      <c r="I149" t="inlineStr">
        <is>
          <t>API</t>
        </is>
      </c>
      <c r="J149" t="inlineStr">
        <is>
          <t>Acumulado</t>
        </is>
      </c>
      <c r="K149" t="inlineStr"/>
      <c r="L149" t="inlineStr">
        <is>
          <t>%</t>
        </is>
      </c>
    </row>
    <row r="150">
      <c r="A150" t="n">
        <v>295</v>
      </c>
      <c r="B150" t="inlineStr">
        <is>
          <t>Cumplimiento Del Cierre Oportuno De Oportunidades De Mejora De Auditoria</t>
        </is>
      </c>
      <c r="C150" t="inlineStr">
        <is>
          <t>Operativo</t>
        </is>
      </c>
      <c r="D150" t="inlineStr">
        <is>
          <t>AUDITORÍA INTERNA</t>
        </is>
      </c>
      <c r="E150" t="inlineStr">
        <is>
          <t>Semestral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ENT</t>
        </is>
      </c>
    </row>
    <row r="151">
      <c r="A151" t="n">
        <v>296</v>
      </c>
      <c r="B151" t="inlineStr">
        <is>
          <t>Gestión de riesgos por subprocesos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Positivo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297</v>
      </c>
      <c r="B152" t="inlineStr">
        <is>
          <t>N de riesgos operacionales intervenidos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Bimestral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Promedio</t>
        </is>
      </c>
      <c r="K152" t="inlineStr"/>
      <c r="L152" t="inlineStr">
        <is>
          <t>DEC</t>
        </is>
      </c>
    </row>
    <row r="153">
      <c r="A153" t="n">
        <v>298</v>
      </c>
      <c r="B153" t="inlineStr">
        <is>
          <t>N de riesgos materializados</t>
        </is>
      </c>
      <c r="C153" t="inlineStr">
        <is>
          <t>Operativo</t>
        </is>
      </c>
      <c r="D153" t="inlineStr">
        <is>
          <t>GESTIÓN DE RIESGOS</t>
        </is>
      </c>
      <c r="E153" t="inlineStr">
        <is>
          <t>Semestral</t>
        </is>
      </c>
      <c r="F153" t="inlineStr">
        <is>
          <t>Negativo</t>
        </is>
      </c>
      <c r="G153" t="inlineStr"/>
      <c r="H153" t="inlineStr">
        <is>
          <t>Historico</t>
        </is>
      </c>
      <c r="I153" t="inlineStr">
        <is>
          <t>Historico</t>
        </is>
      </c>
      <c r="J153" t="inlineStr">
        <is>
          <t>Acumulado</t>
        </is>
      </c>
      <c r="K153" t="inlineStr"/>
      <c r="L153" t="inlineStr">
        <is>
          <t>ENT</t>
        </is>
      </c>
    </row>
    <row r="154">
      <c r="A154" t="n">
        <v>300</v>
      </c>
      <c r="B154" t="inlineStr">
        <is>
          <t>Cumplimiento de Inspecciones de control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301</v>
      </c>
      <c r="B155" t="inlineStr">
        <is>
          <t>Cumplimiento plan de trabajo</t>
        </is>
      </c>
      <c r="C155" t="inlineStr">
        <is>
          <t>Operativo</t>
        </is>
      </c>
      <c r="D155" t="inlineStr">
        <is>
          <t>Administración de Servicios Generales</t>
        </is>
      </c>
      <c r="E155" t="inlineStr">
        <is>
          <t>Trimestral</t>
        </is>
      </c>
      <c r="F155" t="inlineStr">
        <is>
          <t>Positivo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Promedio</t>
        </is>
      </c>
      <c r="K155" t="inlineStr"/>
      <c r="L155" t="inlineStr">
        <is>
          <t>%</t>
        </is>
      </c>
    </row>
    <row r="156">
      <c r="A156" t="n">
        <v>302</v>
      </c>
      <c r="B156" t="inlineStr">
        <is>
          <t>N de solicitudes radicadas - (Metrica)</t>
        </is>
      </c>
      <c r="C156" t="inlineStr">
        <is>
          <t>Operativo</t>
        </is>
      </c>
      <c r="D156" t="inlineStr">
        <is>
          <t>Centro de Medios Audiovisuales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ENT</t>
        </is>
      </c>
    </row>
    <row r="157">
      <c r="A157" t="n">
        <v>303</v>
      </c>
      <c r="B157" t="inlineStr">
        <is>
          <t>Cumplimiento del cronograma de actividades de salud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Multiserie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%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Semestral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Acumulado</t>
        </is>
      </c>
      <c r="K158" t="inlineStr"/>
      <c r="L158" t="inlineStr">
        <is>
          <t>ENT</t>
        </is>
      </c>
    </row>
    <row r="159">
      <c r="A159" t="n">
        <v>305</v>
      </c>
      <c r="B159" t="inlineStr">
        <is>
          <t>Cumplimiento del plan anual de mantenimiento de equipos médicos</t>
        </is>
      </c>
      <c r="C159" t="inlineStr">
        <is>
          <t>Operativo</t>
        </is>
      </c>
      <c r="D159" t="inlineStr">
        <is>
          <t>Servicio de Salud</t>
        </is>
      </c>
      <c r="E159" t="inlineStr">
        <is>
          <t>Anual</t>
        </is>
      </c>
      <c r="F159" t="inlineStr">
        <is>
          <t>Positivo</t>
        </is>
      </c>
      <c r="G159" t="inlineStr"/>
      <c r="H159" t="inlineStr">
        <is>
          <t>Historico</t>
        </is>
      </c>
      <c r="I159" t="inlineStr">
        <is>
          <t>Historico</t>
        </is>
      </c>
      <c r="J159" t="inlineStr">
        <is>
          <t>Cierre</t>
        </is>
      </c>
      <c r="K159" t="inlineStr"/>
      <c r="L159" t="inlineStr">
        <is>
          <t>%</t>
        </is>
      </c>
    </row>
    <row r="160">
      <c r="A160" t="n">
        <v>306</v>
      </c>
      <c r="B160" t="inlineStr">
        <is>
          <t>Seguimiento KPI Plan de Desarrollo Institucional</t>
        </is>
      </c>
      <c r="C160" t="inlineStr">
        <is>
          <t>Estratégico</t>
        </is>
      </c>
      <c r="D160" t="inlineStr">
        <is>
          <t>Desempeño Institucional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Multiserie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K160" t="inlineStr"/>
      <c r="L160" t="inlineStr">
        <is>
          <t>%</t>
        </is>
      </c>
    </row>
    <row r="161">
      <c r="A161" t="n">
        <v>307</v>
      </c>
      <c r="B161" t="inlineStr">
        <is>
          <t>Organización de escenarios de visibilidad nacional e internacional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308</v>
      </c>
      <c r="B162" t="inlineStr">
        <is>
          <t>Movilidad Física Entrantes Profesores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309</v>
      </c>
      <c r="B163" t="inlineStr">
        <is>
          <t>Movilidad Física Profesores Salientes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310</v>
      </c>
      <c r="B164" t="inlineStr">
        <is>
          <t>Movilidad Física Entrante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311</v>
      </c>
      <c r="B165" t="inlineStr">
        <is>
          <t>Movilidad Física Saliente Estudiantes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312</v>
      </c>
      <c r="B166" t="inlineStr">
        <is>
          <t>Clases espejo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313</v>
      </c>
      <c r="B167" t="inlineStr">
        <is>
          <t>Seminarios y cursos internacionales virtuales impartidos y certificados por entidades externas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314</v>
      </c>
      <c r="B168" t="inlineStr">
        <is>
          <t>N de asignaturas COIL - (Collaborative Online International Learning)</t>
        </is>
      </c>
      <c r="C168" t="inlineStr">
        <is>
          <t>Estratégico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315</v>
      </c>
      <c r="B169" t="inlineStr">
        <is>
          <t>Num de programas con convenios de doble titulación</t>
        </is>
      </c>
      <c r="C169" t="inlineStr">
        <is>
          <t>Operativo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316</v>
      </c>
      <c r="B170" t="inlineStr">
        <is>
          <t>Asignaturas con sesiones en segundo idioma</t>
        </is>
      </c>
      <c r="C170" t="inlineStr">
        <is>
          <t>Estratégico</t>
        </is>
      </c>
      <c r="D170" t="inlineStr">
        <is>
          <t>VISIBILIDAD NACIONAL E INTERNACIONAL</t>
        </is>
      </c>
      <c r="E170" t="inlineStr">
        <is>
          <t>Semestral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Acumulado</t>
        </is>
      </c>
      <c r="K170" t="inlineStr"/>
      <c r="L170" t="inlineStr">
        <is>
          <t>ENT</t>
        </is>
      </c>
    </row>
    <row r="171">
      <c r="A171" t="n">
        <v>317</v>
      </c>
      <c r="B171" t="inlineStr">
        <is>
          <t>Plan De Internacionalización A 7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/>
      <c r="H171" t="inlineStr">
        <is>
          <t>Historico</t>
        </is>
      </c>
      <c r="I171" t="inlineStr">
        <is>
          <t>Historico</t>
        </is>
      </c>
      <c r="J171" t="inlineStr">
        <is>
          <t>Cierre</t>
        </is>
      </c>
      <c r="K171" t="inlineStr"/>
      <c r="L171" t="inlineStr">
        <is>
          <t>ENT</t>
        </is>
      </c>
    </row>
    <row r="172">
      <c r="A172" t="n">
        <v>318</v>
      </c>
      <c r="B172" t="inlineStr">
        <is>
          <t>Convenios, alianzas activas con actividades en los últimos 5 años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Anual</t>
        </is>
      </c>
      <c r="F172" t="inlineStr">
        <is>
          <t>Positivo</t>
        </is>
      </c>
      <c r="G172" t="inlineStr">
        <is>
          <t>Serie Unica</t>
        </is>
      </c>
      <c r="H172" t="inlineStr">
        <is>
          <t>Activo</t>
        </is>
      </c>
      <c r="I172" t="inlineStr">
        <is>
          <t>API</t>
        </is>
      </c>
      <c r="J172" t="inlineStr">
        <is>
          <t>Cierre</t>
        </is>
      </c>
      <c r="K172" t="inlineStr"/>
      <c r="L172" t="inlineStr">
        <is>
          <t>%</t>
        </is>
      </c>
    </row>
    <row r="173">
      <c r="A173" t="n">
        <v>319</v>
      </c>
      <c r="B173" t="inlineStr">
        <is>
          <t>Nivel de cumplimiento de la gestión de internacionalización descrito en el plan de trabajo de la ORNI</t>
        </is>
      </c>
      <c r="C173" t="inlineStr">
        <is>
          <t>Operativo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%</t>
        </is>
      </c>
    </row>
    <row r="174">
      <c r="A174" t="n">
        <v>320</v>
      </c>
      <c r="B174" t="inlineStr">
        <is>
          <t>Participación docentes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321</v>
      </c>
      <c r="B175" t="inlineStr">
        <is>
          <t>Participación estudiantes Poli en eventos académicos internacionales virtuales</t>
        </is>
      </c>
      <c r="C175" t="inlineStr">
        <is>
          <t>Estratégico</t>
        </is>
      </c>
      <c r="D175" t="inlineStr">
        <is>
          <t>VISIBILIDAD NACIONAL E INTERNACIONAL</t>
        </is>
      </c>
      <c r="E175" t="inlineStr">
        <is>
          <t>Semestral</t>
        </is>
      </c>
      <c r="F175" t="inlineStr">
        <is>
          <t>Positivo</t>
        </is>
      </c>
      <c r="G175" t="inlineStr"/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323</v>
      </c>
      <c r="B176" t="inlineStr">
        <is>
          <t>Número de renovaciones de registro calificado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324</v>
      </c>
      <c r="B177" t="inlineStr">
        <is>
          <t>Número de programas nuevos radicados en el Ministerio de Educación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325</v>
      </c>
      <c r="B178" t="inlineStr">
        <is>
          <t>Número de programas nuevos con registro calificado aprobado - Metrica</t>
        </is>
      </c>
      <c r="C178" t="inlineStr">
        <is>
          <t>Estratégico</t>
        </is>
      </c>
      <c r="D178" t="inlineStr">
        <is>
          <t>Creación, modificación y cierre de programas académicos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Acumulado</t>
        </is>
      </c>
      <c r="K178" t="inlineStr"/>
      <c r="L178" t="inlineStr">
        <is>
          <t>ENT</t>
        </is>
      </c>
    </row>
    <row r="179">
      <c r="A179" t="n">
        <v>326</v>
      </c>
      <c r="B179" t="inlineStr">
        <is>
          <t>Número de informes de autoevaluación con fines de acreditación en alta calidad radicados- Metrica</t>
        </is>
      </c>
      <c r="C179" t="inlineStr">
        <is>
          <t>Operativo</t>
        </is>
      </c>
      <c r="D179" t="inlineStr">
        <is>
          <t>Autoevaluación de programas académicos</t>
        </is>
      </c>
      <c r="E179" t="inlineStr">
        <is>
          <t>Anual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K179" t="inlineStr"/>
      <c r="L179" t="inlineStr">
        <is>
          <t>ENT</t>
        </is>
      </c>
    </row>
    <row r="180">
      <c r="A180" t="n">
        <v>327</v>
      </c>
      <c r="B180" t="inlineStr">
        <is>
          <t>Número de programas con obtención de acreditación por primera vez- Metrica</t>
        </is>
      </c>
      <c r="C180" t="inlineStr">
        <is>
          <t>Estratégico</t>
        </is>
      </c>
      <c r="D180" t="inlineStr">
        <is>
          <t>Autoevaluación de programas académicos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Unica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K180" t="inlineStr"/>
      <c r="L180" t="inlineStr">
        <is>
          <t>ENT</t>
        </is>
      </c>
    </row>
    <row r="181">
      <c r="A181" t="n">
        <v>328</v>
      </c>
      <c r="B181" t="inlineStr">
        <is>
          <t>Nivel de encuestas obtenidas en el encuentro institucional de graduados</t>
        </is>
      </c>
      <c r="C181" t="inlineStr">
        <is>
          <t>Estratégico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329</v>
      </c>
      <c r="B182" t="inlineStr">
        <is>
          <t>Participación en actividades diseñadas para graduados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ENT</t>
        </is>
      </c>
    </row>
    <row r="183">
      <c r="A183" t="n">
        <v>331</v>
      </c>
      <c r="B183" t="inlineStr">
        <is>
          <t>Nivel de empleabilidad del graduado</t>
        </is>
      </c>
      <c r="C183" t="inlineStr">
        <is>
          <t>Operativo</t>
        </is>
      </c>
      <c r="D183" t="inlineStr">
        <is>
          <t>Gestión de Graduados</t>
        </is>
      </c>
      <c r="E183" t="inlineStr">
        <is>
          <t>Anual</t>
        </is>
      </c>
      <c r="F183" t="inlineStr">
        <is>
          <t>Positivo</t>
        </is>
      </c>
      <c r="G183" t="inlineStr"/>
      <c r="H183" t="inlineStr">
        <is>
          <t>Historico</t>
        </is>
      </c>
      <c r="I183" t="inlineStr">
        <is>
          <t>Historico</t>
        </is>
      </c>
      <c r="J183" t="inlineStr">
        <is>
          <t>Cierre</t>
        </is>
      </c>
      <c r="K183" t="inlineStr"/>
      <c r="L183" t="inlineStr">
        <is>
          <t>%</t>
        </is>
      </c>
    </row>
    <row r="184">
      <c r="A184" t="n">
        <v>332</v>
      </c>
      <c r="B184" t="inlineStr">
        <is>
          <t>Índice de rotación</t>
        </is>
      </c>
      <c r="C184" t="inlineStr">
        <is>
          <t>Estratégico</t>
        </is>
      </c>
      <c r="D184" t="inlineStr">
        <is>
          <t>GESTIÓN Y DESARROLLO DEL TALENTO HUMANO</t>
        </is>
      </c>
      <c r="E184" t="inlineStr">
        <is>
          <t>Semestral</t>
        </is>
      </c>
      <c r="F184" t="inlineStr">
        <is>
          <t>Negativo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Promedio</t>
        </is>
      </c>
      <c r="K184" t="inlineStr"/>
      <c r="L184" t="inlineStr">
        <is>
          <t>DEC</t>
        </is>
      </c>
    </row>
    <row r="185">
      <c r="A185" t="n">
        <v>334</v>
      </c>
      <c r="B185" t="inlineStr">
        <is>
          <t>Resultado de la evaluación 360 (evaluación por competencias)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>
        <is>
          <t>Serie Unica</t>
        </is>
      </c>
      <c r="H185" t="inlineStr">
        <is>
          <t>Activo</t>
        </is>
      </c>
      <c r="I185" t="inlineStr">
        <is>
          <t>API</t>
        </is>
      </c>
      <c r="J185" t="inlineStr">
        <is>
          <t>Cierre</t>
        </is>
      </c>
      <c r="K185" t="inlineStr"/>
      <c r="L185" t="inlineStr">
        <is>
          <t>ENT</t>
        </is>
      </c>
    </row>
    <row r="186">
      <c r="A186" t="n">
        <v>335</v>
      </c>
      <c r="B186" t="inlineStr">
        <is>
          <t>Cumplimiento de diagnóstico necesidades de capacitación por área</t>
        </is>
      </c>
      <c r="C186" t="inlineStr">
        <is>
          <t>Operativo</t>
        </is>
      </c>
      <c r="D186" t="inlineStr">
        <is>
          <t>GESTIÓN Y DESARROLLO DEL TALENTO HUMANO</t>
        </is>
      </c>
      <c r="E186" t="inlineStr">
        <is>
          <t>Anual</t>
        </is>
      </c>
      <c r="F186" t="inlineStr">
        <is>
          <t>Positivo</t>
        </is>
      </c>
      <c r="G186" t="inlineStr"/>
      <c r="H186" t="inlineStr">
        <is>
          <t>Historico</t>
        </is>
      </c>
      <c r="I186" t="inlineStr">
        <is>
          <t>Historico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336</v>
      </c>
      <c r="B187" t="inlineStr">
        <is>
          <t>Materiales bibliográficos en formato físico con estado de perdida</t>
        </is>
      </c>
      <c r="C187" t="inlineStr">
        <is>
          <t>Operativo</t>
        </is>
      </c>
      <c r="D187" t="inlineStr">
        <is>
          <t>Biblioteca Institucional</t>
        </is>
      </c>
      <c r="E187" t="inlineStr">
        <is>
          <t>Anual</t>
        </is>
      </c>
      <c r="F187" t="inlineStr">
        <is>
          <t>Negativo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Cierre</t>
        </is>
      </c>
      <c r="K187" t="inlineStr"/>
      <c r="L187" t="inlineStr">
        <is>
          <t>%</t>
        </is>
      </c>
    </row>
    <row r="188">
      <c r="A188" t="n">
        <v>337</v>
      </c>
      <c r="B188" t="inlineStr">
        <is>
          <t>Número de programas con renovación de acreditación en alta calidad 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338</v>
      </c>
      <c r="B189" t="inlineStr">
        <is>
          <t>Número de programas con condiciones iniciales aprobadas (indicador externo)- Metrica</t>
        </is>
      </c>
      <c r="C189" t="inlineStr">
        <is>
          <t>Estratégico</t>
        </is>
      </c>
      <c r="D189" t="inlineStr">
        <is>
          <t>Autoevaluación de programas académicos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Acumulado</t>
        </is>
      </c>
      <c r="K189" t="inlineStr"/>
      <c r="L189" t="inlineStr">
        <is>
          <t>ENT</t>
        </is>
      </c>
    </row>
    <row r="190">
      <c r="A190" t="n">
        <v>339</v>
      </c>
      <c r="B190" t="inlineStr">
        <is>
          <t>Programas acreditables acreditados Sede Bogotá</t>
        </is>
      </c>
      <c r="C190" t="inlineStr">
        <is>
          <t>Estratégico</t>
        </is>
      </c>
      <c r="D190" t="inlineStr">
        <is>
          <t>Autoevaluación institucional</t>
        </is>
      </c>
      <c r="E190" t="inlineStr">
        <is>
          <t>Anual</t>
        </is>
      </c>
      <c r="F190" t="inlineStr">
        <is>
          <t>Positivo</t>
        </is>
      </c>
      <c r="G190" t="inlineStr">
        <is>
          <t>Serie Unica</t>
        </is>
      </c>
      <c r="H190" t="inlineStr">
        <is>
          <t>Activo</t>
        </is>
      </c>
      <c r="I190" t="inlineStr">
        <is>
          <t>API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340</v>
      </c>
      <c r="B191" t="inlineStr">
        <is>
          <t>Cumplimiento cronograma revisiones locativas</t>
        </is>
      </c>
      <c r="C191" t="inlineStr">
        <is>
          <t>Operativo</t>
        </is>
      </c>
      <c r="D191" t="inlineStr">
        <is>
          <t>Gestión Infraestructura Física</t>
        </is>
      </c>
      <c r="E191" t="inlineStr">
        <is>
          <t>Trimestral</t>
        </is>
      </c>
      <c r="F191" t="inlineStr">
        <is>
          <t>Positivo</t>
        </is>
      </c>
      <c r="G191" t="inlineStr"/>
      <c r="H191" t="inlineStr">
        <is>
          <t>Historico</t>
        </is>
      </c>
      <c r="I191" t="inlineStr">
        <is>
          <t>Historico</t>
        </is>
      </c>
      <c r="J191" t="inlineStr">
        <is>
          <t>Cierre</t>
        </is>
      </c>
      <c r="K191" t="inlineStr"/>
      <c r="L191" t="inlineStr">
        <is>
          <t>%</t>
        </is>
      </c>
    </row>
    <row r="192">
      <c r="A192" t="n">
        <v>341</v>
      </c>
      <c r="B192" t="inlineStr">
        <is>
          <t>Eficiencia en la reducción de costos en la gestión del abastecimiento</t>
        </is>
      </c>
      <c r="C192" t="inlineStr">
        <is>
          <t>Estratégico</t>
        </is>
      </c>
      <c r="D192" t="inlineStr">
        <is>
          <t>GESTIÓN DE ABASTECIMIENTO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Acumulado</t>
        </is>
      </c>
      <c r="K192" t="inlineStr"/>
      <c r="L192" t="inlineStr">
        <is>
          <t>$</t>
        </is>
      </c>
    </row>
    <row r="193">
      <c r="A193" t="n">
        <v>344</v>
      </c>
      <c r="B193" t="inlineStr">
        <is>
          <t>Cumplimiento del plan de Inducción institucional</t>
        </is>
      </c>
      <c r="C193" t="inlineStr">
        <is>
          <t>Estratégico</t>
        </is>
      </c>
      <c r="D193" t="inlineStr">
        <is>
          <t>GESTIÓN Y DESARROLLO DEL TALENTO HUMANO</t>
        </is>
      </c>
      <c r="E193" t="inlineStr">
        <is>
          <t>Semestral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K193" t="inlineStr"/>
      <c r="L193" t="inlineStr">
        <is>
          <t>%</t>
        </is>
      </c>
    </row>
    <row r="194">
      <c r="A194" t="n">
        <v>345</v>
      </c>
      <c r="B194" t="inlineStr">
        <is>
          <t>% de profesores impactados plan de desarrollo docente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/>
      <c r="H194" t="inlineStr">
        <is>
          <t>Historico</t>
        </is>
      </c>
      <c r="I194" t="inlineStr">
        <is>
          <t>Historico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346</v>
      </c>
      <c r="B195" t="inlineStr">
        <is>
          <t>% de profesores impactados en actividades de Bienestar</t>
        </is>
      </c>
      <c r="C195" t="inlineStr">
        <is>
          <t>Operativo</t>
        </is>
      </c>
      <c r="D195" t="inlineStr">
        <is>
          <t>GESTIÓN Y DESARROLLO DEL TALENTO HUMANO</t>
        </is>
      </c>
      <c r="E195" t="inlineStr">
        <is>
          <t>Anual</t>
        </is>
      </c>
      <c r="F195" t="inlineStr">
        <is>
          <t>Positivo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Cierre</t>
        </is>
      </c>
      <c r="K195" t="inlineStr"/>
      <c r="L195" t="inlineStr">
        <is>
          <t>%</t>
        </is>
      </c>
    </row>
    <row r="196">
      <c r="A196" t="n">
        <v>347</v>
      </c>
      <c r="B196" t="inlineStr">
        <is>
          <t>Legalizaciones y anticipos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Negativo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ENT</t>
        </is>
      </c>
    </row>
    <row r="197">
      <c r="A197" t="n">
        <v>348</v>
      </c>
      <c r="B197" t="inlineStr">
        <is>
          <t>Cuentas por pagar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Positivo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%</t>
        </is>
      </c>
    </row>
    <row r="198">
      <c r="A198" t="n">
        <v>351</v>
      </c>
      <c r="B198" t="inlineStr">
        <is>
          <t>Partidas conciliatorias de bancos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DEC</t>
        </is>
      </c>
    </row>
    <row r="199">
      <c r="A199" t="n">
        <v>352</v>
      </c>
      <c r="B199" t="inlineStr">
        <is>
          <t>Nivel de facturas generadas con error</t>
        </is>
      </c>
      <c r="C199" t="inlineStr">
        <is>
          <t>Operativo</t>
        </is>
      </c>
      <c r="D199" t="inlineStr">
        <is>
          <t>Contabilidad</t>
        </is>
      </c>
      <c r="E199" t="inlineStr">
        <is>
          <t>Trimestral</t>
        </is>
      </c>
      <c r="F199" t="inlineStr">
        <is>
          <t>Negativo</t>
        </is>
      </c>
      <c r="G199" t="inlineStr">
        <is>
          <t>Serie Unica</t>
        </is>
      </c>
      <c r="H199" t="inlineStr">
        <is>
          <t>Activo</t>
        </is>
      </c>
      <c r="I199" t="inlineStr">
        <is>
          <t>API</t>
        </is>
      </c>
      <c r="J199" t="inlineStr">
        <is>
          <t>Promedio</t>
        </is>
      </c>
      <c r="K199" t="inlineStr"/>
      <c r="L199" t="inlineStr">
        <is>
          <t>%</t>
        </is>
      </c>
    </row>
    <row r="200">
      <c r="A200" t="n">
        <v>353</v>
      </c>
      <c r="B200" t="inlineStr">
        <is>
          <t>Cobertura de tableros BI en procesos</t>
        </is>
      </c>
      <c r="C200" t="inlineStr">
        <is>
          <t>Estratégico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ENT</t>
        </is>
      </c>
    </row>
    <row r="201">
      <c r="A201" t="n">
        <v>354</v>
      </c>
      <c r="B201" t="inlineStr">
        <is>
          <t>Plan de formación en analitica</t>
        </is>
      </c>
      <c r="C201" t="inlineStr">
        <is>
          <t>Operativo</t>
        </is>
      </c>
      <c r="D201" t="inlineStr">
        <is>
          <t>DATOS Y ANALÍTICA</t>
        </is>
      </c>
      <c r="E201" t="inlineStr">
        <is>
          <t>Semestral</t>
        </is>
      </c>
      <c r="F201" t="inlineStr">
        <is>
          <t>Positivo</t>
        </is>
      </c>
      <c r="G201" t="inlineStr"/>
      <c r="H201" t="inlineStr">
        <is>
          <t>Historico</t>
        </is>
      </c>
      <c r="I201" t="inlineStr">
        <is>
          <t>Historico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355</v>
      </c>
      <c r="B202" t="inlineStr">
        <is>
          <t>Indice de liquidez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Anual</t>
        </is>
      </c>
      <c r="F202" t="inlineStr">
        <is>
          <t>Positivo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Cierre</t>
        </is>
      </c>
      <c r="K202" t="inlineStr"/>
      <c r="L202" t="inlineStr">
        <is>
          <t>DEC</t>
        </is>
      </c>
    </row>
    <row r="203">
      <c r="A203" t="n">
        <v>356</v>
      </c>
      <c r="B203" t="inlineStr">
        <is>
          <t>Indice de Endeudamiento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Negativo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Promedio</t>
        </is>
      </c>
      <c r="K203" t="inlineStr"/>
      <c r="L203" t="inlineStr">
        <is>
          <t>%</t>
        </is>
      </c>
    </row>
    <row r="204">
      <c r="A204" t="n">
        <v>357</v>
      </c>
      <c r="B204" t="inlineStr">
        <is>
          <t>Cartera - Metrica</t>
        </is>
      </c>
      <c r="C204" t="inlineStr">
        <is>
          <t>Estratégico</t>
        </is>
      </c>
      <c r="D204" t="inlineStr">
        <is>
          <t>Tesorería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Cierre</t>
        </is>
      </c>
      <c r="K204" t="inlineStr"/>
      <c r="L204" t="inlineStr">
        <is>
          <t>$</t>
        </is>
      </c>
    </row>
    <row r="205">
      <c r="A205" t="n">
        <v>358</v>
      </c>
      <c r="B205" t="inlineStr">
        <is>
          <t>Nivel de acompañamiento a estudiantes en práctica</t>
        </is>
      </c>
      <c r="C205" t="inlineStr">
        <is>
          <t>Operativo</t>
        </is>
      </c>
      <c r="D205" t="inlineStr">
        <is>
          <t>Prácticas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Promedio</t>
        </is>
      </c>
      <c r="K205" t="inlineStr"/>
      <c r="L205" t="inlineStr">
        <is>
          <t>%</t>
        </is>
      </c>
    </row>
    <row r="206">
      <c r="A206" t="n">
        <v>359</v>
      </c>
      <c r="B206" t="inlineStr">
        <is>
          <t>Satisfacción Institucional CSAT</t>
        </is>
      </c>
      <c r="C206" t="inlineStr">
        <is>
          <t>Estratégico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Unica</t>
        </is>
      </c>
      <c r="H206" t="inlineStr">
        <is>
          <t>Activo</t>
        </is>
      </c>
      <c r="I206" t="inlineStr">
        <is>
          <t>API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360</v>
      </c>
      <c r="B207" t="inlineStr">
        <is>
          <t>Cumplimiento de cronogramas</t>
        </is>
      </c>
      <c r="C207" t="inlineStr">
        <is>
          <t>Operativo</t>
        </is>
      </c>
      <c r="D207" t="inlineStr">
        <is>
          <t>EXPERIENCIA INSTITUCIONAL</t>
        </is>
      </c>
      <c r="E207" t="inlineStr">
        <is>
          <t>Semestral</t>
        </is>
      </c>
      <c r="F207" t="inlineStr">
        <is>
          <t>Positivo</t>
        </is>
      </c>
      <c r="G207" t="inlineStr"/>
      <c r="H207" t="inlineStr">
        <is>
          <t>Historico</t>
        </is>
      </c>
      <c r="I207" t="inlineStr">
        <is>
          <t>Historico</t>
        </is>
      </c>
      <c r="J207" t="inlineStr">
        <is>
          <t>Cierre</t>
        </is>
      </c>
      <c r="K207" t="inlineStr"/>
      <c r="L207" t="inlineStr">
        <is>
          <t>%</t>
        </is>
      </c>
    </row>
    <row r="208">
      <c r="A208" t="n">
        <v>361</v>
      </c>
      <c r="B208" t="inlineStr">
        <is>
          <t>Índice de Inclusión</t>
        </is>
      </c>
      <c r="C208" t="inlineStr">
        <is>
          <t>Estratégico</t>
        </is>
      </c>
      <c r="D208" t="inlineStr">
        <is>
          <t>Gestión de la Responsabilidad Social</t>
        </is>
      </c>
      <c r="E208" t="inlineStr">
        <is>
          <t>Anual</t>
        </is>
      </c>
      <c r="F208" t="inlineStr">
        <is>
          <t>Positivo</t>
        </is>
      </c>
      <c r="G208" t="inlineStr">
        <is>
          <t>Serie Unica</t>
        </is>
      </c>
      <c r="H208" t="inlineStr">
        <is>
          <t>Activo</t>
        </is>
      </c>
      <c r="I208" t="inlineStr">
        <is>
          <t>API</t>
        </is>
      </c>
      <c r="J208" t="inlineStr">
        <is>
          <t>Cierre</t>
        </is>
      </c>
      <c r="K208" t="inlineStr"/>
      <c r="L208" t="inlineStr">
        <is>
          <t>DEC</t>
        </is>
      </c>
    </row>
    <row r="209">
      <c r="A209" t="n">
        <v>362</v>
      </c>
      <c r="B209" t="inlineStr">
        <is>
          <t>Aseguramiento de matricula académica presencial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Multiserie</t>
        </is>
      </c>
      <c r="H209" t="inlineStr">
        <is>
          <t>Activo</t>
        </is>
      </c>
      <c r="I209" t="inlineStr">
        <is>
          <t>API</t>
        </is>
      </c>
      <c r="J209" t="inlineStr">
        <is>
          <t>Acumulado</t>
        </is>
      </c>
      <c r="K209" t="inlineStr"/>
      <c r="L209" t="inlineStr">
        <is>
          <t>%</t>
        </is>
      </c>
    </row>
    <row r="210">
      <c r="A210" t="n">
        <v>363</v>
      </c>
      <c r="B210" t="inlineStr">
        <is>
          <t>Seguimiento a la parametrización de aulas master y secciones de asignaturas</t>
        </is>
      </c>
      <c r="C210" t="inlineStr">
        <is>
          <t>Operativo</t>
        </is>
      </c>
      <c r="D210" t="inlineStr">
        <is>
          <t>Operaciones Académicas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Promedio</t>
        </is>
      </c>
      <c r="K210" t="inlineStr"/>
      <c r="L210" t="inlineStr">
        <is>
          <t>%</t>
        </is>
      </c>
    </row>
    <row r="211">
      <c r="A211" t="n">
        <v>364</v>
      </c>
      <c r="B211" t="inlineStr">
        <is>
          <t>Impacto de actividades de Responsabilidad y proyección</t>
        </is>
      </c>
      <c r="C211" t="inlineStr">
        <is>
          <t>Operativo</t>
        </is>
      </c>
      <c r="D211" t="inlineStr">
        <is>
          <t>Gestión de la Responsabilidad Social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Unica</t>
        </is>
      </c>
      <c r="H211" t="inlineStr">
        <is>
          <t>Activo</t>
        </is>
      </c>
      <c r="I211" t="inlineStr">
        <is>
          <t>API</t>
        </is>
      </c>
      <c r="J211" t="inlineStr">
        <is>
          <t>Acumulado</t>
        </is>
      </c>
      <c r="K211" t="inlineStr"/>
      <c r="L211" t="inlineStr">
        <is>
          <t>ENT</t>
        </is>
      </c>
    </row>
    <row r="212">
      <c r="A212" t="n">
        <v>365</v>
      </c>
      <c r="B212" t="inlineStr">
        <is>
          <t>Seguimiento de asignación docente a NRC Pregrado-Posgrado Presencial</t>
        </is>
      </c>
      <c r="C212" t="inlineStr">
        <is>
          <t>Estratégico</t>
        </is>
      </c>
      <c r="D212" t="inlineStr">
        <is>
          <t>Operaciones Académica pregrado y posgrado presencial.</t>
        </is>
      </c>
      <c r="E212" t="inlineStr">
        <is>
          <t>Semestral</t>
        </is>
      </c>
      <c r="F212" t="inlineStr">
        <is>
          <t>Positivo</t>
        </is>
      </c>
      <c r="G212" t="inlineStr"/>
      <c r="H212" t="inlineStr">
        <is>
          <t>Historico</t>
        </is>
      </c>
      <c r="I212" t="inlineStr">
        <is>
          <t>Historico</t>
        </is>
      </c>
      <c r="J212" t="inlineStr">
        <is>
          <t>Promedio</t>
        </is>
      </c>
      <c r="K212" t="inlineStr"/>
      <c r="L212" t="inlineStr">
        <is>
          <t>%</t>
        </is>
      </c>
    </row>
    <row r="213">
      <c r="A213" t="n">
        <v>366</v>
      </c>
      <c r="B213" t="inlineStr">
        <is>
          <t>Normalización de cobros pecuniarios</t>
        </is>
      </c>
      <c r="C213" t="inlineStr">
        <is>
          <t>Operativo</t>
        </is>
      </c>
      <c r="D213" t="inlineStr">
        <is>
          <t>Operaciones Académicas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ENT</t>
        </is>
      </c>
    </row>
    <row r="214">
      <c r="A214" t="n">
        <v>367</v>
      </c>
      <c r="B214" t="inlineStr">
        <is>
          <t>Estudiantes con Becas</t>
        </is>
      </c>
      <c r="C214" t="inlineStr">
        <is>
          <t>Estratégico</t>
        </is>
      </c>
      <c r="D214" t="inlineStr">
        <is>
          <t>Gestión de la Responsabilidad Social</t>
        </is>
      </c>
      <c r="E214" t="inlineStr">
        <is>
          <t>Anual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Cierre</t>
        </is>
      </c>
      <c r="K214" t="inlineStr"/>
      <c r="L214" t="inlineStr">
        <is>
          <t>%</t>
        </is>
      </c>
    </row>
    <row r="215">
      <c r="A215" t="n">
        <v>368</v>
      </c>
      <c r="B215" t="inlineStr">
        <is>
          <t>Satisfacción de los estudiantes de Educación para toda la vida</t>
        </is>
      </c>
      <c r="C215" t="inlineStr">
        <is>
          <t>Operativo</t>
        </is>
      </c>
      <c r="D215" t="inlineStr">
        <is>
          <t>Operación de nuevos negocios y CI</t>
        </is>
      </c>
      <c r="E215" t="inlineStr">
        <is>
          <t>Trimestral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Promedio</t>
        </is>
      </c>
      <c r="K215" t="inlineStr"/>
      <c r="L215" t="inlineStr">
        <is>
          <t>%</t>
        </is>
      </c>
    </row>
    <row r="216">
      <c r="A216" t="n">
        <v>369</v>
      </c>
      <c r="B216" t="inlineStr">
        <is>
          <t>Participación de POLI- voluntariados (Estudiantes- Colaboradores)</t>
        </is>
      </c>
      <c r="C216" t="inlineStr">
        <is>
          <t>Estratégico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Multiserie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K216" t="inlineStr"/>
      <c r="L216" t="inlineStr">
        <is>
          <t>ENT</t>
        </is>
      </c>
    </row>
    <row r="217">
      <c r="A217" t="n">
        <v>370</v>
      </c>
      <c r="B217" t="inlineStr">
        <is>
          <t>Oportunidades de mejora - Huella Verde</t>
        </is>
      </c>
      <c r="C217" t="inlineStr">
        <is>
          <t>Operativo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/>
      <c r="H217" t="inlineStr">
        <is>
          <t>Historico</t>
        </is>
      </c>
      <c r="I217" t="inlineStr">
        <is>
          <t>Historico</t>
        </is>
      </c>
      <c r="J217" t="inlineStr">
        <is>
          <t>Cierre</t>
        </is>
      </c>
      <c r="K217" t="inlineStr"/>
      <c r="L217" t="inlineStr">
        <is>
          <t>ENT</t>
        </is>
      </c>
    </row>
    <row r="218">
      <c r="A218" t="n">
        <v>371</v>
      </c>
      <c r="B218" t="inlineStr">
        <is>
          <t>Recaudación de fondos</t>
        </is>
      </c>
      <c r="C218" t="inlineStr">
        <is>
          <t>Estratégico</t>
        </is>
      </c>
      <c r="D218" t="inlineStr">
        <is>
          <t>Gestión de la Responsabilidad Social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Acumulado</t>
        </is>
      </c>
      <c r="K218" t="inlineStr"/>
      <c r="L218" t="inlineStr">
        <is>
          <t>$</t>
        </is>
      </c>
    </row>
    <row r="219">
      <c r="A219" t="n">
        <v>372</v>
      </c>
      <c r="B219" t="inlineStr">
        <is>
          <t>Satisfacción de los clientes corporativos Educación para toda la vida</t>
        </is>
      </c>
      <c r="C219" t="inlineStr">
        <is>
          <t>Operativo</t>
        </is>
      </c>
      <c r="D219" t="inlineStr">
        <is>
          <t>Operación de nuevos negocios y CI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373</v>
      </c>
      <c r="B220" t="inlineStr">
        <is>
          <t>Cumplimiento de planes anuales por líneas</t>
        </is>
      </c>
      <c r="C220" t="inlineStr">
        <is>
          <t>Estratégico</t>
        </is>
      </c>
      <c r="D220" t="inlineStr">
        <is>
          <t>Planeación Estratégica</t>
        </is>
      </c>
      <c r="E220" t="inlineStr">
        <is>
          <t>Trimestral</t>
        </is>
      </c>
      <c r="F220" t="inlineStr">
        <is>
          <t>Positivo</t>
        </is>
      </c>
      <c r="G220" t="inlineStr">
        <is>
          <t>Multiserie</t>
        </is>
      </c>
      <c r="H220" t="inlineStr">
        <is>
          <t>Activo</t>
        </is>
      </c>
      <c r="I220" t="inlineStr">
        <is>
          <t>API</t>
        </is>
      </c>
      <c r="J220" t="inlineStr">
        <is>
          <t>Promedio</t>
        </is>
      </c>
      <c r="K220" t="inlineStr"/>
      <c r="L220" t="inlineStr">
        <is>
          <t>%</t>
        </is>
      </c>
    </row>
    <row r="221">
      <c r="A221" t="n">
        <v>374</v>
      </c>
      <c r="B221" t="inlineStr">
        <is>
          <t>Disponibilidad de máster modalidad virtual</t>
        </is>
      </c>
      <c r="C221" t="inlineStr">
        <is>
          <t>Operativo</t>
        </is>
      </c>
      <c r="D221" t="inlineStr">
        <is>
          <t>Operaciones Académica pregrado y posgrado virtual</t>
        </is>
      </c>
      <c r="E221" t="inlineStr">
        <is>
          <t>Semestral</t>
        </is>
      </c>
      <c r="F221" t="inlineStr">
        <is>
          <t>Positivo</t>
        </is>
      </c>
      <c r="G221" t="inlineStr"/>
      <c r="H221" t="inlineStr">
        <is>
          <t>Historico</t>
        </is>
      </c>
      <c r="I221" t="inlineStr">
        <is>
          <t>Historico</t>
        </is>
      </c>
      <c r="J221" t="inlineStr">
        <is>
          <t>Promedio</t>
        </is>
      </c>
      <c r="K221" t="inlineStr"/>
      <c r="L221" t="inlineStr">
        <is>
          <t>ENT</t>
        </is>
      </c>
    </row>
    <row r="222">
      <c r="A222" t="n">
        <v>375</v>
      </c>
      <c r="B222" t="inlineStr">
        <is>
          <t>Disponibilidad de catálogo de asignaturas pregrado y posgrado presencial</t>
        </is>
      </c>
      <c r="C222" t="inlineStr">
        <is>
          <t>Operativo</t>
        </is>
      </c>
      <c r="D222" t="inlineStr">
        <is>
          <t>Operaciones Académicas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Multiserie</t>
        </is>
      </c>
      <c r="H222" t="inlineStr">
        <is>
          <t>Activo</t>
        </is>
      </c>
      <c r="I222" t="inlineStr">
        <is>
          <t>API</t>
        </is>
      </c>
      <c r="J222" t="inlineStr">
        <is>
          <t>Promedio</t>
        </is>
      </c>
      <c r="K222" t="inlineStr"/>
      <c r="L222" t="inlineStr">
        <is>
          <t>%</t>
        </is>
      </c>
    </row>
    <row r="223">
      <c r="A223" t="n">
        <v>376</v>
      </c>
      <c r="B223" t="inlineStr">
        <is>
          <t>Cumplimiento EBITDA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377</v>
      </c>
      <c r="B224" t="inlineStr">
        <is>
          <t>CAPEX</t>
        </is>
      </c>
      <c r="C224" t="inlineStr">
        <is>
          <t>Estratégico</t>
        </is>
      </c>
      <c r="D224" t="inlineStr">
        <is>
          <t>Planeación Financiera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Cierre</t>
        </is>
      </c>
      <c r="K224" t="inlineStr"/>
      <c r="L224" t="inlineStr">
        <is>
          <t>$</t>
        </is>
      </c>
    </row>
    <row r="225">
      <c r="A225" t="n">
        <v>378</v>
      </c>
      <c r="B225" t="inlineStr">
        <is>
          <t>Proyectos tecnológicos</t>
        </is>
      </c>
      <c r="C225" t="inlineStr">
        <is>
          <t>Estratégico</t>
        </is>
      </c>
      <c r="D225" t="inlineStr">
        <is>
          <t>GESTIÓN DE LA TECNOLOGÍA E INNOVACIÓN DIGITAL</t>
        </is>
      </c>
      <c r="E225" t="inlineStr">
        <is>
          <t>Mensual</t>
        </is>
      </c>
      <c r="F225" t="inlineStr">
        <is>
          <t>Positivo</t>
        </is>
      </c>
      <c r="G225" t="inlineStr"/>
      <c r="H225" t="inlineStr">
        <is>
          <t>Historico</t>
        </is>
      </c>
      <c r="I225" t="inlineStr">
        <is>
          <t>Historico</t>
        </is>
      </c>
      <c r="J225" t="inlineStr">
        <is>
          <t>Promedio</t>
        </is>
      </c>
      <c r="K225" t="inlineStr"/>
      <c r="L225" t="inlineStr">
        <is>
          <t>%</t>
        </is>
      </c>
    </row>
    <row r="226">
      <c r="A226" t="n">
        <v>379</v>
      </c>
      <c r="B226" t="inlineStr">
        <is>
          <t>Total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>
        <is>
          <t>Serie Unica</t>
        </is>
      </c>
      <c r="H226" t="inlineStr">
        <is>
          <t>Activo</t>
        </is>
      </c>
      <c r="I226" t="inlineStr">
        <is>
          <t>API</t>
        </is>
      </c>
      <c r="J226" t="inlineStr">
        <is>
          <t>Acumulado</t>
        </is>
      </c>
      <c r="K226" t="inlineStr"/>
      <c r="L226" t="inlineStr">
        <is>
          <t>ENT</t>
        </is>
      </c>
    </row>
    <row r="227">
      <c r="A227" t="n">
        <v>380</v>
      </c>
      <c r="B227" t="inlineStr">
        <is>
          <t>Ingresos de matriculas de estudiantes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/>
      <c r="H227" t="inlineStr">
        <is>
          <t>Historico</t>
        </is>
      </c>
      <c r="I227" t="inlineStr">
        <is>
          <t>Historico</t>
        </is>
      </c>
      <c r="J227" t="inlineStr">
        <is>
          <t>Acumulado</t>
        </is>
      </c>
      <c r="K227" t="inlineStr"/>
      <c r="L227" t="inlineStr">
        <is>
          <t>$</t>
        </is>
      </c>
    </row>
    <row r="228">
      <c r="A228" t="n">
        <v>381</v>
      </c>
      <c r="B228" t="inlineStr">
        <is>
          <t>Cumplimiento de matrículas pregrado presencial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382</v>
      </c>
      <c r="B229" t="inlineStr">
        <is>
          <t>Cumplimiento de matrículas pregrado virtual nuevos</t>
        </is>
      </c>
      <c r="C229" t="inlineStr">
        <is>
          <t>Estratégico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383</v>
      </c>
      <c r="B230" t="inlineStr">
        <is>
          <t>Cumplimiento de matrículas posgrado virtual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384</v>
      </c>
      <c r="B231" t="inlineStr">
        <is>
          <t>Cumplimiento de matrículas posgrado presencial nuevos</t>
        </is>
      </c>
      <c r="C231" t="inlineStr">
        <is>
          <t>Operativo</t>
        </is>
      </c>
      <c r="D231" t="inlineStr">
        <is>
          <t>Inscripción, admisión y matrícula de estudiantes nuevos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Acumulado</t>
        </is>
      </c>
      <c r="K231" t="inlineStr"/>
      <c r="L231" t="inlineStr">
        <is>
          <t>ENT</t>
        </is>
      </c>
    </row>
    <row r="232">
      <c r="A232" t="n">
        <v>385</v>
      </c>
      <c r="B232" t="inlineStr">
        <is>
          <t>Ingresos totales de educación para la vida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Cierre</t>
        </is>
      </c>
      <c r="K232" t="inlineStr"/>
      <c r="L232" t="inlineStr">
        <is>
          <t>$</t>
        </is>
      </c>
    </row>
    <row r="233">
      <c r="A233" t="n">
        <v>386</v>
      </c>
      <c r="B233" t="inlineStr">
        <is>
          <t>Cumplimiento Meta comercial Educación para toda la vida por linea</t>
        </is>
      </c>
      <c r="C233" t="inlineStr">
        <is>
          <t>Estratégico</t>
        </is>
      </c>
      <c r="D233" t="inlineStr">
        <is>
          <t>Mercadeo y venta de educación para la vida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Multiserie</t>
        </is>
      </c>
      <c r="H233" t="inlineStr">
        <is>
          <t>Activo</t>
        </is>
      </c>
      <c r="I233" t="inlineStr">
        <is>
          <t>API</t>
        </is>
      </c>
      <c r="J233" t="inlineStr">
        <is>
          <t>Acumulado</t>
        </is>
      </c>
      <c r="K233" t="inlineStr"/>
      <c r="L233" t="inlineStr">
        <is>
          <t>%</t>
        </is>
      </c>
    </row>
    <row r="234">
      <c r="A234" t="n">
        <v>387</v>
      </c>
      <c r="B234" t="inlineStr">
        <is>
          <t>Programas con reforzamiento curricular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388</v>
      </c>
      <c r="B235" t="inlineStr">
        <is>
          <t>Programas con matriz de resultados de aprendizaje por escuela</t>
        </is>
      </c>
      <c r="C235" t="inlineStr">
        <is>
          <t>Estratégico</t>
        </is>
      </c>
      <c r="D235" t="inlineStr">
        <is>
          <t>Gestión, Evaluación e Innovación Curricular</t>
        </is>
      </c>
      <c r="E235" t="inlineStr">
        <is>
          <t>Semestral</t>
        </is>
      </c>
      <c r="F235" t="inlineStr">
        <is>
          <t>Positivo</t>
        </is>
      </c>
      <c r="G235" t="inlineStr"/>
      <c r="H235" t="inlineStr">
        <is>
          <t>Historico</t>
        </is>
      </c>
      <c r="I235" t="inlineStr">
        <is>
          <t>Historico</t>
        </is>
      </c>
      <c r="J235" t="inlineStr">
        <is>
          <t>Promedio</t>
        </is>
      </c>
      <c r="K235" t="inlineStr"/>
      <c r="L235" t="inlineStr">
        <is>
          <t>ENT</t>
        </is>
      </c>
    </row>
    <row r="236">
      <c r="A236" t="n">
        <v>389</v>
      </c>
      <c r="B236" t="inlineStr">
        <is>
          <t>Permanencia por escuela</t>
        </is>
      </c>
      <c r="C236" t="inlineStr">
        <is>
          <t>Estratégico</t>
        </is>
      </c>
      <c r="D236" t="inlineStr">
        <is>
          <t>Gestión de Unidades Académicas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K236" t="inlineStr"/>
      <c r="L236" t="inlineStr">
        <is>
          <t>%</t>
        </is>
      </c>
    </row>
    <row r="237">
      <c r="A237" t="n">
        <v>390</v>
      </c>
      <c r="B237" t="inlineStr">
        <is>
          <t>Cumplimiento Plan Anual por escuela</t>
        </is>
      </c>
      <c r="C237" t="inlineStr">
        <is>
          <t>Estratégico</t>
        </is>
      </c>
      <c r="D237" t="inlineStr">
        <is>
          <t>Planeación Estratégica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Multiserie</t>
        </is>
      </c>
      <c r="H237" t="inlineStr">
        <is>
          <t>Activo</t>
        </is>
      </c>
      <c r="I237" t="inlineStr">
        <is>
          <t>API</t>
        </is>
      </c>
      <c r="J237" t="inlineStr">
        <is>
          <t>Cierre</t>
        </is>
      </c>
      <c r="K237" t="inlineStr">
        <is>
          <t>Plan de retos</t>
        </is>
      </c>
      <c r="L237" t="inlineStr">
        <is>
          <t>%</t>
        </is>
      </c>
    </row>
    <row r="238">
      <c r="A238" t="n">
        <v>391</v>
      </c>
      <c r="B238" t="inlineStr">
        <is>
          <t>Satisfacción del cliente con campañas integradas de marketing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Semestral</t>
        </is>
      </c>
      <c r="F238" t="inlineStr">
        <is>
          <t>Positivo</t>
        </is>
      </c>
      <c r="G238" t="inlineStr"/>
      <c r="H238" t="inlineStr">
        <is>
          <t>Historico</t>
        </is>
      </c>
      <c r="I238" t="inlineStr">
        <is>
          <t>Historico</t>
        </is>
      </c>
      <c r="J238" t="inlineStr">
        <is>
          <t>Promedio</t>
        </is>
      </c>
      <c r="K238" t="inlineStr"/>
      <c r="L238" t="inlineStr">
        <is>
          <t>%</t>
        </is>
      </c>
    </row>
    <row r="239">
      <c r="A239" t="n">
        <v>392</v>
      </c>
      <c r="B239" t="inlineStr">
        <is>
          <t>Ahorro institucional con base en la monetización de los servicios</t>
        </is>
      </c>
      <c r="C239" t="inlineStr">
        <is>
          <t>Estratégico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Positivo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$</t>
        </is>
      </c>
    </row>
    <row r="240">
      <c r="A240" t="n">
        <v>393</v>
      </c>
      <c r="B240" t="inlineStr">
        <is>
          <t>Disminución de los tiempos empleados en el desarrollo de las solicitudes</t>
        </is>
      </c>
      <c r="C240" t="inlineStr">
        <is>
          <t>Operativo</t>
        </is>
      </c>
      <c r="D240" t="inlineStr">
        <is>
          <t>Gestión de campañas integradas de marketing</t>
        </is>
      </c>
      <c r="E240" t="inlineStr">
        <is>
          <t>Anual</t>
        </is>
      </c>
      <c r="F240" t="inlineStr">
        <is>
          <t>Negativo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Cierre</t>
        </is>
      </c>
      <c r="K240" t="inlineStr"/>
      <c r="L240" t="inlineStr">
        <is>
          <t>DEC</t>
        </is>
      </c>
    </row>
    <row r="241">
      <c r="A241" t="n">
        <v>394</v>
      </c>
      <c r="B241" t="inlineStr">
        <is>
          <t>Publicaciones en medios de comunicación Tier 1 y Tier 2</t>
        </is>
      </c>
      <c r="C241" t="inlineStr">
        <is>
          <t>Estratégico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395</v>
      </c>
      <c r="B242" t="inlineStr">
        <is>
          <t>Publicaciones en medios de comunicación de la región Antioquia</t>
        </is>
      </c>
      <c r="C242" t="inlineStr">
        <is>
          <t>Operativo</t>
        </is>
      </c>
      <c r="D242" t="inlineStr">
        <is>
          <t>Comunicaciones Externas</t>
        </is>
      </c>
      <c r="E242" t="inlineStr">
        <is>
          <t>Trimestral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Promedio</t>
        </is>
      </c>
      <c r="K242" t="inlineStr"/>
      <c r="L242" t="inlineStr">
        <is>
          <t>ENT</t>
        </is>
      </c>
    </row>
    <row r="243">
      <c r="A243" t="n">
        <v>396</v>
      </c>
      <c r="B243" t="inlineStr">
        <is>
          <t>Publicaciones en el Campus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/>
      <c r="H243" t="inlineStr">
        <is>
          <t>Historico</t>
        </is>
      </c>
      <c r="I243" t="inlineStr">
        <is>
          <t>Historico</t>
        </is>
      </c>
      <c r="J243" t="inlineStr">
        <is>
          <t>Acumulado</t>
        </is>
      </c>
      <c r="K243" t="inlineStr"/>
      <c r="L243" t="inlineStr">
        <is>
          <t>DEC</t>
        </is>
      </c>
    </row>
    <row r="244">
      <c r="A244" t="n">
        <v>397</v>
      </c>
      <c r="B244" t="inlineStr">
        <is>
          <t>Gestión de casos del Estudio de Grabación Virtual</t>
        </is>
      </c>
      <c r="C244" t="inlineStr">
        <is>
          <t>Operativo</t>
        </is>
      </c>
      <c r="D244" t="inlineStr">
        <is>
          <t>Diseño de Contenido Virtual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Promedio</t>
        </is>
      </c>
      <c r="K244" t="inlineStr"/>
      <c r="L244" t="inlineStr">
        <is>
          <t>%</t>
        </is>
      </c>
    </row>
    <row r="245">
      <c r="A245" t="n">
        <v>398</v>
      </c>
      <c r="B245" t="inlineStr">
        <is>
          <t>Participación en actividades de desarrollo de Cultura y Formación Emprendedora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399</v>
      </c>
      <c r="B246" t="inlineStr">
        <is>
          <t>Sesiones de Acompañamiento a emprendedores en creación de empresas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400</v>
      </c>
      <c r="B247" t="inlineStr">
        <is>
          <t>Puesta en marcha de proyectos de emprendimiento</t>
        </is>
      </c>
      <c r="C247" t="inlineStr">
        <is>
          <t>Operativo</t>
        </is>
      </c>
      <c r="D247" t="inlineStr">
        <is>
          <t>Emprendimiento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401</v>
      </c>
      <c r="B248" t="inlineStr">
        <is>
          <t>Producción de nuevos MI-Books</t>
        </is>
      </c>
      <c r="C248" t="inlineStr">
        <is>
          <t>Operativo</t>
        </is>
      </c>
      <c r="D248" t="inlineStr">
        <is>
          <t>LEI</t>
        </is>
      </c>
      <c r="E248" t="inlineStr">
        <is>
          <t>Semestral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Acumulado</t>
        </is>
      </c>
      <c r="K248" t="inlineStr"/>
      <c r="L248" t="inlineStr">
        <is>
          <t>ENT</t>
        </is>
      </c>
    </row>
    <row r="249">
      <c r="A249" t="n">
        <v>402</v>
      </c>
      <c r="B249" t="inlineStr">
        <is>
          <t>Informe anual de consulta de MI-Books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Anual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Cierre</t>
        </is>
      </c>
      <c r="K249" t="inlineStr"/>
      <c r="L249" t="inlineStr">
        <is>
          <t>ENT</t>
        </is>
      </c>
    </row>
    <row r="250">
      <c r="A250" t="n">
        <v>403</v>
      </c>
      <c r="B250" t="inlineStr">
        <is>
          <t>Número de estudiantes que ha realizado la simulación (Metrica)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Acumulado</t>
        </is>
      </c>
      <c r="K250" t="inlineStr"/>
      <c r="L250" t="inlineStr">
        <is>
          <t>ENT</t>
        </is>
      </c>
    </row>
    <row r="251">
      <c r="A251" t="n">
        <v>404</v>
      </c>
      <c r="B251" t="inlineStr">
        <is>
          <t>Casos presentados y solucionados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Negativo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Promedio</t>
        </is>
      </c>
      <c r="K251" t="inlineStr"/>
      <c r="L251" t="inlineStr">
        <is>
          <t>%</t>
        </is>
      </c>
    </row>
    <row r="252">
      <c r="A252" t="n">
        <v>405</v>
      </c>
      <c r="B252" t="inlineStr">
        <is>
          <t>Proyecto de reingenieria y arquitectura de software LEI</t>
        </is>
      </c>
      <c r="C252" t="inlineStr">
        <is>
          <t>Estratégico</t>
        </is>
      </c>
      <c r="D252" t="inlineStr">
        <is>
          <t>LEI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Cierre</t>
        </is>
      </c>
      <c r="K252" t="inlineStr"/>
      <c r="L252" t="inlineStr">
        <is>
          <t>%</t>
        </is>
      </c>
    </row>
    <row r="253">
      <c r="A253" t="n">
        <v>406</v>
      </c>
      <c r="B253" t="inlineStr">
        <is>
          <t>Programas con condiciones iniciales aprobadas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407</v>
      </c>
      <c r="B254" t="inlineStr">
        <is>
          <t>Programas 1ra fase de condiciones iniciales radicadas por facultad</t>
        </is>
      </c>
      <c r="C254" t="inlineStr">
        <is>
          <t>Estratégico</t>
        </is>
      </c>
      <c r="D254" t="inlineStr">
        <is>
          <t>Autoevaluación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/>
      <c r="H254" t="inlineStr">
        <is>
          <t>Historico</t>
        </is>
      </c>
      <c r="I254" t="inlineStr">
        <is>
          <t>Historico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408</v>
      </c>
      <c r="B255" t="inlineStr">
        <is>
          <t>Programas nuevos radicados por facultad</t>
        </is>
      </c>
      <c r="C255" t="inlineStr">
        <is>
          <t>Estratégico</t>
        </is>
      </c>
      <c r="D255" t="inlineStr">
        <is>
          <t>Creación, modificación y cierre de programas académicos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ENT</t>
        </is>
      </c>
    </row>
    <row r="256">
      <c r="A256" t="n">
        <v>409</v>
      </c>
      <c r="B256" t="inlineStr">
        <is>
          <t>Oportunidad en tiempo de envios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410</v>
      </c>
      <c r="B257" t="inlineStr">
        <is>
          <t>Solicitudes de gestión documental</t>
        </is>
      </c>
      <c r="C257" t="inlineStr">
        <is>
          <t>Operativo</t>
        </is>
      </c>
      <c r="D257" t="inlineStr">
        <is>
          <t>GESTIÓN JURÍDICA Y NORMATIVA</t>
        </is>
      </c>
      <c r="E257" t="inlineStr">
        <is>
          <t>Trimestral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Acumulado</t>
        </is>
      </c>
      <c r="K257" t="inlineStr"/>
      <c r="L257" t="inlineStr">
        <is>
          <t>%</t>
        </is>
      </c>
    </row>
    <row r="258">
      <c r="A258" t="n">
        <v>411</v>
      </c>
      <c r="B258" t="inlineStr">
        <is>
          <t>Cumplimiento Planes De Relacionamiento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Semestral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Promedio</t>
        </is>
      </c>
      <c r="K258" t="inlineStr"/>
      <c r="L258" t="inlineStr">
        <is>
          <t>%</t>
        </is>
      </c>
    </row>
    <row r="259">
      <c r="A259" t="n">
        <v>412</v>
      </c>
      <c r="B259" t="inlineStr">
        <is>
          <t>Participación en eventos externos de impacto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/>
      <c r="H259" t="inlineStr">
        <is>
          <t>Historico</t>
        </is>
      </c>
      <c r="I259" t="inlineStr">
        <is>
          <t>Historico</t>
        </is>
      </c>
      <c r="J259" t="inlineStr">
        <is>
          <t>Cierre</t>
        </is>
      </c>
      <c r="K259" t="inlineStr"/>
      <c r="L259" t="inlineStr">
        <is>
          <t>%</t>
        </is>
      </c>
    </row>
    <row r="260">
      <c r="A260" t="n">
        <v>413</v>
      </c>
      <c r="B260" t="inlineStr">
        <is>
          <t>Participación del Poli como sede o patrocinador</t>
        </is>
      </c>
      <c r="C260" t="inlineStr">
        <is>
          <t>Operativo</t>
        </is>
      </c>
      <c r="D260" t="inlineStr">
        <is>
          <t>Comunicaciones Externas</t>
        </is>
      </c>
      <c r="E260" t="inlineStr">
        <is>
          <t>Anual</t>
        </is>
      </c>
      <c r="F260" t="inlineStr">
        <is>
          <t>Positivo</t>
        </is>
      </c>
      <c r="G260" t="inlineStr">
        <is>
          <t>Serie Unica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/>
      <c r="L260" t="inlineStr">
        <is>
          <t>ENT</t>
        </is>
      </c>
    </row>
    <row r="261">
      <c r="A261" t="n">
        <v>414</v>
      </c>
      <c r="B261" t="inlineStr">
        <is>
          <t>Cumplimiento Plan Anual Rectoría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ENT</t>
        </is>
      </c>
    </row>
    <row r="262">
      <c r="A262" t="n">
        <v>415</v>
      </c>
      <c r="B262" t="inlineStr">
        <is>
          <t>Cumplimiento Plan Anual Vicerrectoría del estudiante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416</v>
      </c>
      <c r="B263" t="inlineStr">
        <is>
          <t>Cumplimiento Plan Anual Vicerrectoría de crecimiento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417</v>
      </c>
      <c r="B264" t="inlineStr">
        <is>
          <t>Cumplimiento Plan Anual Vicerrectoría Financiera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418</v>
      </c>
      <c r="B265" t="inlineStr">
        <is>
          <t>Cumplimiento Plan Anual Vicerrectoría Académica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API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419</v>
      </c>
      <c r="B266" t="inlineStr">
        <is>
          <t>Cumplimiento Plan Anual Áreas sede Medellín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/>
      <c r="H266" t="inlineStr">
        <is>
          <t>Historico</t>
        </is>
      </c>
      <c r="I266" t="inlineStr">
        <is>
          <t>Historico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420</v>
      </c>
      <c r="B267" t="inlineStr">
        <is>
          <t>Cumplimiento Plan Anual Gerencia de estrategia</t>
        </is>
      </c>
      <c r="C267" t="inlineStr">
        <is>
          <t>Estratégico</t>
        </is>
      </c>
      <c r="D267" t="inlineStr">
        <is>
          <t>Planeación Estratégica</t>
        </is>
      </c>
      <c r="E267" t="inlineStr">
        <is>
          <t>Trimestral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API</t>
        </is>
      </c>
      <c r="J267" t="inlineStr">
        <is>
          <t>Cierre</t>
        </is>
      </c>
      <c r="K267" t="inlineStr">
        <is>
          <t>Plan de retos</t>
        </is>
      </c>
      <c r="L267" t="inlineStr">
        <is>
          <t>%</t>
        </is>
      </c>
    </row>
    <row r="268">
      <c r="A268" t="n">
        <v>421</v>
      </c>
      <c r="B268" t="inlineStr">
        <is>
          <t>Total Leads por canales de captación</t>
        </is>
      </c>
      <c r="C268" t="inlineStr">
        <is>
          <t>Operativo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/>
      <c r="H268" t="inlineStr">
        <is>
          <t>Historico</t>
        </is>
      </c>
      <c r="I268" t="inlineStr">
        <is>
          <t>Historico</t>
        </is>
      </c>
      <c r="J268" t="inlineStr">
        <is>
          <t>Acumulado</t>
        </is>
      </c>
      <c r="K268" t="inlineStr"/>
      <c r="L268" t="inlineStr">
        <is>
          <t>ENT</t>
        </is>
      </c>
    </row>
    <row r="269">
      <c r="A269" t="n">
        <v>422</v>
      </c>
      <c r="B269" t="inlineStr">
        <is>
          <t>Total conversión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%</t>
        </is>
      </c>
    </row>
    <row r="270">
      <c r="A270" t="n">
        <v>423</v>
      </c>
      <c r="B270" t="inlineStr">
        <is>
          <t>Brand equity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DEC</t>
        </is>
      </c>
    </row>
    <row r="271">
      <c r="A271" t="n">
        <v>424</v>
      </c>
      <c r="B271" t="inlineStr">
        <is>
          <t>Conocimiento espontáneo</t>
        </is>
      </c>
      <c r="C271" t="inlineStr">
        <is>
          <t>Estratégico</t>
        </is>
      </c>
      <c r="D271" t="inlineStr">
        <is>
          <t>Mercadeo de programas académicos</t>
        </is>
      </c>
      <c r="E271" t="inlineStr">
        <is>
          <t>Anual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Cierre</t>
        </is>
      </c>
      <c r="K271" t="inlineStr"/>
      <c r="L271" t="inlineStr">
        <is>
          <t>ENT</t>
        </is>
      </c>
    </row>
    <row r="272">
      <c r="A272" t="n">
        <v>425</v>
      </c>
      <c r="B272" t="inlineStr">
        <is>
          <t>Cumplimiento Leads Educación para la vida</t>
        </is>
      </c>
      <c r="C272" t="inlineStr">
        <is>
          <t>Operativo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G272" t="inlineStr"/>
      <c r="H272" t="inlineStr">
        <is>
          <t>Historico</t>
        </is>
      </c>
      <c r="I272" t="inlineStr">
        <is>
          <t>Historico</t>
        </is>
      </c>
      <c r="J272" t="inlineStr">
        <is>
          <t>Acumulado</t>
        </is>
      </c>
      <c r="K272" t="inlineStr"/>
      <c r="L272" t="inlineStr">
        <is>
          <t>ENT</t>
        </is>
      </c>
    </row>
    <row r="273">
      <c r="A273" t="n">
        <v>426</v>
      </c>
      <c r="B273" t="inlineStr">
        <is>
          <t>Cumplimiento en la respuesta a solicitudes de comunicaciones internas</t>
        </is>
      </c>
      <c r="C273" t="inlineStr">
        <is>
          <t>Operativo</t>
        </is>
      </c>
      <c r="D273" t="inlineStr">
        <is>
          <t>Comunicaciones Internas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Unica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%</t>
        </is>
      </c>
    </row>
    <row r="274">
      <c r="A274" t="n">
        <v>427</v>
      </c>
      <c r="B274" t="inlineStr">
        <is>
          <t>Consumo de Agua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DEC</t>
        </is>
      </c>
    </row>
    <row r="275">
      <c r="A275" t="n">
        <v>428</v>
      </c>
      <c r="B275" t="inlineStr">
        <is>
          <t>Consumo de Energía Eléctrica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kWh</t>
        </is>
      </c>
    </row>
    <row r="276">
      <c r="A276" t="n">
        <v>429</v>
      </c>
      <c r="B276" t="inlineStr">
        <is>
          <t>Generación de Residuos Sólidos per Cápita Semestral</t>
        </is>
      </c>
      <c r="C276" t="inlineStr">
        <is>
          <t>Operativo</t>
        </is>
      </c>
      <c r="D276" t="inlineStr">
        <is>
          <t>GESTIÓN AMBIENTAL</t>
        </is>
      </c>
      <c r="E276" t="inlineStr">
        <is>
          <t>Semestral</t>
        </is>
      </c>
      <c r="F276" t="inlineStr">
        <is>
          <t>Negativo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Promedio</t>
        </is>
      </c>
      <c r="K276" t="inlineStr"/>
      <c r="L276" t="inlineStr">
        <is>
          <t>DEC</t>
        </is>
      </c>
    </row>
    <row r="277">
      <c r="A277" t="n">
        <v>430</v>
      </c>
      <c r="B277" t="inlineStr">
        <is>
          <t>Cumplimiento ingresos por matriculas</t>
        </is>
      </c>
      <c r="C277" t="inlineStr">
        <is>
          <t>Estratégico</t>
        </is>
      </c>
      <c r="D277" t="inlineStr">
        <is>
          <t>Planeación Financiera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Multiserie</t>
        </is>
      </c>
      <c r="H277" t="inlineStr">
        <is>
          <t>Activo</t>
        </is>
      </c>
      <c r="I277" t="inlineStr">
        <is>
          <t>API</t>
        </is>
      </c>
      <c r="J277" t="inlineStr">
        <is>
          <t>Cierre</t>
        </is>
      </c>
      <c r="K277" t="inlineStr"/>
      <c r="L277" t="inlineStr">
        <is>
          <t>%</t>
        </is>
      </c>
    </row>
    <row r="278">
      <c r="A278" t="n">
        <v>431</v>
      </c>
      <c r="B278" t="inlineStr">
        <is>
          <t>Gestión de casos de salud que impactan a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Serie Unica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432</v>
      </c>
      <c r="B279" t="inlineStr">
        <is>
          <t>Intervención a la gestión del riesgo de los colaboradores</t>
        </is>
      </c>
      <c r="C279" t="inlineStr">
        <is>
          <t>Operativo</t>
        </is>
      </c>
      <c r="D279" t="inlineStr">
        <is>
          <t>GESTIÓN DE SEGURIDAD Y SALUD EN EL TRABAJO</t>
        </is>
      </c>
      <c r="E279" t="inlineStr">
        <is>
          <t>Trimestral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%</t>
        </is>
      </c>
    </row>
    <row r="280">
      <c r="A280" t="n">
        <v>433</v>
      </c>
      <c r="B280" t="inlineStr">
        <is>
          <t>Generación de Residuos Peligrosos per Cápita Semestral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Semestral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Promedio</t>
        </is>
      </c>
      <c r="K280" t="inlineStr"/>
      <c r="L280" t="inlineStr">
        <is>
          <t>DEC</t>
        </is>
      </c>
    </row>
    <row r="281">
      <c r="A281" t="n">
        <v>434</v>
      </c>
      <c r="B281" t="inlineStr">
        <is>
          <t>Generación de Residuos Peligrosos Mensual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Mensual</t>
        </is>
      </c>
      <c r="F281" t="inlineStr">
        <is>
          <t>Negativo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Acumulado</t>
        </is>
      </c>
      <c r="K281" t="inlineStr"/>
      <c r="L281" t="inlineStr">
        <is>
          <t>Kg</t>
        </is>
      </c>
    </row>
    <row r="282">
      <c r="A282" t="n">
        <v>435</v>
      </c>
      <c r="B282" t="inlineStr">
        <is>
          <t>Disminución de la Generación de Residuos Peligrosos per Cápita</t>
        </is>
      </c>
      <c r="C282" t="inlineStr">
        <is>
          <t>Operativo</t>
        </is>
      </c>
      <c r="D282" t="inlineStr">
        <is>
          <t>GESTIÓN AMBIENTAL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%</t>
        </is>
      </c>
    </row>
    <row r="283">
      <c r="A283" t="n">
        <v>436</v>
      </c>
      <c r="B283" t="inlineStr">
        <is>
          <t>ANS documentos operativos</t>
        </is>
      </c>
      <c r="C283" t="inlineStr">
        <is>
          <t>Operativo</t>
        </is>
      </c>
      <c r="D283" t="inlineStr">
        <is>
          <t>Gestión de calidad</t>
        </is>
      </c>
      <c r="E283" t="inlineStr">
        <is>
          <t>Mensual</t>
        </is>
      </c>
      <c r="F283" t="inlineStr">
        <is>
          <t>Negativo</t>
        </is>
      </c>
      <c r="G283" t="inlineStr">
        <is>
          <t>Multiserie</t>
        </is>
      </c>
      <c r="H283" t="inlineStr">
        <is>
          <t>Activo</t>
        </is>
      </c>
      <c r="I283" t="inlineStr">
        <is>
          <t>API</t>
        </is>
      </c>
      <c r="J283" t="inlineStr">
        <is>
          <t>Promedio</t>
        </is>
      </c>
      <c r="K283" t="inlineStr"/>
      <c r="L283" t="inlineStr">
        <is>
          <t>Días</t>
        </is>
      </c>
    </row>
    <row r="284">
      <c r="A284" t="n">
        <v>437</v>
      </c>
      <c r="B284" t="inlineStr">
        <is>
          <t>Nivel de Satisfacción Servicios Prestados - Riesgos</t>
        </is>
      </c>
      <c r="C284" t="inlineStr">
        <is>
          <t>Estratégico</t>
        </is>
      </c>
      <c r="D284" t="inlineStr">
        <is>
          <t>GESTIÓN DE RIESGOS</t>
        </is>
      </c>
      <c r="E284" t="inlineStr">
        <is>
          <t>Anual</t>
        </is>
      </c>
      <c r="F284" t="inlineStr">
        <is>
          <t>Positivo</t>
        </is>
      </c>
      <c r="G284" t="inlineStr">
        <is>
          <t>Serie Unica</t>
        </is>
      </c>
      <c r="H284" t="inlineStr">
        <is>
          <t>Activo</t>
        </is>
      </c>
      <c r="I284" t="inlineStr">
        <is>
          <t>API</t>
        </is>
      </c>
      <c r="J284" t="inlineStr">
        <is>
          <t>Cierre</t>
        </is>
      </c>
      <c r="K284" t="inlineStr"/>
      <c r="L284" t="inlineStr">
        <is>
          <t>%</t>
        </is>
      </c>
    </row>
    <row r="285">
      <c r="A285" t="n">
        <v>438</v>
      </c>
      <c r="B285" t="inlineStr">
        <is>
          <t>Seguimiento de asignación docente a NRC Pregrado-Posgrado Virtual</t>
        </is>
      </c>
      <c r="C285" t="inlineStr">
        <is>
          <t>Estratégico</t>
        </is>
      </c>
      <c r="D285" t="inlineStr">
        <is>
          <t>Operaciones Académica pregrado y posgrado virtual</t>
        </is>
      </c>
      <c r="E285" t="inlineStr">
        <is>
          <t>Semestral</t>
        </is>
      </c>
      <c r="F285" t="inlineStr">
        <is>
          <t>Positivo</t>
        </is>
      </c>
      <c r="G285" t="inlineStr"/>
      <c r="H285" t="inlineStr">
        <is>
          <t>Historico</t>
        </is>
      </c>
      <c r="I285" t="inlineStr">
        <is>
          <t>Historico</t>
        </is>
      </c>
      <c r="J285" t="inlineStr">
        <is>
          <t>Promedio</t>
        </is>
      </c>
      <c r="K285" t="inlineStr"/>
      <c r="L285" t="inlineStr">
        <is>
          <t>ENT</t>
        </is>
      </c>
    </row>
    <row r="286">
      <c r="A286" t="n">
        <v>439</v>
      </c>
      <c r="B286" t="inlineStr">
        <is>
          <t>Disponibilidad de catálogo de asignaturas pregrado y posgrado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Promedio</t>
        </is>
      </c>
      <c r="K286" t="inlineStr"/>
      <c r="L286" t="inlineStr">
        <is>
          <t>%</t>
        </is>
      </c>
    </row>
    <row r="287">
      <c r="A287" t="n">
        <v>440</v>
      </c>
      <c r="B287" t="inlineStr">
        <is>
          <t>Aseguramiento de matricula académica virtual</t>
        </is>
      </c>
      <c r="C287" t="inlineStr">
        <is>
          <t>Operativo</t>
        </is>
      </c>
      <c r="D287" t="inlineStr">
        <is>
          <t>Operaciones Académicas</t>
        </is>
      </c>
      <c r="E287" t="inlineStr">
        <is>
          <t>Semestral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Activo</t>
        </is>
      </c>
      <c r="I287" t="inlineStr">
        <is>
          <t>API</t>
        </is>
      </c>
      <c r="J287" t="inlineStr">
        <is>
          <t>Acumulado</t>
        </is>
      </c>
      <c r="K287" t="inlineStr"/>
      <c r="L287" t="inlineStr">
        <is>
          <t>%</t>
        </is>
      </c>
    </row>
    <row r="288">
      <c r="A288" t="n">
        <v>441</v>
      </c>
      <c r="B288" t="inlineStr">
        <is>
          <t>Cumplimiento a cronograma de proyectos 2024</t>
        </is>
      </c>
      <c r="C288" t="inlineStr">
        <is>
          <t>Estratégico</t>
        </is>
      </c>
      <c r="D288" t="inlineStr">
        <is>
          <t>Gestión de Proyectos</t>
        </is>
      </c>
      <c r="E288" t="inlineStr">
        <is>
          <t>Mensual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/>
      <c r="L288" t="inlineStr">
        <is>
          <t>%</t>
        </is>
      </c>
    </row>
    <row r="289">
      <c r="A289" t="n">
        <v>442</v>
      </c>
      <c r="B289" t="inlineStr">
        <is>
          <t>Participación de docentes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443</v>
      </c>
      <c r="B290" t="inlineStr">
        <is>
          <t>Participación de estudiantes invitados en eventos académicos virtuales en Poli</t>
        </is>
      </c>
      <c r="C290" t="inlineStr">
        <is>
          <t>Estratégico</t>
        </is>
      </c>
      <c r="D290" t="inlineStr">
        <is>
          <t>VISIBILIDAD NACIONAL E INTERNACIONAL</t>
        </is>
      </c>
      <c r="E290" t="inlineStr">
        <is>
          <t>Semestral</t>
        </is>
      </c>
      <c r="F290" t="inlineStr">
        <is>
          <t>Positivo</t>
        </is>
      </c>
      <c r="G290" t="inlineStr"/>
      <c r="H290" t="inlineStr">
        <is>
          <t>Historico</t>
        </is>
      </c>
      <c r="I290" t="inlineStr">
        <is>
          <t>Historico</t>
        </is>
      </c>
      <c r="J290" t="inlineStr">
        <is>
          <t>Acumulado</t>
        </is>
      </c>
      <c r="K290" t="inlineStr"/>
      <c r="L290" t="inlineStr">
        <is>
          <t>ENT</t>
        </is>
      </c>
    </row>
    <row r="291">
      <c r="A291" t="n">
        <v>444</v>
      </c>
      <c r="B291" t="inlineStr">
        <is>
          <t>CES Proceso de grados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Negativo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DEC</t>
        </is>
      </c>
    </row>
    <row r="292">
      <c r="A292" t="n">
        <v>445</v>
      </c>
      <c r="B292" t="inlineStr">
        <is>
          <t>Satisfacción del proceso de grados virtual</t>
        </is>
      </c>
      <c r="C292" t="inlineStr">
        <is>
          <t>Operativo</t>
        </is>
      </c>
      <c r="D292" t="inlineStr">
        <is>
          <t>Registro y Control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Promedio</t>
        </is>
      </c>
      <c r="K292" t="inlineStr"/>
      <c r="L292" t="inlineStr">
        <is>
          <t>%</t>
        </is>
      </c>
    </row>
    <row r="293">
      <c r="A293" t="n">
        <v>447</v>
      </c>
      <c r="B293" t="inlineStr">
        <is>
          <t>Participación en actividades culturales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448</v>
      </c>
      <c r="B294" t="inlineStr">
        <is>
          <t>Participación en actividades de formación</t>
        </is>
      </c>
      <c r="C294" t="inlineStr">
        <is>
          <t>Operativo</t>
        </is>
      </c>
      <c r="D294" t="inlineStr">
        <is>
          <t>Biblioteca Institucional</t>
        </is>
      </c>
      <c r="E294" t="inlineStr">
        <is>
          <t>Semestral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K294" t="inlineStr"/>
      <c r="L294" t="inlineStr">
        <is>
          <t>%</t>
        </is>
      </c>
    </row>
    <row r="295">
      <c r="A295" t="n">
        <v>449</v>
      </c>
      <c r="B295" t="inlineStr">
        <is>
          <t>Cumplimiento en la supervisión y monitoreo a los planes de tratamiento de los riesgos institucionales en nivel alto y extremo</t>
        </is>
      </c>
      <c r="C295" t="inlineStr">
        <is>
          <t>Operativo</t>
        </is>
      </c>
      <c r="D295" t="inlineStr">
        <is>
          <t>GESTIÓN DE RIESGOS</t>
        </is>
      </c>
      <c r="E295" t="inlineStr">
        <is>
          <t>Trimestral</t>
        </is>
      </c>
      <c r="F295" t="inlineStr">
        <is>
          <t>Positivo</t>
        </is>
      </c>
      <c r="G295" t="inlineStr"/>
      <c r="H295" t="inlineStr">
        <is>
          <t>Historico</t>
        </is>
      </c>
      <c r="I295" t="inlineStr">
        <is>
          <t>Historico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451</v>
      </c>
      <c r="B296" t="inlineStr">
        <is>
          <t>% de publicaciones con sentimiento positivo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452</v>
      </c>
      <c r="B297" t="inlineStr">
        <is>
          <t>Seguimiento a eventos internos y externos institucionales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Semestral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K297" t="inlineStr"/>
      <c r="L297" t="inlineStr">
        <is>
          <t>%</t>
        </is>
      </c>
    </row>
    <row r="298">
      <c r="A298" t="n">
        <v>453</v>
      </c>
      <c r="B298" t="inlineStr">
        <is>
          <t>Número de cursos diseñados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>
        <is>
          <t>Serie Unica</t>
        </is>
      </c>
      <c r="H298" t="inlineStr">
        <is>
          <t>Activo</t>
        </is>
      </c>
      <c r="I298" t="inlineStr">
        <is>
          <t>API</t>
        </is>
      </c>
      <c r="J298" t="inlineStr">
        <is>
          <t>Acumulado</t>
        </is>
      </c>
      <c r="K298" t="inlineStr"/>
      <c r="L298" t="inlineStr">
        <is>
          <t>%</t>
        </is>
      </c>
    </row>
    <row r="299">
      <c r="A299" t="n">
        <v>454</v>
      </c>
      <c r="B299" t="inlineStr">
        <is>
          <t>Satisfacción de la calidad del contenido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/>
      <c r="H299" t="inlineStr">
        <is>
          <t>Historico</t>
        </is>
      </c>
      <c r="I299" t="inlineStr">
        <is>
          <t>Historico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455</v>
      </c>
      <c r="B300" t="inlineStr">
        <is>
          <t>ANS Diseño de contenidos virtuales</t>
        </is>
      </c>
      <c r="C300" t="inlineStr">
        <is>
          <t>Estratégico</t>
        </is>
      </c>
      <c r="D300" t="inlineStr">
        <is>
          <t>Diseño de Contenido Virtual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456</v>
      </c>
      <c r="B301" t="inlineStr">
        <is>
          <t>Impacto de campañas de Mailing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457</v>
      </c>
      <c r="B302" t="inlineStr">
        <is>
          <t>Apertura de enlaces en mensajes de texto</t>
        </is>
      </c>
      <c r="C302" t="inlineStr">
        <is>
          <t>Operativo</t>
        </is>
      </c>
      <c r="D302" t="inlineStr">
        <is>
          <t>Comunicaciones Internas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Multiserie</t>
        </is>
      </c>
      <c r="H302" t="inlineStr">
        <is>
          <t>Activo</t>
        </is>
      </c>
      <c r="I302" t="inlineStr">
        <is>
          <t>API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459</v>
      </c>
      <c r="B303" t="inlineStr">
        <is>
          <t>Número de publicaciones e historias</t>
        </is>
      </c>
      <c r="C303" t="inlineStr">
        <is>
          <t>Operativo</t>
        </is>
      </c>
      <c r="D303" t="inlineStr">
        <is>
          <t>Comunicaciones Externas</t>
        </is>
      </c>
      <c r="E303" t="inlineStr">
        <is>
          <t>Trimestral</t>
        </is>
      </c>
      <c r="F303" t="inlineStr">
        <is>
          <t>Positivo</t>
        </is>
      </c>
      <c r="G303" t="inlineStr"/>
      <c r="H303" t="inlineStr">
        <is>
          <t>Historico</t>
        </is>
      </c>
      <c r="I303" t="inlineStr">
        <is>
          <t>Historico</t>
        </is>
      </c>
      <c r="J303" t="inlineStr">
        <is>
          <t>Promedio</t>
        </is>
      </c>
      <c r="K303" t="inlineStr"/>
      <c r="L303" t="inlineStr">
        <is>
          <t>%</t>
        </is>
      </c>
    </row>
    <row r="304">
      <c r="A304" t="n">
        <v>460</v>
      </c>
      <c r="B304" t="inlineStr">
        <is>
          <t>% de profesores (Contrato Indefinido- Fijo) impactados plan de desarrollo docente</t>
        </is>
      </c>
      <c r="C304" t="inlineStr">
        <is>
          <t>Operativo</t>
        </is>
      </c>
      <c r="D304" t="inlineStr">
        <is>
          <t>GESTIÓN Y DESARROLLO DEL TALENTO HUMANO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K304" t="inlineStr"/>
      <c r="L304" t="inlineStr">
        <is>
          <t>%</t>
        </is>
      </c>
    </row>
    <row r="305">
      <c r="A305" t="n">
        <v>462</v>
      </c>
      <c r="B305" t="inlineStr">
        <is>
          <t>Nivel Esfuerzo Editorial</t>
        </is>
      </c>
      <c r="C305" t="inlineStr">
        <is>
          <t>Operativo</t>
        </is>
      </c>
      <c r="D305" t="inlineStr">
        <is>
          <t>Editorial y Publicaciones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Promedio</t>
        </is>
      </c>
      <c r="K305" t="inlineStr"/>
      <c r="L305" t="inlineStr">
        <is>
          <t>%</t>
        </is>
      </c>
    </row>
    <row r="306">
      <c r="A306" t="n">
        <v>463</v>
      </c>
      <c r="B306" t="inlineStr">
        <is>
          <t>Cumplimiento de las acciones del Plan de mejoramiento GPW</t>
        </is>
      </c>
      <c r="C306" t="inlineStr">
        <is>
          <t>Estratégico</t>
        </is>
      </c>
      <c r="D306" t="inlineStr">
        <is>
          <t>GESTIÓN Y DESARROLLO DEL TALENTO HUMANO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465</v>
      </c>
      <c r="B307" t="inlineStr">
        <is>
          <t>% de depuración histórico  SNIES</t>
        </is>
      </c>
      <c r="C307" t="inlineStr">
        <is>
          <t>Estratégico</t>
        </is>
      </c>
      <c r="D307" t="inlineStr">
        <is>
          <t>DATOS Y ANALÍTICA</t>
        </is>
      </c>
      <c r="E307" t="inlineStr">
        <is>
          <t>Semestral</t>
        </is>
      </c>
      <c r="F307" t="inlineStr">
        <is>
          <t>Positivo</t>
        </is>
      </c>
      <c r="G307" t="inlineStr"/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K307" t="inlineStr"/>
      <c r="L307" t="inlineStr">
        <is>
          <t>%</t>
        </is>
      </c>
    </row>
    <row r="308">
      <c r="A308" t="n">
        <v>466</v>
      </c>
      <c r="B308" t="inlineStr">
        <is>
          <t>NPS Estudiantes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467</v>
      </c>
      <c r="B309" t="inlineStr">
        <is>
          <t>NPS Graduados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Positivo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468</v>
      </c>
      <c r="B310" t="inlineStr">
        <is>
          <t>CES General</t>
        </is>
      </c>
      <c r="C310" t="inlineStr">
        <is>
          <t>Estratégico</t>
        </is>
      </c>
      <c r="D310" t="inlineStr">
        <is>
          <t>EXPERIENCIA INSTITUCIONAL</t>
        </is>
      </c>
      <c r="E310" t="inlineStr">
        <is>
          <t>Semestral</t>
        </is>
      </c>
      <c r="F310" t="inlineStr">
        <is>
          <t>Negativo</t>
        </is>
      </c>
      <c r="G310" t="inlineStr">
        <is>
          <t>Serie Unica</t>
        </is>
      </c>
      <c r="H310" t="inlineStr">
        <is>
          <t>Activo</t>
        </is>
      </c>
      <c r="I310" t="inlineStr">
        <is>
          <t>API</t>
        </is>
      </c>
      <c r="J310" t="inlineStr">
        <is>
          <t>Promedio</t>
        </is>
      </c>
      <c r="K310" t="inlineStr"/>
      <c r="L310" t="inlineStr">
        <is>
          <t>DEC</t>
        </is>
      </c>
    </row>
    <row r="311">
      <c r="A311" t="n">
        <v>469</v>
      </c>
      <c r="B311" t="inlineStr">
        <is>
          <t>Cumplimiento Plan Anual Áreas sede Medellín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470</v>
      </c>
      <c r="B312" t="inlineStr">
        <is>
          <t>Cumplimiento plan anual Secretaria académica y de extensión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471</v>
      </c>
      <c r="B313" t="inlineStr">
        <is>
          <t>Cumplimiento plan anual Gerencia de Talento Humano</t>
        </is>
      </c>
      <c r="C313" t="inlineStr">
        <is>
          <t>Estratégico</t>
        </is>
      </c>
      <c r="D313" t="inlineStr">
        <is>
          <t>Planeación Estratégica</t>
        </is>
      </c>
      <c r="E313" t="inlineStr">
        <is>
          <t>Trimestral</t>
        </is>
      </c>
      <c r="F313" t="inlineStr">
        <is>
          <t>Positivo</t>
        </is>
      </c>
      <c r="G313" t="inlineStr">
        <is>
          <t>Multiserie</t>
        </is>
      </c>
      <c r="H313" t="inlineStr">
        <is>
          <t>Activo</t>
        </is>
      </c>
      <c r="I313" t="inlineStr">
        <is>
          <t>API</t>
        </is>
      </c>
      <c r="J313" t="inlineStr">
        <is>
          <t>Cierre</t>
        </is>
      </c>
      <c r="K313" t="inlineStr">
        <is>
          <t>Plan de retos</t>
        </is>
      </c>
      <c r="L313" t="inlineStr">
        <is>
          <t>%</t>
        </is>
      </c>
    </row>
    <row r="314">
      <c r="A314" t="n">
        <v>472</v>
      </c>
      <c r="B314" t="inlineStr">
        <is>
          <t>Cobertura de Recolección de Variables ADA (Arquitectura de datos para la analitica)</t>
        </is>
      </c>
      <c r="C314" t="inlineStr">
        <is>
          <t>Estratégico</t>
        </is>
      </c>
      <c r="D314" t="inlineStr">
        <is>
          <t>DATOS Y ANALÍTICA</t>
        </is>
      </c>
      <c r="E314" t="inlineStr">
        <is>
          <t>Semestral</t>
        </is>
      </c>
      <c r="F314" t="inlineStr">
        <is>
          <t>Positivo</t>
        </is>
      </c>
      <c r="G314" t="inlineStr"/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K314" t="inlineStr"/>
      <c r="L314" t="inlineStr">
        <is>
          <t>%</t>
        </is>
      </c>
    </row>
    <row r="315">
      <c r="A315" t="n">
        <v>473</v>
      </c>
      <c r="B315" t="inlineStr">
        <is>
          <t>Programas con planes de estudios definidos</t>
        </is>
      </c>
      <c r="C315" t="inlineStr">
        <is>
          <t>Estratégico</t>
        </is>
      </c>
      <c r="D315" t="inlineStr">
        <is>
          <t>Gestión, Evaluación e Innovación Curricular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474</v>
      </c>
      <c r="B316" t="inlineStr">
        <is>
          <t>Programas con planes de estudios definidos por escuela (Nuevos Programas)</t>
        </is>
      </c>
      <c r="C316" t="inlineStr">
        <is>
          <t>Estratégico</t>
        </is>
      </c>
      <c r="D316" t="inlineStr">
        <is>
          <t>Gestión de Unidades Académicas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Promedio</t>
        </is>
      </c>
      <c r="K316" t="inlineStr"/>
      <c r="L316" t="inlineStr">
        <is>
          <t>ENT</t>
        </is>
      </c>
    </row>
    <row r="317">
      <c r="A317" t="n">
        <v>475</v>
      </c>
      <c r="B317" t="inlineStr">
        <is>
          <t>Número de renovaciones de registro calificado radicadas al MEN</t>
        </is>
      </c>
      <c r="C317" t="inlineStr">
        <is>
          <t>Estratégico</t>
        </is>
      </c>
      <c r="D317" t="inlineStr">
        <is>
          <t>Creación, modificación y cierre de programas académicos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Serie Unica</t>
        </is>
      </c>
      <c r="H317" t="inlineStr">
        <is>
          <t>Activo</t>
        </is>
      </c>
      <c r="I317" t="inlineStr">
        <is>
          <t>API</t>
        </is>
      </c>
      <c r="J317" t="inlineStr">
        <is>
          <t>Acumulado</t>
        </is>
      </c>
      <c r="K317" t="inlineStr"/>
      <c r="L317" t="inlineStr">
        <is>
          <t>ENT</t>
        </is>
      </c>
    </row>
    <row r="318">
      <c r="A318" t="n">
        <v>476</v>
      </c>
      <c r="B318" t="inlineStr">
        <is>
          <t>Programas con resultados de aprendizaje definidos</t>
        </is>
      </c>
      <c r="C318" t="inlineStr">
        <is>
          <t>Estratégico</t>
        </is>
      </c>
      <c r="D318" t="inlineStr">
        <is>
          <t>Gestión, Evaluación e Innovación Curricular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Promedio</t>
        </is>
      </c>
      <c r="K318" t="inlineStr"/>
      <c r="L318" t="inlineStr">
        <is>
          <t>ENT</t>
        </is>
      </c>
    </row>
    <row r="319">
      <c r="A319" t="n">
        <v>477</v>
      </c>
      <c r="B319" t="inlineStr">
        <is>
          <t>Programas con planes de estudios definidos por escuela (Programas Renovación, modificación y acreditación)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478</v>
      </c>
      <c r="B320" t="inlineStr">
        <is>
          <t>Programas con planes de estudios definidos por escuela (Mantenimiento de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479</v>
      </c>
      <c r="B321" t="inlineStr">
        <is>
          <t>Programas con resultados de aprendizaje definidos por escuela (Nuevos Programas)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480</v>
      </c>
      <c r="B322" t="inlineStr">
        <is>
          <t>Programas con resultados de aprendizaje definidos por escuela (Programas Renovación, modificación y acreditación)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ENT</t>
        </is>
      </c>
    </row>
    <row r="323">
      <c r="A323" t="n">
        <v>481</v>
      </c>
      <c r="B323" t="inlineStr">
        <is>
          <t>Solicitudes de documentación completadas</t>
        </is>
      </c>
      <c r="C323" t="inlineStr">
        <is>
          <t>Operativo</t>
        </is>
      </c>
      <c r="D323" t="inlineStr">
        <is>
          <t>Gestión, Evaluación e Innovación Curricular</t>
        </is>
      </c>
      <c r="E323" t="inlineStr">
        <is>
          <t>Semestral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Activo</t>
        </is>
      </c>
      <c r="I323" t="inlineStr">
        <is>
          <t>API</t>
        </is>
      </c>
      <c r="J323" t="inlineStr">
        <is>
          <t>Acumulado</t>
        </is>
      </c>
      <c r="K323" t="inlineStr"/>
      <c r="L323" t="inlineStr">
        <is>
          <t>%</t>
        </is>
      </c>
    </row>
    <row r="324">
      <c r="A324" t="n">
        <v>483</v>
      </c>
      <c r="B324" t="inlineStr">
        <is>
          <t>Tasa de incremento en la resolución de solicitudes de la vicerrectoría de crecimiento</t>
        </is>
      </c>
      <c r="C324" t="inlineStr">
        <is>
          <t>Operativo</t>
        </is>
      </c>
      <c r="D324" t="inlineStr">
        <is>
          <t>Gestión de campañas integradas de marketing</t>
        </is>
      </c>
      <c r="E324" t="inlineStr">
        <is>
          <t>Anual</t>
        </is>
      </c>
      <c r="F324" t="inlineStr">
        <is>
          <t>Positivo</t>
        </is>
      </c>
      <c r="G324" t="inlineStr"/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/>
      <c r="L324" t="inlineStr">
        <is>
          <t>ENT</t>
        </is>
      </c>
    </row>
    <row r="325">
      <c r="A325" t="n">
        <v>484</v>
      </c>
      <c r="B325" t="inlineStr">
        <is>
          <t>Cumplimiento del Programa de la Cultura del Autocuidado</t>
        </is>
      </c>
      <c r="C325" t="inlineStr">
        <is>
          <t>Operativo</t>
        </is>
      </c>
      <c r="D325" t="inlineStr">
        <is>
          <t>GESTIÓN DE SEGURIDAD Y SALUD EN EL TRABAJO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Serie Unica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485</v>
      </c>
      <c r="B326" t="inlineStr">
        <is>
          <t>Oportunidad en el cierre de acciones</t>
        </is>
      </c>
      <c r="C326" t="inlineStr">
        <is>
          <t>Operativo</t>
        </is>
      </c>
      <c r="D326" t="inlineStr">
        <is>
          <t>Gestión de calidad</t>
        </is>
      </c>
      <c r="E326" t="inlineStr">
        <is>
          <t>Mensual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Promedio</t>
        </is>
      </c>
      <c r="K326" t="inlineStr"/>
      <c r="L326" t="inlineStr">
        <is>
          <t>%</t>
        </is>
      </c>
    </row>
    <row r="327">
      <c r="A327" t="n">
        <v>486</v>
      </c>
      <c r="B327" t="inlineStr">
        <is>
          <t>Número de visitas a la página web</t>
        </is>
      </c>
      <c r="C327" t="inlineStr">
        <is>
          <t>Operativo</t>
        </is>
      </c>
      <c r="D327" t="inlineStr">
        <is>
          <t>Comunicaciones Internas</t>
        </is>
      </c>
      <c r="E327" t="inlineStr">
        <is>
          <t>Semestral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Acumulado</t>
        </is>
      </c>
      <c r="K327" t="inlineStr"/>
      <c r="L327" t="inlineStr">
        <is>
          <t>%</t>
        </is>
      </c>
    </row>
    <row r="328">
      <c r="A328" t="n">
        <v>487</v>
      </c>
      <c r="B328" t="inlineStr">
        <is>
          <t>Número Impactados Talleres de formación</t>
        </is>
      </c>
      <c r="C328" t="inlineStr">
        <is>
          <t>Operativo</t>
        </is>
      </c>
      <c r="D328" t="inlineStr">
        <is>
          <t>Centro de Medios Audiovisuales</t>
        </is>
      </c>
      <c r="E328" t="inlineStr">
        <is>
          <t>Anual</t>
        </is>
      </c>
      <c r="F328" t="inlineStr">
        <is>
          <t>Positivo</t>
        </is>
      </c>
      <c r="G328" t="inlineStr">
        <is>
          <t>Serie Unica</t>
        </is>
      </c>
      <c r="H328" t="inlineStr">
        <is>
          <t>Activo</t>
        </is>
      </c>
      <c r="I328" t="inlineStr">
        <is>
          <t>API</t>
        </is>
      </c>
      <c r="J328" t="inlineStr">
        <is>
          <t>Cierre</t>
        </is>
      </c>
      <c r="K328" t="inlineStr"/>
      <c r="L328" t="inlineStr">
        <is>
          <t>%</t>
        </is>
      </c>
    </row>
    <row r="329">
      <c r="A329" t="n">
        <v>488</v>
      </c>
      <c r="B329" t="inlineStr">
        <is>
          <t>Oportunidad en el cierre de actividades de los planes de mejora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Activo</t>
        </is>
      </c>
      <c r="I329" t="inlineStr">
        <is>
          <t>API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489</v>
      </c>
      <c r="B330" t="inlineStr">
        <is>
          <t>Cumplimiento en la evaluación de las oportunidades de mejora (OM)</t>
        </is>
      </c>
      <c r="C330" t="inlineStr">
        <is>
          <t>Operativo</t>
        </is>
      </c>
      <c r="D330" t="inlineStr">
        <is>
          <t>Gestión de calidad</t>
        </is>
      </c>
      <c r="E330" t="inlineStr">
        <is>
          <t>Mensual</t>
        </is>
      </c>
      <c r="F330" t="inlineStr">
        <is>
          <t>Positivo</t>
        </is>
      </c>
      <c r="G330" t="inlineStr"/>
      <c r="H330" t="inlineStr">
        <is>
          <t>Historico</t>
        </is>
      </c>
      <c r="I330" t="inlineStr">
        <is>
          <t>Historico</t>
        </is>
      </c>
      <c r="J330" t="inlineStr">
        <is>
          <t>Promedio</t>
        </is>
      </c>
      <c r="K330" t="inlineStr"/>
      <c r="L330" t="inlineStr">
        <is>
          <t>%</t>
        </is>
      </c>
    </row>
    <row r="331">
      <c r="A331" t="n">
        <v>490</v>
      </c>
      <c r="B331" t="inlineStr">
        <is>
          <t>Nivel de Satisfacción Servicios Prestados - Planeación Estratégica</t>
        </is>
      </c>
      <c r="C331" t="inlineStr">
        <is>
          <t>Estratégico</t>
        </is>
      </c>
      <c r="D331" t="inlineStr">
        <is>
          <t>Planeación Estratégica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491</v>
      </c>
      <c r="B332" t="inlineStr">
        <is>
          <t>Nivel de Satisfacción Servicios Prestados - Gestión de proyectos</t>
        </is>
      </c>
      <c r="C332" t="inlineStr">
        <is>
          <t>Estratégico</t>
        </is>
      </c>
      <c r="D332" t="inlineStr">
        <is>
          <t>Gestión de Proyectos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492</v>
      </c>
      <c r="B333" t="inlineStr">
        <is>
          <t>Nivel de Satisfacción Servicios Prestados - Desempeño Institucional</t>
        </is>
      </c>
      <c r="C333" t="inlineStr">
        <is>
          <t>Estratégico</t>
        </is>
      </c>
      <c r="D333" t="inlineStr">
        <is>
          <t>Desempeño Institucional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493</v>
      </c>
      <c r="B334" t="inlineStr">
        <is>
          <t>Nivel de Satisfacción Servicios Prestados - Gestión Jurídica Y Normativa</t>
        </is>
      </c>
      <c r="C334" t="inlineStr">
        <is>
          <t>Estratégico</t>
        </is>
      </c>
      <c r="D334" t="inlineStr">
        <is>
          <t>GESTIÓN JURÍDICA Y NORMATIVA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494</v>
      </c>
      <c r="B335" t="inlineStr">
        <is>
          <t>Nivel de Satisfacción Servicios Prestados - Administración De Servicios Generales</t>
        </is>
      </c>
      <c r="C335" t="inlineStr">
        <is>
          <t>Estratégico</t>
        </is>
      </c>
      <c r="D335" t="inlineStr">
        <is>
          <t>Administración de Servicios Generales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495</v>
      </c>
      <c r="B336" t="inlineStr">
        <is>
          <t>Nivel de Satisfacción Servicios Prestados - Contabilidad</t>
        </is>
      </c>
      <c r="C336" t="inlineStr">
        <is>
          <t>Estratégico</t>
        </is>
      </c>
      <c r="D336" t="inlineStr">
        <is>
          <t>Contabilidad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496</v>
      </c>
      <c r="B337" t="inlineStr">
        <is>
          <t>Nivel de Satisfacción Servicios Prestados - Planeación Financiera</t>
        </is>
      </c>
      <c r="C337" t="inlineStr">
        <is>
          <t>Estratégico</t>
        </is>
      </c>
      <c r="D337" t="inlineStr">
        <is>
          <t>Planeación Financiera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497</v>
      </c>
      <c r="B338" t="inlineStr">
        <is>
          <t>Nivel de Satisfacción Servicios Prestados - Tesorería</t>
        </is>
      </c>
      <c r="C338" t="inlineStr">
        <is>
          <t>Estratégico</t>
        </is>
      </c>
      <c r="D338" t="inlineStr">
        <is>
          <t>Tesorería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498</v>
      </c>
      <c r="B339" t="inlineStr">
        <is>
          <t>Nivel de Satisfacción Servicios Prestados - Centro de Medios Audiovisuales</t>
        </is>
      </c>
      <c r="C339" t="inlineStr">
        <is>
          <t>Estratégico</t>
        </is>
      </c>
      <c r="D339" t="inlineStr">
        <is>
          <t>Centro de Medios Audiovisuales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499</v>
      </c>
      <c r="B340" t="inlineStr">
        <is>
          <t>Nivel de Satisfacción Servicios Prestados - Datos y analítica</t>
        </is>
      </c>
      <c r="C340" t="inlineStr">
        <is>
          <t>Estratégico</t>
        </is>
      </c>
      <c r="D340" t="inlineStr">
        <is>
          <t>DATOS Y ANALÍTICA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500</v>
      </c>
      <c r="B341" t="inlineStr">
        <is>
          <t>Nivel de Satisfacción Servicios Prestados -Servicio de Salud</t>
        </is>
      </c>
      <c r="C341" t="inlineStr">
        <is>
          <t>Estratégico</t>
        </is>
      </c>
      <c r="D341" t="inlineStr">
        <is>
          <t>Servicio de Salud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501</v>
      </c>
      <c r="B342" t="inlineStr">
        <is>
          <t>Nivel de Satisfacción Servicios Prestados -Gestión, evaluación e innovación curricular</t>
        </is>
      </c>
      <c r="C342" t="inlineStr">
        <is>
          <t>Estratégico</t>
        </is>
      </c>
      <c r="D342" t="inlineStr">
        <is>
          <t>Gestión, Evaluación e Innovación Curricular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502</v>
      </c>
      <c r="B343" t="inlineStr">
        <is>
          <t>Nivel de Satisfacción Servicios Prestados -Formación para la investigación, creación e innovación</t>
        </is>
      </c>
      <c r="C343" t="inlineStr">
        <is>
          <t>Estratégico</t>
        </is>
      </c>
      <c r="D343" t="inlineStr">
        <is>
          <t>Formación para la investigación, creación e innovación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503</v>
      </c>
      <c r="B344" t="inlineStr">
        <is>
          <t>Nivel de Satisfacción Servicios Prestados -Gestión de Unidades Académicas</t>
        </is>
      </c>
      <c r="C344" t="inlineStr">
        <is>
          <t>Estratégico</t>
        </is>
      </c>
      <c r="D344" t="inlineStr">
        <is>
          <t>Gestión de Unidades Académicas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504</v>
      </c>
      <c r="B345" t="inlineStr">
        <is>
          <t>Nivel de Satisfacción Servicios Prestados - LEI</t>
        </is>
      </c>
      <c r="C345" t="inlineStr">
        <is>
          <t>Estratégico</t>
        </is>
      </c>
      <c r="D345" t="inlineStr">
        <is>
          <t>LEI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505</v>
      </c>
      <c r="B346" t="inlineStr">
        <is>
          <t>Nivel de Satisfacción Servicios Prestados - Mercadeo de programas académicos</t>
        </is>
      </c>
      <c r="C346" t="inlineStr">
        <is>
          <t>Estratégico</t>
        </is>
      </c>
      <c r="D346" t="inlineStr">
        <is>
          <t>Mercadeo de programas académicos</t>
        </is>
      </c>
      <c r="E346" t="inlineStr">
        <is>
          <t>Anual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506</v>
      </c>
      <c r="B347" t="inlineStr">
        <is>
          <t>Nivel de Satisfacción Servicios Prestados - Prácticas</t>
        </is>
      </c>
      <c r="C347" t="inlineStr">
        <is>
          <t>Estratégico</t>
        </is>
      </c>
      <c r="D347" t="inlineStr">
        <is>
          <t>Prácticas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507</v>
      </c>
      <c r="B348" t="inlineStr">
        <is>
          <t>Nivel de Satisfacción Servicios Prestados -Cultura y Deporte</t>
        </is>
      </c>
      <c r="C348" t="inlineStr">
        <is>
          <t>Estratégico</t>
        </is>
      </c>
      <c r="D348" t="inlineStr">
        <is>
          <t>Cultura y Deporte</t>
        </is>
      </c>
      <c r="E348" t="inlineStr">
        <is>
          <t>Semestral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508</v>
      </c>
      <c r="B349" t="inlineStr">
        <is>
          <t>Nivel de Satisfacción Servicios Prestados - Diseño y contenido virtual</t>
        </is>
      </c>
      <c r="C349" t="inlineStr">
        <is>
          <t>Estratégico</t>
        </is>
      </c>
      <c r="D349" t="inlineStr">
        <is>
          <t>Diseño de Contenido Virtual</t>
        </is>
      </c>
      <c r="E349" t="inlineStr">
        <is>
          <t>Anual</t>
        </is>
      </c>
      <c r="F349" t="inlineStr">
        <is>
          <t>Positivo</t>
        </is>
      </c>
      <c r="G349" t="inlineStr">
        <is>
          <t>Serie Unica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509</v>
      </c>
      <c r="B350" t="inlineStr">
        <is>
          <t>Cumplimiento a cronograma de proyectos 2025</t>
        </is>
      </c>
      <c r="C350" t="inlineStr">
        <is>
          <t>Estratégico</t>
        </is>
      </c>
      <c r="D350" t="inlineStr">
        <is>
          <t>Gestión de Proyectos</t>
        </is>
      </c>
      <c r="E350" t="inlineStr">
        <is>
          <t>Mensual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K350" t="inlineStr"/>
      <c r="L350" t="inlineStr">
        <is>
          <t>%</t>
        </is>
      </c>
    </row>
    <row r="351">
      <c r="A351" t="n">
        <v>510</v>
      </c>
      <c r="B351" t="inlineStr">
        <is>
          <t>Frecuencia de incidentes de riesgos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511</v>
      </c>
      <c r="B352" t="inlineStr">
        <is>
          <t>Eficacia de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Activo</t>
        </is>
      </c>
      <c r="I352" t="inlineStr">
        <is>
          <t>API</t>
        </is>
      </c>
      <c r="J352" t="inlineStr">
        <is>
          <t>Acumulado</t>
        </is>
      </c>
      <c r="K352" t="inlineStr"/>
      <c r="L352" t="inlineStr">
        <is>
          <t>%</t>
        </is>
      </c>
    </row>
    <row r="353">
      <c r="A353" t="n">
        <v>513</v>
      </c>
      <c r="B353" t="inlineStr">
        <is>
          <t>Nivel de cumplimiento del plan de seguimiento a controles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514</v>
      </c>
      <c r="B354" t="inlineStr">
        <is>
          <t>Respuesta ante nuevas necesidades de control</t>
        </is>
      </c>
      <c r="C354" t="inlineStr">
        <is>
          <t>Operativo</t>
        </is>
      </c>
      <c r="D354" t="inlineStr">
        <is>
          <t>GESTIÓN DE RIESGOS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515</v>
      </c>
      <c r="B355" t="inlineStr">
        <is>
          <t>Porcentaje de procesos de control implementados</t>
        </is>
      </c>
      <c r="C355" t="inlineStr">
        <is>
          <t>Estratégico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516</v>
      </c>
      <c r="B356" t="inlineStr">
        <is>
          <t>Porcentaje de colaboradores formados en ciberseguridad</t>
        </is>
      </c>
      <c r="C356" t="inlineStr">
        <is>
          <t>Operativo</t>
        </is>
      </c>
      <c r="D356" t="inlineStr">
        <is>
          <t>GESTIÓN DE LA TECNOLOGÍA E INNOVACIÓN DIGITAL</t>
        </is>
      </c>
      <c r="E356" t="inlineStr">
        <is>
          <t>Semestral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Promedio</t>
        </is>
      </c>
      <c r="K356" t="inlineStr"/>
      <c r="L356" t="inlineStr">
        <is>
          <t>%</t>
        </is>
      </c>
    </row>
    <row r="357">
      <c r="A357" t="n">
        <v>518</v>
      </c>
      <c r="B357" t="inlineStr">
        <is>
          <t>Cumplimiento programa de auditoría</t>
        </is>
      </c>
      <c r="C357" t="inlineStr">
        <is>
          <t>Estratégico</t>
        </is>
      </c>
      <c r="D357" t="inlineStr">
        <is>
          <t>AUDITORÍA INTERNA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Serie Unica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K357" t="inlineStr"/>
      <c r="L357" t="inlineStr">
        <is>
          <t>%</t>
        </is>
      </c>
    </row>
    <row r="358">
      <c r="A358" t="n">
        <v>519</v>
      </c>
      <c r="B358" t="inlineStr">
        <is>
          <t>% de publicaciones con sentimiento neutro o negativo</t>
        </is>
      </c>
      <c r="C358" t="inlineStr">
        <is>
          <t>Operativo</t>
        </is>
      </c>
      <c r="D358" t="inlineStr">
        <is>
          <t>Comunicaciones Externas</t>
        </is>
      </c>
      <c r="E358" t="inlineStr">
        <is>
          <t>Semestral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Activo</t>
        </is>
      </c>
      <c r="I358" t="inlineStr">
        <is>
          <t>API</t>
        </is>
      </c>
      <c r="J358" t="inlineStr">
        <is>
          <t>Promedio</t>
        </is>
      </c>
      <c r="K358" t="inlineStr"/>
      <c r="L358" t="inlineStr">
        <is>
          <t>%</t>
        </is>
      </c>
    </row>
    <row r="359">
      <c r="A359" t="n">
        <v>522</v>
      </c>
      <c r="B359" t="inlineStr">
        <is>
          <t>Asignaturas o modulos con mecanismos de evaluación implementados</t>
        </is>
      </c>
      <c r="C359" t="inlineStr">
        <is>
          <t>Estratégico</t>
        </is>
      </c>
      <c r="D359" t="inlineStr">
        <is>
          <t>Gestión, Evaluación e Innovación Curricular</t>
        </is>
      </c>
      <c r="E359" t="inlineStr">
        <is>
          <t>Anual</t>
        </is>
      </c>
      <c r="F359" t="inlineStr">
        <is>
          <t>Positivo</t>
        </is>
      </c>
      <c r="G359" t="inlineStr">
        <is>
          <t>Serie Unica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ENT</t>
        </is>
      </c>
    </row>
    <row r="360">
      <c r="A360" t="n">
        <v>523</v>
      </c>
      <c r="B360" t="inlineStr">
        <is>
          <t>Ingresos totales de educación para la vida</t>
        </is>
      </c>
      <c r="C360" t="inlineStr">
        <is>
          <t>Estratégico</t>
        </is>
      </c>
      <c r="D360" t="inlineStr">
        <is>
          <t>Planeación Financiera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Cierre</t>
        </is>
      </c>
      <c r="K360" t="inlineStr"/>
      <c r="L360" t="inlineStr">
        <is>
          <t>DEC</t>
        </is>
      </c>
    </row>
    <row r="361">
      <c r="A361" t="n">
        <v>524</v>
      </c>
      <c r="B361" t="inlineStr">
        <is>
          <t>Total Leads por canales de captación</t>
        </is>
      </c>
      <c r="C361" t="inlineStr">
        <is>
          <t>Operativo</t>
        </is>
      </c>
      <c r="D361" t="inlineStr">
        <is>
          <t>Mercadeo de programas académicos</t>
        </is>
      </c>
      <c r="E361" t="inlineStr">
        <is>
          <t>Semestral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Activo</t>
        </is>
      </c>
      <c r="I361" t="inlineStr">
        <is>
          <t>API</t>
        </is>
      </c>
      <c r="J361" t="inlineStr">
        <is>
          <t>Acumulado</t>
        </is>
      </c>
      <c r="K361" t="inlineStr"/>
      <c r="L361" t="inlineStr">
        <is>
          <t>ENT</t>
        </is>
      </c>
    </row>
    <row r="362">
      <c r="A362" t="n">
        <v>526</v>
      </c>
      <c r="B362" t="inlineStr">
        <is>
          <t>Cumplimiento Politica Polisigs</t>
        </is>
      </c>
      <c r="C362" t="inlineStr">
        <is>
          <t>Operativo</t>
        </is>
      </c>
      <c r="D362" t="inlineStr">
        <is>
          <t>Planificación POLISIGS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>
        <is>
          <t>Promedio</t>
        </is>
      </c>
      <c r="K362" t="inlineStr"/>
      <c r="L362" t="inlineStr">
        <is>
          <t>%</t>
        </is>
      </c>
    </row>
    <row r="363">
      <c r="A363" t="n">
        <v>527</v>
      </c>
      <c r="B363" t="inlineStr">
        <is>
          <t>Participación de Grupos de Interés en la construcción del nuevo plan de desarrollo (PDI)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/>
      <c r="K363" t="inlineStr"/>
      <c r="L363" t="inlineStr">
        <is>
          <t>%</t>
        </is>
      </c>
    </row>
    <row r="364">
      <c r="A364" t="n">
        <v>528</v>
      </c>
      <c r="B364" t="inlineStr">
        <is>
          <t>Participación de la comunidad en la Rendición de Cuentas</t>
        </is>
      </c>
      <c r="C364" t="inlineStr">
        <is>
          <t>Estratégico</t>
        </is>
      </c>
      <c r="D364" t="inlineStr">
        <is>
          <t>Planeación Estratégica</t>
        </is>
      </c>
      <c r="E364" t="inlineStr">
        <is>
          <t>Anual</t>
        </is>
      </c>
      <c r="F364" t="inlineStr">
        <is>
          <t>Positivo</t>
        </is>
      </c>
      <c r="G364" t="inlineStr">
        <is>
          <t>Serie Unica</t>
        </is>
      </c>
      <c r="H364" t="inlineStr">
        <is>
          <t>Activo</t>
        </is>
      </c>
      <c r="I364" t="inlineStr">
        <is>
          <t>API</t>
        </is>
      </c>
      <c r="J364" t="inlineStr">
        <is>
          <t>Cierre</t>
        </is>
      </c>
      <c r="K364" t="inlineStr"/>
      <c r="L364" t="inlineStr">
        <is>
          <t>ENT</t>
        </is>
      </c>
    </row>
    <row r="365">
      <c r="A365" t="n">
        <v>529</v>
      </c>
      <c r="B365" t="inlineStr">
        <is>
          <t>Oportunidad en la solución de solicitudes de infraestructura</t>
        </is>
      </c>
      <c r="C365" t="inlineStr">
        <is>
          <t>Operativo</t>
        </is>
      </c>
      <c r="D365" t="inlineStr">
        <is>
          <t>Gestión Infraestructura Física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Activo</t>
        </is>
      </c>
      <c r="I365" t="inlineStr">
        <is>
          <t>API</t>
        </is>
      </c>
      <c r="J365" t="inlineStr">
        <is>
          <t>Acumulado</t>
        </is>
      </c>
      <c r="K365" t="inlineStr"/>
      <c r="L365" t="inlineStr">
        <is>
          <t>%</t>
        </is>
      </c>
    </row>
    <row r="366">
      <c r="A366" t="n">
        <v>530</v>
      </c>
      <c r="B366" t="inlineStr">
        <is>
          <t>Índice de Cumplimiento del Sprint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531</v>
      </c>
      <c r="B367" t="inlineStr">
        <is>
          <t>Eficiencia de capacidad instalada</t>
        </is>
      </c>
      <c r="C367" t="inlineStr">
        <is>
          <t>Estratégico</t>
        </is>
      </c>
      <c r="D367" t="inlineStr">
        <is>
          <t>GESTIÓN DE LA TECNOLOGÍA E INNOVACIÓN DIGITAL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Serie Unica</t>
        </is>
      </c>
      <c r="H367" t="inlineStr">
        <is>
          <t>Activo</t>
        </is>
      </c>
      <c r="I367" t="inlineStr">
        <is>
          <t>API</t>
        </is>
      </c>
      <c r="J367" t="inlineStr">
        <is>
          <t>Promedio</t>
        </is>
      </c>
      <c r="K367" t="inlineStr"/>
      <c r="L367" t="inlineStr">
        <is>
          <t>%</t>
        </is>
      </c>
    </row>
    <row r="368">
      <c r="A368" t="n">
        <v>532</v>
      </c>
      <c r="B368" t="inlineStr">
        <is>
          <t>Actividades de Cooperación en Internacionalización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533</v>
      </c>
      <c r="B369" t="inlineStr">
        <is>
          <t>Participación de estudiantes externos invitados a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534</v>
      </c>
      <c r="B370" t="inlineStr">
        <is>
          <t>Participación de estudiantes POLI en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535</v>
      </c>
      <c r="B371" t="inlineStr">
        <is>
          <t>Participación de profesores externos invitados a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536</v>
      </c>
      <c r="B372" t="inlineStr">
        <is>
          <t>Participación de profesores POLI en actividades de cooperación nacional e internacional</t>
        </is>
      </c>
      <c r="C372" t="inlineStr">
        <is>
          <t>Estratégico</t>
        </is>
      </c>
      <c r="D372" t="inlineStr">
        <is>
          <t>VISIBILIDAD NACIONAL E INTERNACIONAL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Activo</t>
        </is>
      </c>
      <c r="I372" t="inlineStr">
        <is>
          <t>API</t>
        </is>
      </c>
      <c r="J372" t="inlineStr">
        <is>
          <t>Acumulado</t>
        </is>
      </c>
      <c r="K372" t="inlineStr"/>
      <c r="L372" t="inlineStr">
        <is>
          <t>%</t>
        </is>
      </c>
    </row>
    <row r="373">
      <c r="A373" t="n">
        <v>537</v>
      </c>
      <c r="B373" t="inlineStr">
        <is>
          <t>FCR- Resolución en primer contacto</t>
        </is>
      </c>
      <c r="C373" t="inlineStr">
        <is>
          <t>Estratégico</t>
        </is>
      </c>
      <c r="D373" t="inlineStr">
        <is>
          <t>Servicio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Cierre</t>
        </is>
      </c>
      <c r="K373" t="inlineStr"/>
      <c r="L373" t="inlineStr">
        <is>
          <t>ENT</t>
        </is>
      </c>
    </row>
    <row r="374">
      <c r="A374" t="n">
        <v>538</v>
      </c>
      <c r="B374" t="inlineStr">
        <is>
          <t>Cumplimiento de sesiones de socialización de planeación académica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Positivo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%</t>
        </is>
      </c>
    </row>
    <row r="375">
      <c r="A375" t="n">
        <v>539</v>
      </c>
      <c r="B375" t="inlineStr">
        <is>
          <t>CES emisión de certificados</t>
        </is>
      </c>
      <c r="C375" t="inlineStr">
        <is>
          <t>Operativo</t>
        </is>
      </c>
      <c r="D375" t="inlineStr">
        <is>
          <t>Registro y Control</t>
        </is>
      </c>
      <c r="E375" t="inlineStr">
        <is>
          <t>Semestral</t>
        </is>
      </c>
      <c r="F375" t="inlineStr">
        <is>
          <t>Negativo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DEC</t>
        </is>
      </c>
    </row>
    <row r="376">
      <c r="A376" t="n">
        <v>540</v>
      </c>
      <c r="B376" t="inlineStr">
        <is>
          <t>Nivel de Calidad de los Datos Cargados al SNIES</t>
        </is>
      </c>
      <c r="C376" t="inlineStr">
        <is>
          <t>Estratégico</t>
        </is>
      </c>
      <c r="D376" t="inlineStr">
        <is>
          <t>DATOS Y ANALÍTICA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Promedio</t>
        </is>
      </c>
      <c r="K376" t="inlineStr"/>
      <c r="L376" t="inlineStr">
        <is>
          <t>%</t>
        </is>
      </c>
    </row>
    <row r="377">
      <c r="A377" t="n">
        <v>541</v>
      </c>
      <c r="B377" t="inlineStr">
        <is>
          <t>Participación de graduados en actividades de empleabilidad y relacionamiento</t>
        </is>
      </c>
      <c r="C377" t="inlineStr">
        <is>
          <t>Operativo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K377" t="inlineStr"/>
      <c r="L377" t="inlineStr">
        <is>
          <t>%</t>
        </is>
      </c>
    </row>
    <row r="378">
      <c r="A378" t="n">
        <v>542</v>
      </c>
      <c r="B378" t="inlineStr">
        <is>
          <t>Tasa de cotización del graduado - Metrica</t>
        </is>
      </c>
      <c r="C378" t="inlineStr">
        <is>
          <t>Estratégico</t>
        </is>
      </c>
      <c r="D378" t="inlineStr">
        <is>
          <t>Gestión de Graduados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Promedio</t>
        </is>
      </c>
      <c r="K378" t="inlineStr"/>
      <c r="L378" t="inlineStr">
        <is>
          <t>%</t>
        </is>
      </c>
    </row>
    <row r="379">
      <c r="A379" t="n">
        <v>543</v>
      </c>
      <c r="B379" t="inlineStr">
        <is>
          <t>Tasa de interacción por usuario</t>
        </is>
      </c>
      <c r="C379" t="inlineStr">
        <is>
          <t>Operativo</t>
        </is>
      </c>
      <c r="D379" t="inlineStr">
        <is>
          <t>Editorial y Publicaciones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Acumulado</t>
        </is>
      </c>
      <c r="K379" t="inlineStr"/>
      <c r="L379" t="inlineStr">
        <is>
          <t>ENT</t>
        </is>
      </c>
    </row>
    <row r="380">
      <c r="A380" t="n">
        <v>544</v>
      </c>
      <c r="B380" t="inlineStr">
        <is>
          <t>Producción de ambientes inmersivos LEI</t>
        </is>
      </c>
      <c r="C380" t="inlineStr">
        <is>
          <t>Operativo</t>
        </is>
      </c>
      <c r="D380" t="inlineStr">
        <is>
          <t>LEI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546</v>
      </c>
      <c r="B381" t="inlineStr">
        <is>
          <t>Tasa de participación de graduados en instrumentos de seguimiento (M0, M1, M5)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K381" t="inlineStr"/>
      <c r="L381" t="inlineStr">
        <is>
          <t>ENT</t>
        </is>
      </c>
    </row>
    <row r="382">
      <c r="A382" t="n">
        <v>547</v>
      </c>
      <c r="B382" t="inlineStr">
        <is>
          <t>Nivel de satisfacción del graduado con la institución</t>
        </is>
      </c>
      <c r="C382" t="inlineStr">
        <is>
          <t>Estratégico</t>
        </is>
      </c>
      <c r="D382" t="inlineStr">
        <is>
          <t>Gestión de Graduados</t>
        </is>
      </c>
      <c r="E382" t="inlineStr">
        <is>
          <t>Anual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550</v>
      </c>
      <c r="B383" t="inlineStr">
        <is>
          <t>Nivel de satisfacción con las actividades de formación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Cierre</t>
        </is>
      </c>
      <c r="K383" t="inlineStr"/>
      <c r="L383" t="inlineStr">
        <is>
          <t>%</t>
        </is>
      </c>
    </row>
    <row r="384">
      <c r="A384" t="n">
        <v>551</v>
      </c>
      <c r="B384" t="inlineStr">
        <is>
          <t>Evaluación del desempeño de los mentores</t>
        </is>
      </c>
      <c r="C384" t="inlineStr">
        <is>
          <t>Operativo</t>
        </is>
      </c>
      <c r="D384" t="inlineStr">
        <is>
          <t>Emprendimiento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Promedio</t>
        </is>
      </c>
      <c r="K384" t="inlineStr"/>
      <c r="L384" t="inlineStr">
        <is>
          <t>DEC</t>
        </is>
      </c>
    </row>
    <row r="385">
      <c r="A385" t="n">
        <v>552</v>
      </c>
      <c r="B385" t="inlineStr">
        <is>
          <t>Nivel de Satisfacción Servicios Prestados -Gestión de la Responsabilidad Social</t>
        </is>
      </c>
      <c r="C385" t="inlineStr">
        <is>
          <t>Estratégico</t>
        </is>
      </c>
      <c r="D385" t="inlineStr">
        <is>
          <t>Gestión de la Responsabilidad Social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553</v>
      </c>
      <c r="B386" t="inlineStr">
        <is>
          <t>Nivel de Satisfacción Servicios Prestados -Inscripción, admisión y matrícula de estudiantes nuevos</t>
        </is>
      </c>
      <c r="C386" t="inlineStr">
        <is>
          <t>Estratégico</t>
        </is>
      </c>
      <c r="D386" t="inlineStr">
        <is>
          <t>Inscripción, admisión y matrícula de estudiantes nuevos</t>
        </is>
      </c>
      <c r="E386" t="inlineStr">
        <is>
          <t>Anual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554</v>
      </c>
      <c r="B387" t="inlineStr">
        <is>
          <t>Nivel de Satisfacción Servicios Prestados -Permanencia</t>
        </is>
      </c>
      <c r="C387" t="inlineStr">
        <is>
          <t>Estratégico</t>
        </is>
      </c>
      <c r="D387" t="inlineStr">
        <is>
          <t>Permanencia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555</v>
      </c>
      <c r="B388" t="inlineStr">
        <is>
          <t>Nivel de Satisfacción Servicios Prestados -Mercadeo y venta de educación para la vida</t>
        </is>
      </c>
      <c r="C388" t="inlineStr">
        <is>
          <t>Estratégico</t>
        </is>
      </c>
      <c r="D388" t="inlineStr">
        <is>
          <t>Mercadeo y venta de educación para la vida</t>
        </is>
      </c>
      <c r="E388" t="inlineStr">
        <is>
          <t>Semestral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  <row r="389">
      <c r="A389" t="n">
        <v>556</v>
      </c>
      <c r="B389" t="inlineStr">
        <is>
          <t>Cumplimiento Plan de formación Institucional</t>
        </is>
      </c>
      <c r="C389" t="inlineStr">
        <is>
          <t>Estratégico</t>
        </is>
      </c>
      <c r="D389" t="inlineStr">
        <is>
          <t>GESTIÓN Y DESARROLLO DEL TALENTO HUMANO</t>
        </is>
      </c>
      <c r="E389" t="inlineStr">
        <is>
          <t>Anual</t>
        </is>
      </c>
      <c r="F389" t="inlineStr">
        <is>
          <t>Positivo</t>
        </is>
      </c>
      <c r="G389" t="inlineStr">
        <is>
          <t>Serie Unica</t>
        </is>
      </c>
      <c r="H389" t="inlineStr">
        <is>
          <t>Activo</t>
        </is>
      </c>
      <c r="I389" t="inlineStr">
        <is>
          <t>API</t>
        </is>
      </c>
      <c r="J389" t="inlineStr">
        <is>
          <t>Cierre</t>
        </is>
      </c>
      <c r="K389" t="inlineStr"/>
      <c r="L38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2026-05-05T08:22:00Z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